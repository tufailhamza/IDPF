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idpfoundation.sharepoint.com/IDP Foundation/Monitoring, Evaluation and Learning/FI Partners School &amp; Loan Reports/"/>
    </mc:Choice>
  </mc:AlternateContent>
  <xr:revisionPtr revIDLastSave="444" documentId="13_ncr:1_{D5C3F018-DDCA-4ABA-81F4-D267BBC504E8}" xr6:coauthVersionLast="47" xr6:coauthVersionMax="47" xr10:uidLastSave="{6EADD9A0-AE5D-4278-AF9D-9A39061F68F2}"/>
  <bookViews>
    <workbookView xWindow="-110" yWindow="-110" windowWidth="19420" windowHeight="10300" tabRatio="925" firstSheet="6" activeTab="7" xr2:uid="{00000000-000D-0000-FFFF-FFFF00000000}"/>
  </bookViews>
  <sheets>
    <sheet name="Disb. Update 2018 &amp; 2019" sheetId="1" state="hidden" r:id="rId1"/>
    <sheet name="Disb. Update 2020" sheetId="20" state="hidden" r:id="rId2"/>
    <sheet name="Disb. Update 2021" sheetId="33" state="hidden" r:id="rId3"/>
    <sheet name="Disb. Update 2022" sheetId="46" state="hidden" r:id="rId4"/>
    <sheet name="Disb. Update 2023" sheetId="59" state="hidden" r:id="rId5"/>
    <sheet name="Disb. Update 2024" sheetId="74" state="hidden" r:id="rId6"/>
    <sheet name="Baseline Form" sheetId="97" r:id="rId7"/>
    <sheet name="All Loans - Upto Sept 2025" sheetId="98" r:id="rId8"/>
    <sheet name="Loan Disb. 2025" sheetId="87" r:id="rId9"/>
    <sheet name="Summary - All Loans" sheetId="2" r:id="rId10"/>
    <sheet name="Sept, 2025" sheetId="96" r:id="rId11"/>
    <sheet name="Aug, 2025" sheetId="95" r:id="rId12"/>
    <sheet name="July, 2025" sheetId="94" r:id="rId13"/>
    <sheet name="June, 2025" sheetId="93" r:id="rId14"/>
    <sheet name="May, 2025" sheetId="92" r:id="rId15"/>
    <sheet name="Apr, 2025" sheetId="91" r:id="rId16"/>
    <sheet name="Mar, 2025" sheetId="90" r:id="rId17"/>
    <sheet name="Feb 28, 2025" sheetId="89" r:id="rId18"/>
    <sheet name="Jan 31, 2025" sheetId="88" r:id="rId19"/>
    <sheet name="Dec 31, 2024" sheetId="86" r:id="rId20"/>
    <sheet name="Nov 30, 2024" sheetId="85" r:id="rId21"/>
    <sheet name="Oct 31, 2024" sheetId="84" r:id="rId22"/>
    <sheet name="Sept 30, 2024" sheetId="83" r:id="rId23"/>
    <sheet name="Aug 31, 2024" sheetId="82" r:id="rId24"/>
    <sheet name="July 31, 2024" sheetId="81" r:id="rId25"/>
    <sheet name="June 30, 2024" sheetId="80" r:id="rId26"/>
    <sheet name="May 31, 2024" sheetId="79" r:id="rId27"/>
    <sheet name="Apr 30, 2024" sheetId="78" r:id="rId28"/>
    <sheet name="Mar 31, 2024" sheetId="77" r:id="rId29"/>
    <sheet name="Feb 29, 2024" sheetId="76" r:id="rId30"/>
    <sheet name="Jan 31, 2024" sheetId="75" r:id="rId31"/>
    <sheet name="Dec 31, 2023" sheetId="71" r:id="rId32"/>
    <sheet name="Nov 30, 2023" sheetId="70" r:id="rId33"/>
    <sheet name="Oct 31, 2023" sheetId="69" r:id="rId34"/>
    <sheet name="Sept 30, 2023" sheetId="68" r:id="rId35"/>
    <sheet name="Aug 31, 2023" sheetId="67" r:id="rId36"/>
    <sheet name="July 31, 2023" sheetId="66" r:id="rId37"/>
    <sheet name="June 30, 2023" sheetId="65" r:id="rId38"/>
    <sheet name="May 31, 2023" sheetId="64" r:id="rId39"/>
    <sheet name="Apr 30, 2023" sheetId="63" r:id="rId40"/>
    <sheet name="Mar 31, 2023" sheetId="62" r:id="rId41"/>
    <sheet name="Feb 28, 2023" sheetId="61" r:id="rId42"/>
    <sheet name="Jan 31, 2023" sheetId="60" r:id="rId43"/>
    <sheet name="Dec 31, 2022" sheetId="58" r:id="rId44"/>
    <sheet name="Nov 30, 2022" sheetId="57" r:id="rId45"/>
    <sheet name="Oct 31, 2022" sheetId="56" r:id="rId46"/>
    <sheet name="Sept 30, 2022" sheetId="55" r:id="rId47"/>
    <sheet name="Aug 31, 2022" sheetId="54" r:id="rId48"/>
    <sheet name="July 31, 2022" sheetId="53" r:id="rId49"/>
    <sheet name="June 30, 2022" sheetId="52" r:id="rId50"/>
    <sheet name="May 31, 2022" sheetId="51" r:id="rId51"/>
    <sheet name="Apr 30, 2022" sheetId="50" r:id="rId52"/>
    <sheet name="Mar 31, 2022" sheetId="49" r:id="rId53"/>
    <sheet name="Feb 28, 2022" sheetId="48" r:id="rId54"/>
    <sheet name="Jan 31, 2022" sheetId="47" r:id="rId55"/>
    <sheet name="Dec 31, 2021" sheetId="45" r:id="rId56"/>
    <sheet name="Nov 30, 2021" sheetId="44" r:id="rId57"/>
    <sheet name="Oct 31, 2021" sheetId="43" r:id="rId58"/>
    <sheet name="Sept 30, 2021" sheetId="42" r:id="rId59"/>
    <sheet name="Aug 31, 2021" sheetId="41" r:id="rId60"/>
    <sheet name="July 31, 2021" sheetId="40" r:id="rId61"/>
    <sheet name="June 30, 2021" sheetId="39" r:id="rId62"/>
    <sheet name="May 31, 2021" sheetId="38" r:id="rId63"/>
    <sheet name="Apr 30, 2021" sheetId="37" r:id="rId64"/>
    <sheet name="Mar 31, 2021" sheetId="36" r:id="rId65"/>
    <sheet name="Feb 28, 2021" sheetId="35" r:id="rId66"/>
    <sheet name="Jan 31, 2021" sheetId="34" r:id="rId67"/>
    <sheet name="Dec 31, 2020" sheetId="32" r:id="rId68"/>
    <sheet name="Nov 30, 2020" sheetId="31" r:id="rId69"/>
    <sheet name="Oct 31, 2020" sheetId="30" r:id="rId70"/>
    <sheet name="Sept 30, 2020" sheetId="29" r:id="rId71"/>
    <sheet name="Aug 31, 2020" sheetId="28" r:id="rId72"/>
    <sheet name="July 31, 2020" sheetId="27" r:id="rId73"/>
    <sheet name="June 30, 2020" sheetId="26" r:id="rId74"/>
    <sheet name="May 31, 2020" sheetId="24" r:id="rId75"/>
    <sheet name="Apr 30, 2020" sheetId="23" r:id="rId76"/>
    <sheet name="Mar 29, 2020" sheetId="22" r:id="rId77"/>
    <sheet name="Feb 29, 2020" sheetId="21" r:id="rId78"/>
    <sheet name="Jan 31, 2020" sheetId="19" r:id="rId79"/>
    <sheet name="Dec 31, 2019" sheetId="18" r:id="rId80"/>
    <sheet name="Nov 30, 2019" sheetId="17" r:id="rId81"/>
    <sheet name="Oct 31, 2019" sheetId="15" r:id="rId82"/>
    <sheet name="Sept 30, 2019" sheetId="14" state="hidden" r:id="rId83"/>
    <sheet name="Aug 31, 2019" sheetId="13" state="hidden" r:id="rId84"/>
    <sheet name="July 31, 2019" sheetId="12" state="hidden" r:id="rId85"/>
    <sheet name="June 30, 2019" sheetId="11" state="hidden" r:id="rId86"/>
    <sheet name="May 31, 2019" sheetId="10" state="hidden" r:id="rId87"/>
    <sheet name="APR 30, 2019" sheetId="9" state="hidden" r:id="rId88"/>
    <sheet name="IDPRS REPORT MAR 28,2019-FINAL" sheetId="8" state="hidden" r:id="rId89"/>
    <sheet name="IDPRS REPORT FEB 28,2019-FINAL" sheetId="3" state="hidden" r:id="rId90"/>
    <sheet name="IDPRS REPORT JAN 31,2019" sheetId="4" state="hidden" r:id="rId91"/>
    <sheet name="DEC 31, 2018" sheetId="5" state="hidden" r:id="rId92"/>
    <sheet name="NOV 30, 2018" sheetId="6" state="hidden" r:id="rId93"/>
    <sheet name="OCT 31, 2018" sheetId="7" state="hidden" r:id="rId94"/>
  </sheets>
  <definedNames>
    <definedName name="_xlnm._FilterDatabase" localSheetId="7" hidden="1">'All Loans - Upto Sept 2025'!$A$1:$K$1063</definedName>
    <definedName name="_xlnm._FilterDatabase" localSheetId="6" hidden="1">'Baseline Form'!$A$1:$JW$1</definedName>
    <definedName name="_xlnm._FilterDatabase" localSheetId="3" hidden="1">'Disb. Update 2022'!$A$123:$M$123</definedName>
    <definedName name="_xlnm._FilterDatabase" localSheetId="4" hidden="1">'Disb. Update 2023'!$A$128:$M$128</definedName>
    <definedName name="_xlnm._FilterDatabase" localSheetId="5" hidden="1">'Disb. Update 2024'!$A$140:$T$140</definedName>
    <definedName name="_xlnm._FilterDatabase" localSheetId="8" hidden="1">'Loan Disb. 2025'!$A$109:$T$109</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2" l="1"/>
  <c r="J1066" i="98" l="1"/>
  <c r="J1067" i="98" s="1"/>
  <c r="A1066" i="98"/>
  <c r="E8" i="96" l="1"/>
  <c r="D8" i="96"/>
  <c r="E20" i="96"/>
  <c r="H12" i="96"/>
  <c r="I7" i="96" s="1"/>
  <c r="C12" i="96"/>
  <c r="L9" i="96"/>
  <c r="L8" i="96"/>
  <c r="L7" i="96"/>
  <c r="L6" i="96"/>
  <c r="E6" i="96"/>
  <c r="L5" i="96"/>
  <c r="E5" i="96"/>
  <c r="L4" i="96"/>
  <c r="E4" i="96"/>
  <c r="L3" i="96"/>
  <c r="E3" i="96"/>
  <c r="L2" i="96"/>
  <c r="D2" i="96"/>
  <c r="D7" i="96" s="1"/>
  <c r="B2" i="96"/>
  <c r="K107" i="2"/>
  <c r="J107" i="2"/>
  <c r="I107" i="2"/>
  <c r="L12" i="96" l="1"/>
  <c r="K2" i="96" s="1"/>
  <c r="I2" i="96"/>
  <c r="I5" i="96"/>
  <c r="I9" i="96"/>
  <c r="I3" i="96"/>
  <c r="I8" i="96"/>
  <c r="I6" i="96"/>
  <c r="I10" i="96"/>
  <c r="I11" i="96"/>
  <c r="I4" i="96"/>
  <c r="E2" i="96"/>
  <c r="B7" i="96"/>
  <c r="C3" i="96" s="1"/>
  <c r="L13" i="96"/>
  <c r="K10" i="96"/>
  <c r="K7" i="96"/>
  <c r="K6" i="96"/>
  <c r="K9" i="96"/>
  <c r="K4" i="96"/>
  <c r="K11" i="96"/>
  <c r="K8" i="96"/>
  <c r="K5" i="96"/>
  <c r="K3" i="96"/>
  <c r="C4" i="96"/>
  <c r="I12" i="96" l="1"/>
  <c r="E7" i="96"/>
  <c r="C5" i="96"/>
  <c r="C6" i="96"/>
  <c r="C2" i="96"/>
  <c r="K12" i="96"/>
  <c r="M120" i="87" l="1"/>
  <c r="E8" i="95"/>
  <c r="D8" i="95"/>
  <c r="E20" i="95"/>
  <c r="H12" i="95"/>
  <c r="I9" i="95" s="1"/>
  <c r="C12" i="95"/>
  <c r="L9" i="95"/>
  <c r="L8" i="95"/>
  <c r="L7" i="95"/>
  <c r="L6" i="95"/>
  <c r="E6" i="95"/>
  <c r="L5" i="95"/>
  <c r="E5" i="95"/>
  <c r="L4" i="95"/>
  <c r="E4" i="95"/>
  <c r="L3" i="95"/>
  <c r="E3" i="95"/>
  <c r="L2" i="95"/>
  <c r="D2" i="95"/>
  <c r="D7" i="95" s="1"/>
  <c r="B2" i="95"/>
  <c r="B7" i="95" s="1"/>
  <c r="K106" i="2"/>
  <c r="I106" i="2"/>
  <c r="J106" i="2"/>
  <c r="M107" i="87"/>
  <c r="E20" i="94"/>
  <c r="E8" i="94"/>
  <c r="D8" i="94"/>
  <c r="H12" i="94"/>
  <c r="I10" i="94" s="1"/>
  <c r="C12" i="94"/>
  <c r="L9" i="94"/>
  <c r="L8" i="94"/>
  <c r="L7" i="94"/>
  <c r="L6" i="94"/>
  <c r="E6" i="94"/>
  <c r="L5" i="94"/>
  <c r="E5" i="94"/>
  <c r="L4" i="94"/>
  <c r="E4" i="94"/>
  <c r="L3" i="94"/>
  <c r="E3" i="94"/>
  <c r="L2" i="94"/>
  <c r="D2" i="94"/>
  <c r="D7" i="94" s="1"/>
  <c r="B2" i="94"/>
  <c r="B7" i="94" s="1"/>
  <c r="K105" i="2"/>
  <c r="I105" i="2"/>
  <c r="J105" i="2"/>
  <c r="I8" i="95" l="1"/>
  <c r="I10" i="95"/>
  <c r="I2" i="95"/>
  <c r="I6" i="95"/>
  <c r="I3" i="95"/>
  <c r="I11" i="95"/>
  <c r="I4" i="95"/>
  <c r="I7" i="95"/>
  <c r="I5" i="95"/>
  <c r="C5" i="95"/>
  <c r="C3" i="95"/>
  <c r="C6" i="95"/>
  <c r="C4" i="95"/>
  <c r="E7" i="95"/>
  <c r="C2" i="95"/>
  <c r="E2" i="95"/>
  <c r="L12" i="95"/>
  <c r="K3" i="95" s="1"/>
  <c r="I2" i="94"/>
  <c r="I7" i="94"/>
  <c r="I3" i="94"/>
  <c r="L12" i="94"/>
  <c r="K3" i="94" s="1"/>
  <c r="I9" i="94"/>
  <c r="I11" i="94"/>
  <c r="I6" i="94"/>
  <c r="I4" i="94"/>
  <c r="I8" i="94"/>
  <c r="I5" i="94"/>
  <c r="E2" i="94"/>
  <c r="C5" i="94"/>
  <c r="C3" i="94"/>
  <c r="C4" i="94"/>
  <c r="C6" i="94"/>
  <c r="E7" i="94"/>
  <c r="C2" i="94"/>
  <c r="I12" i="95" l="1"/>
  <c r="K2" i="95"/>
  <c r="L13" i="95"/>
  <c r="K10" i="95"/>
  <c r="K6" i="95"/>
  <c r="K7" i="95"/>
  <c r="K8" i="95"/>
  <c r="K4" i="95"/>
  <c r="K11" i="95"/>
  <c r="K5" i="95"/>
  <c r="K9" i="95"/>
  <c r="L13" i="94"/>
  <c r="K2" i="94"/>
  <c r="K12" i="94" s="1"/>
  <c r="K10" i="94"/>
  <c r="K4" i="94"/>
  <c r="K9" i="94"/>
  <c r="K11" i="94"/>
  <c r="K7" i="94"/>
  <c r="K6" i="94"/>
  <c r="K5" i="94"/>
  <c r="K8" i="94"/>
  <c r="I12" i="94"/>
  <c r="K12" i="95" l="1"/>
  <c r="M87" i="87" l="1"/>
  <c r="E20" i="93"/>
  <c r="E8" i="93"/>
  <c r="D8" i="93"/>
  <c r="H12" i="93"/>
  <c r="I7" i="93" s="1"/>
  <c r="C12" i="93"/>
  <c r="L9" i="93"/>
  <c r="L8" i="93"/>
  <c r="L7" i="93"/>
  <c r="L6" i="93"/>
  <c r="E6" i="93"/>
  <c r="L5" i="93"/>
  <c r="E5" i="93"/>
  <c r="L4" i="93"/>
  <c r="E4" i="93"/>
  <c r="L3" i="93"/>
  <c r="E3" i="93"/>
  <c r="L2" i="93"/>
  <c r="D2" i="93"/>
  <c r="E2" i="93" s="1"/>
  <c r="B2" i="93"/>
  <c r="B7" i="93" s="1"/>
  <c r="K104" i="2"/>
  <c r="J104" i="2"/>
  <c r="I104" i="2"/>
  <c r="M78" i="87"/>
  <c r="L12" i="93" l="1"/>
  <c r="K4" i="93" s="1"/>
  <c r="I2" i="93"/>
  <c r="I5" i="93"/>
  <c r="I9" i="93"/>
  <c r="I3" i="93"/>
  <c r="I8" i="93"/>
  <c r="I6" i="93"/>
  <c r="I11" i="93"/>
  <c r="I10" i="93"/>
  <c r="I4" i="93"/>
  <c r="C5" i="93"/>
  <c r="C3" i="93"/>
  <c r="C6" i="93"/>
  <c r="C4" i="93"/>
  <c r="D7" i="93"/>
  <c r="C2" i="93"/>
  <c r="K2" i="93" l="1"/>
  <c r="K7" i="93"/>
  <c r="K10" i="93"/>
  <c r="K11" i="93"/>
  <c r="K6" i="93"/>
  <c r="L13" i="93"/>
  <c r="K9" i="93"/>
  <c r="K5" i="93"/>
  <c r="K8" i="93"/>
  <c r="K3" i="93"/>
  <c r="I12" i="93"/>
  <c r="E7" i="93"/>
  <c r="K12" i="93" l="1"/>
  <c r="E20" i="92" l="1"/>
  <c r="E8" i="92"/>
  <c r="D8" i="92"/>
  <c r="C12" i="92"/>
  <c r="H12" i="92"/>
  <c r="I6" i="92" s="1"/>
  <c r="L9" i="92"/>
  <c r="L8" i="92"/>
  <c r="L7" i="92"/>
  <c r="L6" i="92"/>
  <c r="E6" i="92"/>
  <c r="L5" i="92"/>
  <c r="E5" i="92"/>
  <c r="L4" i="92"/>
  <c r="E4" i="92"/>
  <c r="L3" i="92"/>
  <c r="E3" i="92"/>
  <c r="L2" i="92"/>
  <c r="D2" i="92"/>
  <c r="D7" i="92" s="1"/>
  <c r="B2" i="92"/>
  <c r="B7" i="92" s="1"/>
  <c r="K103" i="2"/>
  <c r="I103" i="2"/>
  <c r="J103" i="2"/>
  <c r="I4" i="92" l="1"/>
  <c r="L12" i="92"/>
  <c r="L13" i="92" s="1"/>
  <c r="I11" i="92"/>
  <c r="I3" i="92"/>
  <c r="I8" i="92"/>
  <c r="I5" i="92"/>
  <c r="I10" i="92"/>
  <c r="K3" i="92"/>
  <c r="K7" i="92"/>
  <c r="K4" i="92"/>
  <c r="K8" i="92"/>
  <c r="C5" i="92"/>
  <c r="C2" i="92"/>
  <c r="E2" i="92"/>
  <c r="E7" i="92"/>
  <c r="K10" i="92"/>
  <c r="K6" i="92"/>
  <c r="K2" i="92"/>
  <c r="K11" i="92"/>
  <c r="K9" i="92"/>
  <c r="K5" i="92"/>
  <c r="I2" i="92"/>
  <c r="C4" i="92"/>
  <c r="C3" i="92"/>
  <c r="C6" i="92"/>
  <c r="I7" i="92"/>
  <c r="I9" i="92"/>
  <c r="K12" i="92" l="1"/>
  <c r="I12" i="92"/>
  <c r="M65" i="87" l="1"/>
  <c r="E20" i="91"/>
  <c r="E8" i="91"/>
  <c r="D8" i="91"/>
  <c r="H12" i="91"/>
  <c r="I8" i="91" s="1"/>
  <c r="C12" i="91"/>
  <c r="I10" i="91"/>
  <c r="L9" i="91"/>
  <c r="I9" i="91"/>
  <c r="L8" i="91"/>
  <c r="L7" i="91"/>
  <c r="L6" i="91"/>
  <c r="I6" i="91"/>
  <c r="E6" i="91"/>
  <c r="L5" i="91"/>
  <c r="I5" i="91"/>
  <c r="E5" i="91"/>
  <c r="L4" i="91"/>
  <c r="E4" i="91"/>
  <c r="L3" i="91"/>
  <c r="I3" i="91"/>
  <c r="E3" i="91"/>
  <c r="L2" i="91"/>
  <c r="L12" i="91" s="1"/>
  <c r="D2" i="91"/>
  <c r="B2" i="91"/>
  <c r="B7" i="91" s="1"/>
  <c r="K102" i="2"/>
  <c r="J102" i="2"/>
  <c r="I102" i="2"/>
  <c r="K100" i="2"/>
  <c r="K101" i="2"/>
  <c r="K99" i="2"/>
  <c r="M52" i="87"/>
  <c r="I11" i="91" l="1"/>
  <c r="I4" i="91"/>
  <c r="I7" i="91"/>
  <c r="I2" i="91"/>
  <c r="I12" i="91" s="1"/>
  <c r="E2" i="91"/>
  <c r="K10" i="91"/>
  <c r="L13" i="91"/>
  <c r="K5" i="91"/>
  <c r="K3" i="91"/>
  <c r="K11" i="91"/>
  <c r="K8" i="91"/>
  <c r="K4" i="91"/>
  <c r="K9" i="91"/>
  <c r="C5" i="91"/>
  <c r="C3" i="91"/>
  <c r="C6" i="91"/>
  <c r="C4" i="91"/>
  <c r="K6" i="91"/>
  <c r="K7" i="91"/>
  <c r="K2" i="91"/>
  <c r="D7" i="91"/>
  <c r="C2" i="91"/>
  <c r="E7" i="91" l="1"/>
  <c r="K12" i="91"/>
  <c r="J100" i="2" l="1"/>
  <c r="J101" i="2"/>
  <c r="J99" i="2"/>
  <c r="I101" i="2"/>
  <c r="I100" i="2"/>
  <c r="I99" i="2"/>
  <c r="E20" i="90" l="1"/>
  <c r="H12" i="90" l="1"/>
  <c r="I2" i="90" s="1"/>
  <c r="C12" i="90"/>
  <c r="L9" i="90"/>
  <c r="L8" i="90"/>
  <c r="L7" i="90"/>
  <c r="L6" i="90"/>
  <c r="E6" i="90"/>
  <c r="L5" i="90"/>
  <c r="E5" i="90"/>
  <c r="L4" i="90"/>
  <c r="E4" i="90"/>
  <c r="L3" i="90"/>
  <c r="E3" i="90"/>
  <c r="L2" i="90"/>
  <c r="D2" i="90"/>
  <c r="D7" i="90" s="1"/>
  <c r="D8" i="90" s="1"/>
  <c r="B2" i="90"/>
  <c r="B7" i="90" s="1"/>
  <c r="I4" i="90" l="1"/>
  <c r="I9" i="90"/>
  <c r="I5" i="90"/>
  <c r="I3" i="90"/>
  <c r="I10" i="90"/>
  <c r="I6" i="90"/>
  <c r="I7" i="90"/>
  <c r="I11" i="90"/>
  <c r="I8" i="90"/>
  <c r="E7" i="90"/>
  <c r="E8" i="90" s="1"/>
  <c r="C4" i="90"/>
  <c r="C5" i="90"/>
  <c r="C3" i="90"/>
  <c r="C6" i="90"/>
  <c r="C2" i="90"/>
  <c r="E2" i="90"/>
  <c r="L12" i="90"/>
  <c r="K5" i="90" s="1"/>
  <c r="I12" i="90" l="1"/>
  <c r="K2" i="90"/>
  <c r="K8" i="90"/>
  <c r="K4" i="90"/>
  <c r="K9" i="90"/>
  <c r="K11" i="90"/>
  <c r="K7" i="90"/>
  <c r="L13" i="90"/>
  <c r="K10" i="90"/>
  <c r="K6" i="90"/>
  <c r="K3" i="90"/>
  <c r="K12" i="90" l="1"/>
  <c r="M45" i="87" l="1"/>
  <c r="E9" i="89" l="1"/>
  <c r="H12" i="89" l="1"/>
  <c r="I11" i="89" s="1"/>
  <c r="C11" i="89"/>
  <c r="L9" i="89"/>
  <c r="L8" i="89"/>
  <c r="L7" i="89"/>
  <c r="L6" i="89"/>
  <c r="E6" i="89"/>
  <c r="L5" i="89"/>
  <c r="E5" i="89"/>
  <c r="L4" i="89"/>
  <c r="E4" i="89"/>
  <c r="L3" i="89"/>
  <c r="E3" i="89"/>
  <c r="L2" i="89"/>
  <c r="D2" i="89"/>
  <c r="D7" i="89" s="1"/>
  <c r="B2" i="89"/>
  <c r="B7" i="89" s="1"/>
  <c r="M26" i="87"/>
  <c r="H12" i="88"/>
  <c r="I6" i="88" s="1"/>
  <c r="C11" i="88"/>
  <c r="L9" i="88"/>
  <c r="L8" i="88"/>
  <c r="L7" i="88"/>
  <c r="L6" i="88"/>
  <c r="E6" i="88"/>
  <c r="L5" i="88"/>
  <c r="E5" i="88"/>
  <c r="L4" i="88"/>
  <c r="E4" i="88"/>
  <c r="L3" i="88"/>
  <c r="E3" i="88"/>
  <c r="L2" i="88"/>
  <c r="D2" i="88"/>
  <c r="D7" i="88" s="1"/>
  <c r="B2" i="88"/>
  <c r="H110" i="2"/>
  <c r="G110" i="2"/>
  <c r="H109" i="2"/>
  <c r="G109" i="2"/>
  <c r="H108" i="2"/>
  <c r="G108" i="2"/>
  <c r="H107" i="2"/>
  <c r="G107" i="2"/>
  <c r="H106" i="2"/>
  <c r="G106" i="2"/>
  <c r="H105" i="2"/>
  <c r="G105" i="2"/>
  <c r="H104" i="2"/>
  <c r="G104" i="2"/>
  <c r="H103" i="2"/>
  <c r="G103" i="2"/>
  <c r="H102" i="2"/>
  <c r="G102" i="2"/>
  <c r="H101" i="2"/>
  <c r="G101" i="2"/>
  <c r="H100" i="2"/>
  <c r="G100" i="2"/>
  <c r="H99" i="2"/>
  <c r="G99" i="2"/>
  <c r="M10" i="87"/>
  <c r="I7" i="89" l="1"/>
  <c r="I4" i="89"/>
  <c r="I8" i="89"/>
  <c r="I6" i="89"/>
  <c r="I2" i="89"/>
  <c r="I5" i="89"/>
  <c r="L12" i="89"/>
  <c r="K11" i="89" s="1"/>
  <c r="I9" i="89"/>
  <c r="I3" i="89"/>
  <c r="I10" i="89"/>
  <c r="C3" i="89"/>
  <c r="C5" i="89"/>
  <c r="C2" i="89"/>
  <c r="E2" i="89"/>
  <c r="C4" i="89"/>
  <c r="E7" i="89"/>
  <c r="C6" i="89"/>
  <c r="H111" i="2"/>
  <c r="L12" i="88"/>
  <c r="K7" i="88" s="1"/>
  <c r="I8" i="88"/>
  <c r="I3" i="88"/>
  <c r="I2" i="88"/>
  <c r="I5" i="88"/>
  <c r="E2" i="88"/>
  <c r="B7" i="88"/>
  <c r="E7" i="88"/>
  <c r="L13" i="88"/>
  <c r="K10" i="88"/>
  <c r="K5" i="88"/>
  <c r="K9" i="88"/>
  <c r="K3" i="88"/>
  <c r="I11" i="88"/>
  <c r="K2" i="88"/>
  <c r="C4" i="88"/>
  <c r="I9" i="88"/>
  <c r="I4" i="88"/>
  <c r="C6" i="88"/>
  <c r="I7" i="88"/>
  <c r="I10" i="88"/>
  <c r="G111" i="2"/>
  <c r="G112" i="2" s="1"/>
  <c r="H112" i="2" l="1"/>
  <c r="I12" i="89"/>
  <c r="K10" i="89"/>
  <c r="K2" i="89"/>
  <c r="K9" i="89"/>
  <c r="K5" i="89"/>
  <c r="K7" i="89"/>
  <c r="L13" i="89"/>
  <c r="K4" i="89"/>
  <c r="K3" i="89"/>
  <c r="K8" i="89"/>
  <c r="K6" i="89"/>
  <c r="K8" i="88"/>
  <c r="I12" i="88"/>
  <c r="K4" i="88"/>
  <c r="K12" i="88" s="1"/>
  <c r="K6" i="88"/>
  <c r="K11" i="88"/>
  <c r="C3" i="88"/>
  <c r="C5" i="88"/>
  <c r="C2" i="88"/>
  <c r="K12" i="89" l="1"/>
  <c r="C11" i="86" l="1"/>
  <c r="H12" i="86"/>
  <c r="I11" i="86" s="1"/>
  <c r="L9" i="86"/>
  <c r="L8" i="86"/>
  <c r="L7" i="86"/>
  <c r="L6" i="86"/>
  <c r="E6" i="86"/>
  <c r="L5" i="86"/>
  <c r="E5" i="86"/>
  <c r="L4" i="86"/>
  <c r="E4" i="86"/>
  <c r="L3" i="86"/>
  <c r="E3" i="86"/>
  <c r="L2" i="86"/>
  <c r="D2" i="86"/>
  <c r="D7" i="86" s="1"/>
  <c r="B2" i="86"/>
  <c r="B7" i="86" s="1"/>
  <c r="I3" i="86" l="1"/>
  <c r="I6" i="86"/>
  <c r="I2" i="86"/>
  <c r="I8" i="86"/>
  <c r="I4" i="86"/>
  <c r="I7" i="86"/>
  <c r="L12" i="86"/>
  <c r="K2" i="86" s="1"/>
  <c r="I5" i="86"/>
  <c r="I9" i="86"/>
  <c r="I10" i="86"/>
  <c r="C3" i="86"/>
  <c r="C6" i="86"/>
  <c r="C4" i="86"/>
  <c r="C5" i="86"/>
  <c r="E7" i="86"/>
  <c r="C2" i="86"/>
  <c r="E2" i="86"/>
  <c r="K4" i="86" l="1"/>
  <c r="K10" i="86"/>
  <c r="K5" i="86"/>
  <c r="K6" i="86"/>
  <c r="K9" i="86"/>
  <c r="K11" i="86"/>
  <c r="K8" i="86"/>
  <c r="L13" i="86"/>
  <c r="K7" i="86"/>
  <c r="K3" i="86"/>
  <c r="I12" i="86"/>
  <c r="K12" i="86" l="1"/>
  <c r="M149" i="74" l="1"/>
  <c r="L13" i="85"/>
  <c r="H12" i="85"/>
  <c r="I11" i="85" s="1"/>
  <c r="C11" i="85"/>
  <c r="L9" i="85"/>
  <c r="L8" i="85"/>
  <c r="L7" i="85"/>
  <c r="L6" i="85"/>
  <c r="E6" i="85"/>
  <c r="L5" i="85"/>
  <c r="E5" i="85"/>
  <c r="L4" i="85"/>
  <c r="E4" i="85"/>
  <c r="L3" i="85"/>
  <c r="E3" i="85"/>
  <c r="L2" i="85"/>
  <c r="D2" i="85"/>
  <c r="B2" i="85"/>
  <c r="B7" i="85" s="1"/>
  <c r="C3" i="85" s="1"/>
  <c r="M137" i="74"/>
  <c r="I3" i="85" l="1"/>
  <c r="L12" i="85"/>
  <c r="K2" i="85" s="1"/>
  <c r="I6" i="85"/>
  <c r="I10" i="85"/>
  <c r="I4" i="85"/>
  <c r="I7" i="85"/>
  <c r="I2" i="85"/>
  <c r="I8" i="85"/>
  <c r="I5" i="85"/>
  <c r="I9" i="85"/>
  <c r="E2" i="85"/>
  <c r="K10" i="85"/>
  <c r="K7" i="85"/>
  <c r="K4" i="85"/>
  <c r="K9" i="85"/>
  <c r="K3" i="85"/>
  <c r="K11" i="85"/>
  <c r="K6" i="85"/>
  <c r="D7" i="85"/>
  <c r="E7" i="85" s="1"/>
  <c r="C2" i="85"/>
  <c r="C5" i="85"/>
  <c r="C4" i="85"/>
  <c r="C6" i="85"/>
  <c r="K5" i="85" l="1"/>
  <c r="K8" i="85"/>
  <c r="K12" i="85" s="1"/>
  <c r="I12" i="85"/>
  <c r="L13" i="84" l="1"/>
  <c r="C11" i="84"/>
  <c r="H12" i="84"/>
  <c r="I10" i="84" s="1"/>
  <c r="L9" i="84"/>
  <c r="L8" i="84"/>
  <c r="L7" i="84"/>
  <c r="L6" i="84"/>
  <c r="E6" i="84"/>
  <c r="L5" i="84"/>
  <c r="E5" i="84"/>
  <c r="L4" i="84"/>
  <c r="E4" i="84"/>
  <c r="L3" i="84"/>
  <c r="E3" i="84"/>
  <c r="L2" i="84"/>
  <c r="D2" i="84"/>
  <c r="D7" i="84" s="1"/>
  <c r="B2" i="84"/>
  <c r="B7" i="84" s="1"/>
  <c r="M128" i="74"/>
  <c r="H12" i="83"/>
  <c r="I8" i="83" s="1"/>
  <c r="C11" i="83"/>
  <c r="L9" i="83"/>
  <c r="L8" i="83"/>
  <c r="L7" i="83"/>
  <c r="L6" i="83"/>
  <c r="E6" i="83"/>
  <c r="L5" i="83"/>
  <c r="E5" i="83"/>
  <c r="L4" i="83"/>
  <c r="E4" i="83"/>
  <c r="L3" i="83"/>
  <c r="E3" i="83"/>
  <c r="L2" i="83"/>
  <c r="D2" i="83"/>
  <c r="B2" i="83"/>
  <c r="L12" i="84" l="1"/>
  <c r="K9" i="84" s="1"/>
  <c r="I4" i="84"/>
  <c r="I7" i="84"/>
  <c r="I2" i="84"/>
  <c r="I8" i="84"/>
  <c r="I5" i="84"/>
  <c r="I9" i="84"/>
  <c r="I3" i="84"/>
  <c r="I6" i="84"/>
  <c r="I11" i="84"/>
  <c r="E7" i="84"/>
  <c r="C4" i="84"/>
  <c r="C5" i="84"/>
  <c r="C3" i="84"/>
  <c r="C6" i="84"/>
  <c r="C2" i="84"/>
  <c r="E2" i="84"/>
  <c r="I9" i="83"/>
  <c r="I4" i="83"/>
  <c r="I10" i="83"/>
  <c r="I2" i="83"/>
  <c r="I3" i="83"/>
  <c r="L12" i="83"/>
  <c r="K5" i="83" s="1"/>
  <c r="I5" i="83"/>
  <c r="I6" i="83"/>
  <c r="I7" i="83"/>
  <c r="I11" i="83"/>
  <c r="E2" i="83"/>
  <c r="D7" i="83"/>
  <c r="B7" i="83"/>
  <c r="K4" i="84" l="1"/>
  <c r="K6" i="84"/>
  <c r="K8" i="84"/>
  <c r="K5" i="84"/>
  <c r="K7" i="84"/>
  <c r="K10" i="84"/>
  <c r="K3" i="84"/>
  <c r="K11" i="84"/>
  <c r="K2" i="84"/>
  <c r="K12" i="84" s="1"/>
  <c r="I12" i="84"/>
  <c r="L13" i="83"/>
  <c r="I12" i="83"/>
  <c r="K4" i="83"/>
  <c r="K8" i="83"/>
  <c r="K9" i="83"/>
  <c r="K11" i="83"/>
  <c r="K6" i="83"/>
  <c r="K7" i="83"/>
  <c r="K10" i="83"/>
  <c r="K3" i="83"/>
  <c r="K2" i="83"/>
  <c r="C3" i="83"/>
  <c r="C6" i="83"/>
  <c r="C5" i="83"/>
  <c r="C4" i="83"/>
  <c r="C2" i="83"/>
  <c r="E7" i="83"/>
  <c r="K12" i="83" l="1"/>
  <c r="M119" i="74" l="1"/>
  <c r="H12" i="82"/>
  <c r="I11" i="82" s="1"/>
  <c r="C11" i="82"/>
  <c r="L9" i="82"/>
  <c r="L8" i="82"/>
  <c r="L7" i="82"/>
  <c r="L6" i="82"/>
  <c r="E6" i="82"/>
  <c r="L5" i="82"/>
  <c r="E5" i="82"/>
  <c r="L4" i="82"/>
  <c r="E4" i="82"/>
  <c r="L3" i="82"/>
  <c r="E3" i="82"/>
  <c r="L2" i="82"/>
  <c r="D2" i="82"/>
  <c r="D7" i="82" s="1"/>
  <c r="B2" i="82"/>
  <c r="M109" i="74"/>
  <c r="I4" i="82" l="1"/>
  <c r="I9" i="82"/>
  <c r="I7" i="82"/>
  <c r="L12" i="82"/>
  <c r="L13" i="82" s="1"/>
  <c r="I10" i="82"/>
  <c r="I3" i="82"/>
  <c r="I6" i="82"/>
  <c r="I2" i="82"/>
  <c r="I8" i="82"/>
  <c r="I5" i="82"/>
  <c r="B7" i="82"/>
  <c r="C5" i="82" s="1"/>
  <c r="E7" i="82"/>
  <c r="E2" i="82"/>
  <c r="C4" i="82"/>
  <c r="K11" i="82" l="1"/>
  <c r="K5" i="82"/>
  <c r="K3" i="82"/>
  <c r="K8" i="82"/>
  <c r="K6" i="82"/>
  <c r="K9" i="82"/>
  <c r="K7" i="82"/>
  <c r="K10" i="82"/>
  <c r="K4" i="82"/>
  <c r="K2" i="82"/>
  <c r="I12" i="82"/>
  <c r="C3" i="82"/>
  <c r="C6" i="82"/>
  <c r="C2" i="82"/>
  <c r="K12" i="82" l="1"/>
  <c r="H12" i="81" l="1"/>
  <c r="I11" i="81" s="1"/>
  <c r="C11" i="81"/>
  <c r="L9" i="81"/>
  <c r="L8" i="81"/>
  <c r="L7" i="81"/>
  <c r="B7" i="81"/>
  <c r="C3" i="81" s="1"/>
  <c r="L6" i="81"/>
  <c r="E6" i="81"/>
  <c r="L5" i="81"/>
  <c r="E5" i="81"/>
  <c r="L4" i="81"/>
  <c r="E4" i="81"/>
  <c r="L3" i="81"/>
  <c r="E3" i="81"/>
  <c r="L2" i="81"/>
  <c r="D2" i="81"/>
  <c r="E2" i="81" s="1"/>
  <c r="B2" i="81"/>
  <c r="M90" i="74"/>
  <c r="I6" i="81" l="1"/>
  <c r="I4" i="81"/>
  <c r="I2" i="81"/>
  <c r="I8" i="81"/>
  <c r="I5" i="81"/>
  <c r="I9" i="81"/>
  <c r="I3" i="81"/>
  <c r="L12" i="81"/>
  <c r="K7" i="81" s="1"/>
  <c r="I10" i="81"/>
  <c r="I7" i="81"/>
  <c r="C2" i="81"/>
  <c r="C5" i="81"/>
  <c r="D7" i="81"/>
  <c r="E7" i="81" s="1"/>
  <c r="C4" i="81"/>
  <c r="C6" i="81"/>
  <c r="K10" i="81" l="1"/>
  <c r="K5" i="81"/>
  <c r="K3" i="81"/>
  <c r="K11" i="81"/>
  <c r="L13" i="81"/>
  <c r="K2" i="81"/>
  <c r="K6" i="81"/>
  <c r="K9" i="81"/>
  <c r="K8" i="81"/>
  <c r="K4" i="81"/>
  <c r="I12" i="81"/>
  <c r="K12" i="81" l="1"/>
  <c r="H12" i="80" l="1"/>
  <c r="I11" i="80" s="1"/>
  <c r="C11" i="80"/>
  <c r="L9" i="80"/>
  <c r="L8" i="80"/>
  <c r="L7" i="80"/>
  <c r="D7" i="80"/>
  <c r="L6" i="80"/>
  <c r="E6" i="80"/>
  <c r="L5" i="80"/>
  <c r="E5" i="80"/>
  <c r="L4" i="80"/>
  <c r="E4" i="80"/>
  <c r="L3" i="80"/>
  <c r="E3" i="80"/>
  <c r="L2" i="80"/>
  <c r="L12" i="80" s="1"/>
  <c r="D2" i="80"/>
  <c r="B2" i="80"/>
  <c r="M74" i="74"/>
  <c r="H12" i="79"/>
  <c r="I11" i="79" s="1"/>
  <c r="C11" i="79"/>
  <c r="L9" i="79"/>
  <c r="L8" i="79"/>
  <c r="L7" i="79"/>
  <c r="L6" i="79"/>
  <c r="E6" i="79"/>
  <c r="L5" i="79"/>
  <c r="E5" i="79"/>
  <c r="L4" i="79"/>
  <c r="E4" i="79"/>
  <c r="L3" i="79"/>
  <c r="E3" i="79"/>
  <c r="L2" i="79"/>
  <c r="D2" i="79"/>
  <c r="D7" i="79" s="1"/>
  <c r="B2" i="79"/>
  <c r="B7" i="79" s="1"/>
  <c r="M63" i="74"/>
  <c r="I10" i="80" l="1"/>
  <c r="I5" i="80"/>
  <c r="I8" i="80"/>
  <c r="I2" i="80"/>
  <c r="I3" i="80"/>
  <c r="I9" i="80"/>
  <c r="I7" i="80"/>
  <c r="I6" i="80"/>
  <c r="I4" i="80"/>
  <c r="L13" i="80"/>
  <c r="K6" i="80"/>
  <c r="K8" i="80"/>
  <c r="K11" i="80"/>
  <c r="K3" i="80"/>
  <c r="K7" i="80"/>
  <c r="K4" i="80"/>
  <c r="K2" i="80"/>
  <c r="B7" i="80"/>
  <c r="E2" i="80"/>
  <c r="K5" i="80"/>
  <c r="K9" i="80"/>
  <c r="K10" i="80"/>
  <c r="L12" i="79"/>
  <c r="L13" i="79" s="1"/>
  <c r="I4" i="79"/>
  <c r="I2" i="79"/>
  <c r="I8" i="79"/>
  <c r="I9" i="79"/>
  <c r="I3" i="79"/>
  <c r="I5" i="79"/>
  <c r="I7" i="79"/>
  <c r="I6" i="79"/>
  <c r="I10" i="79"/>
  <c r="E7" i="79"/>
  <c r="K11" i="79"/>
  <c r="K8" i="79"/>
  <c r="K3" i="79"/>
  <c r="K6" i="79"/>
  <c r="K10" i="79"/>
  <c r="K7" i="79"/>
  <c r="K4" i="79"/>
  <c r="K9" i="79"/>
  <c r="K2" i="79"/>
  <c r="C5" i="79"/>
  <c r="C3" i="79"/>
  <c r="C6" i="79"/>
  <c r="C4" i="79"/>
  <c r="C2" i="79"/>
  <c r="E2" i="79"/>
  <c r="I12" i="80" l="1"/>
  <c r="K12" i="80"/>
  <c r="C3" i="80"/>
  <c r="C6" i="80"/>
  <c r="C5" i="80"/>
  <c r="C4" i="80"/>
  <c r="C2" i="80"/>
  <c r="E7" i="80"/>
  <c r="K5" i="79"/>
  <c r="I12" i="79"/>
  <c r="K12" i="79"/>
  <c r="H12" i="78" l="1"/>
  <c r="I6" i="78" s="1"/>
  <c r="C11" i="78"/>
  <c r="L9" i="78"/>
  <c r="L8" i="78"/>
  <c r="L7" i="78"/>
  <c r="B7" i="78"/>
  <c r="C4" i="78" s="1"/>
  <c r="L6" i="78"/>
  <c r="E6" i="78"/>
  <c r="L5" i="78"/>
  <c r="E5" i="78"/>
  <c r="L4" i="78"/>
  <c r="E4" i="78"/>
  <c r="L3" i="78"/>
  <c r="E3" i="78"/>
  <c r="L2" i="78"/>
  <c r="D2" i="78"/>
  <c r="D7" i="78" s="1"/>
  <c r="B2" i="78"/>
  <c r="C2" i="78" s="1"/>
  <c r="C5" i="78" l="1"/>
  <c r="E7" i="78"/>
  <c r="I2" i="78"/>
  <c r="I8" i="78"/>
  <c r="I5" i="78"/>
  <c r="L12" i="78"/>
  <c r="L13" i="78" s="1"/>
  <c r="I9" i="78"/>
  <c r="I3" i="78"/>
  <c r="I11" i="78"/>
  <c r="K4" i="78"/>
  <c r="E2" i="78"/>
  <c r="C6" i="78"/>
  <c r="C3" i="78"/>
  <c r="I10" i="78"/>
  <c r="I4" i="78"/>
  <c r="I7" i="78"/>
  <c r="K8" i="78" l="1"/>
  <c r="K5" i="78"/>
  <c r="K2" i="78"/>
  <c r="K9" i="78"/>
  <c r="K3" i="78"/>
  <c r="K12" i="78" s="1"/>
  <c r="K7" i="78"/>
  <c r="K11" i="78"/>
  <c r="K10" i="78"/>
  <c r="K6" i="78"/>
  <c r="I12" i="78"/>
  <c r="M52" i="74" l="1"/>
  <c r="C11" i="77"/>
  <c r="L13" i="77"/>
  <c r="H12" i="77"/>
  <c r="I11" i="77" s="1"/>
  <c r="L9" i="77"/>
  <c r="L8" i="77"/>
  <c r="L7" i="77"/>
  <c r="L6" i="77"/>
  <c r="E6" i="77"/>
  <c r="L5" i="77"/>
  <c r="E5" i="77"/>
  <c r="L4" i="77"/>
  <c r="E4" i="77"/>
  <c r="L3" i="77"/>
  <c r="E3" i="77"/>
  <c r="L2" i="77"/>
  <c r="D2" i="77"/>
  <c r="D7" i="77" s="1"/>
  <c r="B2" i="77"/>
  <c r="B7" i="77" s="1"/>
  <c r="M40" i="74"/>
  <c r="H12" i="76"/>
  <c r="I6" i="76" s="1"/>
  <c r="C11" i="76"/>
  <c r="L9" i="76"/>
  <c r="L8" i="76"/>
  <c r="L7" i="76"/>
  <c r="L6" i="76"/>
  <c r="E6" i="76"/>
  <c r="L5" i="76"/>
  <c r="E5" i="76"/>
  <c r="L4" i="76"/>
  <c r="E4" i="76"/>
  <c r="L3" i="76"/>
  <c r="E3" i="76"/>
  <c r="L2" i="76"/>
  <c r="D2" i="76"/>
  <c r="B2" i="76"/>
  <c r="B7" i="76" s="1"/>
  <c r="M23" i="74"/>
  <c r="H12" i="75"/>
  <c r="I11" i="75" s="1"/>
  <c r="C11" i="75"/>
  <c r="L9" i="75"/>
  <c r="L8" i="75"/>
  <c r="L7" i="75"/>
  <c r="L6" i="75"/>
  <c r="E6" i="75"/>
  <c r="L5" i="75"/>
  <c r="E5" i="75"/>
  <c r="L4" i="75"/>
  <c r="E4" i="75"/>
  <c r="L3" i="75"/>
  <c r="E3" i="75"/>
  <c r="L2" i="75"/>
  <c r="D2" i="75"/>
  <c r="B2" i="75"/>
  <c r="B7" i="75" s="1"/>
  <c r="H95" i="2"/>
  <c r="G95" i="2"/>
  <c r="H94" i="2"/>
  <c r="G94" i="2"/>
  <c r="H93" i="2"/>
  <c r="G93" i="2"/>
  <c r="H92" i="2"/>
  <c r="G92" i="2"/>
  <c r="H91" i="2"/>
  <c r="G91" i="2"/>
  <c r="H90" i="2"/>
  <c r="G90" i="2"/>
  <c r="H89" i="2"/>
  <c r="G89" i="2"/>
  <c r="H88" i="2"/>
  <c r="G88" i="2"/>
  <c r="H87" i="2"/>
  <c r="G87" i="2"/>
  <c r="H86" i="2"/>
  <c r="G86" i="2"/>
  <c r="H85" i="2"/>
  <c r="G85" i="2"/>
  <c r="H84" i="2"/>
  <c r="G84" i="2"/>
  <c r="M14" i="74"/>
  <c r="I6" i="77" l="1"/>
  <c r="I10" i="77"/>
  <c r="I2" i="77"/>
  <c r="I8" i="77"/>
  <c r="I5" i="77"/>
  <c r="I4" i="77"/>
  <c r="I7" i="77"/>
  <c r="I9" i="77"/>
  <c r="I3" i="77"/>
  <c r="C4" i="77"/>
  <c r="C3" i="77"/>
  <c r="C5" i="77"/>
  <c r="C6" i="77"/>
  <c r="E7" i="77"/>
  <c r="C2" i="77"/>
  <c r="L12" i="77"/>
  <c r="K2" i="77" s="1"/>
  <c r="E2" i="77"/>
  <c r="L12" i="76"/>
  <c r="K7" i="76" s="1"/>
  <c r="I3" i="76"/>
  <c r="I8" i="76"/>
  <c r="C4" i="76"/>
  <c r="C2" i="76"/>
  <c r="C5" i="76"/>
  <c r="E2" i="76"/>
  <c r="D7" i="76"/>
  <c r="E7" i="76" s="1"/>
  <c r="I11" i="76"/>
  <c r="I5" i="76"/>
  <c r="I2" i="76"/>
  <c r="I9" i="76"/>
  <c r="I4" i="76"/>
  <c r="C6" i="76"/>
  <c r="I7" i="76"/>
  <c r="C3" i="76"/>
  <c r="I10" i="76"/>
  <c r="G96" i="2"/>
  <c r="G97" i="2" s="1"/>
  <c r="I6" i="75"/>
  <c r="I10" i="75"/>
  <c r="I3" i="75"/>
  <c r="I7" i="75"/>
  <c r="I4" i="75"/>
  <c r="I8" i="75"/>
  <c r="I2" i="75"/>
  <c r="I5" i="75"/>
  <c r="I9" i="75"/>
  <c r="E2" i="75"/>
  <c r="C3" i="75"/>
  <c r="C4" i="75"/>
  <c r="C5" i="75"/>
  <c r="C6" i="75"/>
  <c r="D7" i="75"/>
  <c r="E7" i="75" s="1"/>
  <c r="L12" i="75"/>
  <c r="K2" i="75" s="1"/>
  <c r="C2" i="75"/>
  <c r="H96" i="2"/>
  <c r="H97" i="2" s="1"/>
  <c r="K9" i="77" l="1"/>
  <c r="K8" i="77"/>
  <c r="I12" i="77"/>
  <c r="K3" i="77"/>
  <c r="K5" i="77"/>
  <c r="K11" i="77"/>
  <c r="K6" i="77"/>
  <c r="K10" i="77"/>
  <c r="K7" i="77"/>
  <c r="K4" i="77"/>
  <c r="L13" i="76"/>
  <c r="K9" i="76"/>
  <c r="K6" i="76"/>
  <c r="K4" i="76"/>
  <c r="K3" i="76"/>
  <c r="K8" i="76"/>
  <c r="K2" i="76"/>
  <c r="K12" i="76" s="1"/>
  <c r="K11" i="76"/>
  <c r="K5" i="76"/>
  <c r="K10" i="76"/>
  <c r="I12" i="76"/>
  <c r="K9" i="75"/>
  <c r="I12" i="75"/>
  <c r="L13" i="75"/>
  <c r="K7" i="75"/>
  <c r="K5" i="75"/>
  <c r="K11" i="75"/>
  <c r="K8" i="75"/>
  <c r="K3" i="75"/>
  <c r="K6" i="75"/>
  <c r="K10" i="75"/>
  <c r="K4" i="75"/>
  <c r="C11" i="71"/>
  <c r="H12" i="71"/>
  <c r="I11" i="71" s="1"/>
  <c r="L9" i="71"/>
  <c r="L8" i="71"/>
  <c r="L7" i="71"/>
  <c r="L6" i="71"/>
  <c r="E6" i="71"/>
  <c r="L5" i="71"/>
  <c r="E5" i="71"/>
  <c r="L4" i="71"/>
  <c r="E4" i="71"/>
  <c r="L3" i="71"/>
  <c r="E3" i="71"/>
  <c r="L2" i="71"/>
  <c r="D2" i="71"/>
  <c r="D7" i="71" s="1"/>
  <c r="B2" i="71"/>
  <c r="M138" i="59"/>
  <c r="K12" i="77" l="1"/>
  <c r="K12" i="75"/>
  <c r="I6" i="71"/>
  <c r="I10" i="71"/>
  <c r="I2" i="71"/>
  <c r="I8" i="71"/>
  <c r="I4" i="71"/>
  <c r="I7" i="71"/>
  <c r="I5" i="71"/>
  <c r="I9" i="71"/>
  <c r="I3" i="71"/>
  <c r="E2" i="71"/>
  <c r="B7" i="71"/>
  <c r="L12" i="71"/>
  <c r="K2" i="71" s="1"/>
  <c r="I12" i="71" l="1"/>
  <c r="K5" i="71"/>
  <c r="K8" i="71"/>
  <c r="K10" i="71"/>
  <c r="K11" i="71"/>
  <c r="L13" i="71"/>
  <c r="K7" i="71"/>
  <c r="K4" i="71"/>
  <c r="K6" i="71"/>
  <c r="C3" i="71"/>
  <c r="C4" i="71"/>
  <c r="C5" i="71"/>
  <c r="C6" i="71"/>
  <c r="C2" i="71"/>
  <c r="K9" i="71"/>
  <c r="E7" i="71"/>
  <c r="K3" i="71"/>
  <c r="K12" i="71" l="1"/>
  <c r="L13" i="70" l="1"/>
  <c r="H12" i="70"/>
  <c r="I11" i="70" s="1"/>
  <c r="C11" i="70"/>
  <c r="L9" i="70"/>
  <c r="L8" i="70"/>
  <c r="L7" i="70"/>
  <c r="L6" i="70"/>
  <c r="E6" i="70"/>
  <c r="L5" i="70"/>
  <c r="E5" i="70"/>
  <c r="L4" i="70"/>
  <c r="E4" i="70"/>
  <c r="L3" i="70"/>
  <c r="E3" i="70"/>
  <c r="L2" i="70"/>
  <c r="D2" i="70"/>
  <c r="B2" i="70"/>
  <c r="B7" i="70" s="1"/>
  <c r="C3" i="70" s="1"/>
  <c r="M125" i="59"/>
  <c r="L13" i="69"/>
  <c r="H12" i="69"/>
  <c r="I10" i="69" s="1"/>
  <c r="I11" i="69"/>
  <c r="C11" i="69"/>
  <c r="L9" i="69"/>
  <c r="L8" i="69"/>
  <c r="L7" i="69"/>
  <c r="I7" i="69"/>
  <c r="L6" i="69"/>
  <c r="E6" i="69"/>
  <c r="L5" i="69"/>
  <c r="E5" i="69"/>
  <c r="L4" i="69"/>
  <c r="E4" i="69"/>
  <c r="L3" i="69"/>
  <c r="E3" i="69"/>
  <c r="L2" i="69"/>
  <c r="D2" i="69"/>
  <c r="B2" i="69"/>
  <c r="B7" i="69" s="1"/>
  <c r="M109" i="59"/>
  <c r="H12" i="68"/>
  <c r="I10" i="68" s="1"/>
  <c r="C11" i="68"/>
  <c r="L9" i="68"/>
  <c r="L8" i="68"/>
  <c r="L7" i="68"/>
  <c r="L6" i="68"/>
  <c r="E6" i="68"/>
  <c r="L5" i="68"/>
  <c r="E5" i="68"/>
  <c r="L4" i="68"/>
  <c r="E4" i="68"/>
  <c r="L3" i="68"/>
  <c r="E3" i="68"/>
  <c r="L2" i="68"/>
  <c r="D2" i="68"/>
  <c r="D7" i="68" s="1"/>
  <c r="B2" i="68"/>
  <c r="B7" i="68" s="1"/>
  <c r="M93" i="59"/>
  <c r="C11" i="67"/>
  <c r="L13" i="67"/>
  <c r="H12" i="67"/>
  <c r="I10" i="67" s="1"/>
  <c r="L9" i="67"/>
  <c r="L8" i="67"/>
  <c r="L7" i="67"/>
  <c r="L6" i="67"/>
  <c r="E6" i="67"/>
  <c r="L5" i="67"/>
  <c r="E5" i="67"/>
  <c r="L4" i="67"/>
  <c r="E4" i="67"/>
  <c r="L3" i="67"/>
  <c r="E3" i="67"/>
  <c r="L2" i="67"/>
  <c r="D2" i="67"/>
  <c r="B2" i="67"/>
  <c r="B7" i="67" s="1"/>
  <c r="M80" i="59"/>
  <c r="I10" i="70" l="1"/>
  <c r="I2" i="70"/>
  <c r="I6" i="70"/>
  <c r="I7" i="70"/>
  <c r="I4" i="70"/>
  <c r="I8" i="70"/>
  <c r="I9" i="70"/>
  <c r="L12" i="70"/>
  <c r="K7" i="70" s="1"/>
  <c r="I5" i="70"/>
  <c r="I3" i="70"/>
  <c r="E2" i="70"/>
  <c r="C5" i="70"/>
  <c r="C2" i="70"/>
  <c r="K8" i="70"/>
  <c r="D7" i="70"/>
  <c r="E7" i="70" s="1"/>
  <c r="C6" i="70"/>
  <c r="C4" i="70"/>
  <c r="L12" i="69"/>
  <c r="K11" i="69" s="1"/>
  <c r="I4" i="69"/>
  <c r="I2" i="69"/>
  <c r="I8" i="69"/>
  <c r="I5" i="69"/>
  <c r="I9" i="69"/>
  <c r="I3" i="69"/>
  <c r="I6" i="69"/>
  <c r="E2" i="69"/>
  <c r="K9" i="69"/>
  <c r="C6" i="69"/>
  <c r="C4" i="69"/>
  <c r="C5" i="69"/>
  <c r="C3" i="69"/>
  <c r="D7" i="69"/>
  <c r="E7" i="69" s="1"/>
  <c r="C2" i="69"/>
  <c r="I7" i="68"/>
  <c r="I4" i="68"/>
  <c r="I8" i="68"/>
  <c r="I2" i="68"/>
  <c r="I9" i="68"/>
  <c r="I5" i="68"/>
  <c r="I3" i="68"/>
  <c r="L12" i="68"/>
  <c r="K8" i="68" s="1"/>
  <c r="I6" i="68"/>
  <c r="I11" i="68"/>
  <c r="C4" i="68"/>
  <c r="C3" i="68"/>
  <c r="C5" i="68"/>
  <c r="C6" i="68"/>
  <c r="E7" i="68"/>
  <c r="C2" i="68"/>
  <c r="E2" i="68"/>
  <c r="I7" i="67"/>
  <c r="I11" i="67"/>
  <c r="I4" i="67"/>
  <c r="L12" i="67"/>
  <c r="K4" i="67" s="1"/>
  <c r="I2" i="67"/>
  <c r="I5" i="67"/>
  <c r="I8" i="67"/>
  <c r="I9" i="67"/>
  <c r="I3" i="67"/>
  <c r="I6" i="67"/>
  <c r="E2" i="67"/>
  <c r="C4" i="67"/>
  <c r="C6" i="67"/>
  <c r="C5" i="67"/>
  <c r="C3" i="67"/>
  <c r="K6" i="67"/>
  <c r="K7" i="67"/>
  <c r="C2" i="67"/>
  <c r="D7" i="67"/>
  <c r="E7" i="67" s="1"/>
  <c r="K6" i="70" l="1"/>
  <c r="K5" i="70"/>
  <c r="K2" i="70"/>
  <c r="K11" i="70"/>
  <c r="K3" i="70"/>
  <c r="K9" i="70"/>
  <c r="K10" i="70"/>
  <c r="K4" i="70"/>
  <c r="K12" i="70" s="1"/>
  <c r="I12" i="70"/>
  <c r="K7" i="69"/>
  <c r="K2" i="69"/>
  <c r="K6" i="69"/>
  <c r="K8" i="69"/>
  <c r="K5" i="69"/>
  <c r="K4" i="69"/>
  <c r="K10" i="69"/>
  <c r="K3" i="69"/>
  <c r="I12" i="69"/>
  <c r="I12" i="68"/>
  <c r="K7" i="68"/>
  <c r="K2" i="68"/>
  <c r="K11" i="68"/>
  <c r="K10" i="68"/>
  <c r="K6" i="68"/>
  <c r="K3" i="68"/>
  <c r="K9" i="68"/>
  <c r="L13" i="68"/>
  <c r="K5" i="68"/>
  <c r="K4" i="68"/>
  <c r="K5" i="67"/>
  <c r="K2" i="67"/>
  <c r="K12" i="67" s="1"/>
  <c r="K8" i="67"/>
  <c r="K10" i="67"/>
  <c r="K9" i="67"/>
  <c r="K3" i="67"/>
  <c r="K11" i="67"/>
  <c r="I12" i="67"/>
  <c r="K12" i="69" l="1"/>
  <c r="K12" i="68"/>
  <c r="L13" i="66"/>
  <c r="C11" i="66"/>
  <c r="H12" i="66"/>
  <c r="I8" i="66" s="1"/>
  <c r="L9" i="66"/>
  <c r="L8" i="66"/>
  <c r="L7" i="66"/>
  <c r="L6" i="66"/>
  <c r="E6" i="66"/>
  <c r="L5" i="66"/>
  <c r="I5" i="66"/>
  <c r="E5" i="66"/>
  <c r="L4" i="66"/>
  <c r="E4" i="66"/>
  <c r="L3" i="66"/>
  <c r="E3" i="66"/>
  <c r="L2" i="66"/>
  <c r="D2" i="66"/>
  <c r="D7" i="66" s="1"/>
  <c r="B2" i="66"/>
  <c r="B7" i="66" s="1"/>
  <c r="M70" i="59"/>
  <c r="I9" i="66" l="1"/>
  <c r="I4" i="66"/>
  <c r="I3" i="66"/>
  <c r="I6" i="66"/>
  <c r="I10" i="66"/>
  <c r="I11" i="66"/>
  <c r="I7" i="66"/>
  <c r="I2" i="66"/>
  <c r="I12" i="66" s="1"/>
  <c r="E7" i="66"/>
  <c r="C6" i="66"/>
  <c r="C4" i="66"/>
  <c r="C5" i="66"/>
  <c r="C3" i="66"/>
  <c r="L12" i="66"/>
  <c r="K2" i="66" s="1"/>
  <c r="C2" i="66"/>
  <c r="E2" i="66"/>
  <c r="K9" i="66" l="1"/>
  <c r="K5" i="66"/>
  <c r="K8" i="66"/>
  <c r="K10" i="66"/>
  <c r="K3" i="66"/>
  <c r="K7" i="66"/>
  <c r="K4" i="66"/>
  <c r="K11" i="66"/>
  <c r="K6" i="66"/>
  <c r="K12" i="66" l="1"/>
  <c r="H12" i="65" l="1"/>
  <c r="I10" i="65" s="1"/>
  <c r="C11" i="65"/>
  <c r="L9" i="65"/>
  <c r="L8" i="65"/>
  <c r="L7" i="65"/>
  <c r="L6" i="65"/>
  <c r="E6" i="65"/>
  <c r="L5" i="65"/>
  <c r="E5" i="65"/>
  <c r="L4" i="65"/>
  <c r="E4" i="65"/>
  <c r="L3" i="65"/>
  <c r="E3" i="65"/>
  <c r="L2" i="65"/>
  <c r="D2" i="65"/>
  <c r="D7" i="65" s="1"/>
  <c r="B2" i="65"/>
  <c r="I7" i="65" l="1"/>
  <c r="I4" i="65"/>
  <c r="I11" i="65"/>
  <c r="L12" i="65"/>
  <c r="K7" i="65" s="1"/>
  <c r="I5" i="65"/>
  <c r="I2" i="65"/>
  <c r="I8" i="65"/>
  <c r="I9" i="65"/>
  <c r="I3" i="65"/>
  <c r="I6" i="65"/>
  <c r="B7" i="65"/>
  <c r="C3" i="65" s="1"/>
  <c r="E2" i="65"/>
  <c r="K11" i="65" l="1"/>
  <c r="K2" i="65"/>
  <c r="L13" i="65"/>
  <c r="K9" i="65"/>
  <c r="K3" i="65"/>
  <c r="K6" i="65"/>
  <c r="K4" i="65"/>
  <c r="K5" i="65"/>
  <c r="I12" i="65"/>
  <c r="K10" i="65"/>
  <c r="K8" i="65"/>
  <c r="C2" i="65"/>
  <c r="C6" i="65"/>
  <c r="C4" i="65"/>
  <c r="C5" i="65"/>
  <c r="E7" i="65"/>
  <c r="K12" i="65" l="1"/>
  <c r="M59" i="59" l="1"/>
  <c r="L13" i="64"/>
  <c r="C11" i="64"/>
  <c r="H12" i="64"/>
  <c r="I10" i="64" s="1"/>
  <c r="L9" i="64"/>
  <c r="L8" i="64"/>
  <c r="L7" i="64"/>
  <c r="L6" i="64"/>
  <c r="E6" i="64"/>
  <c r="L5" i="64"/>
  <c r="E5" i="64"/>
  <c r="L4" i="64"/>
  <c r="E4" i="64"/>
  <c r="L3" i="64"/>
  <c r="E3" i="64"/>
  <c r="L2" i="64"/>
  <c r="L12" i="64" s="1"/>
  <c r="D2" i="64"/>
  <c r="D7" i="64" s="1"/>
  <c r="B2" i="64"/>
  <c r="B7" i="64" s="1"/>
  <c r="M42" i="59"/>
  <c r="H12" i="63"/>
  <c r="I10" i="63" s="1"/>
  <c r="C11" i="63"/>
  <c r="L9" i="63"/>
  <c r="L8" i="63"/>
  <c r="L7" i="63"/>
  <c r="L6" i="63"/>
  <c r="E6" i="63"/>
  <c r="L5" i="63"/>
  <c r="E5" i="63"/>
  <c r="L4" i="63"/>
  <c r="E4" i="63"/>
  <c r="L3" i="63"/>
  <c r="E3" i="63"/>
  <c r="L2" i="63"/>
  <c r="D2" i="63"/>
  <c r="D7" i="63" s="1"/>
  <c r="B2" i="63"/>
  <c r="B7" i="63" s="1"/>
  <c r="M33" i="59"/>
  <c r="I2" i="64" l="1"/>
  <c r="I7" i="64"/>
  <c r="I6" i="64"/>
  <c r="I4" i="64"/>
  <c r="I9" i="64"/>
  <c r="I11" i="64"/>
  <c r="I8" i="64"/>
  <c r="I5" i="64"/>
  <c r="I3" i="64"/>
  <c r="E7" i="64"/>
  <c r="C4" i="64"/>
  <c r="C6" i="64"/>
  <c r="C5" i="64"/>
  <c r="C3" i="64"/>
  <c r="K5" i="64"/>
  <c r="K11" i="64"/>
  <c r="K7" i="64"/>
  <c r="K4" i="64"/>
  <c r="K9" i="64"/>
  <c r="K2" i="64"/>
  <c r="K6" i="64"/>
  <c r="K10" i="64"/>
  <c r="K8" i="64"/>
  <c r="K3" i="64"/>
  <c r="C2" i="64"/>
  <c r="E2" i="64"/>
  <c r="I4" i="63"/>
  <c r="I11" i="63"/>
  <c r="I5" i="63"/>
  <c r="I2" i="63"/>
  <c r="I8" i="63"/>
  <c r="I9" i="63"/>
  <c r="I7" i="63"/>
  <c r="I3" i="63"/>
  <c r="I6" i="63"/>
  <c r="E7" i="63"/>
  <c r="C5" i="63"/>
  <c r="C4" i="63"/>
  <c r="C3" i="63"/>
  <c r="C6" i="63"/>
  <c r="C2" i="63"/>
  <c r="L12" i="63"/>
  <c r="K8" i="63" s="1"/>
  <c r="E2" i="63"/>
  <c r="I12" i="64" l="1"/>
  <c r="K12" i="64"/>
  <c r="I12" i="63"/>
  <c r="K9" i="63"/>
  <c r="L13" i="63"/>
  <c r="K7" i="63"/>
  <c r="K11" i="63"/>
  <c r="K10" i="63"/>
  <c r="K6" i="63"/>
  <c r="K4" i="63"/>
  <c r="K3" i="63"/>
  <c r="K2" i="63"/>
  <c r="K5" i="63"/>
  <c r="K12" i="63" l="1"/>
  <c r="H12" i="62" l="1"/>
  <c r="I11" i="62" s="1"/>
  <c r="C11" i="62"/>
  <c r="L9" i="62"/>
  <c r="L8" i="62"/>
  <c r="L7" i="62"/>
  <c r="D7" i="62"/>
  <c r="L6" i="62"/>
  <c r="E6" i="62"/>
  <c r="L5" i="62"/>
  <c r="E5" i="62"/>
  <c r="L4" i="62"/>
  <c r="E4" i="62"/>
  <c r="L3" i="62"/>
  <c r="E3" i="62"/>
  <c r="L2" i="62"/>
  <c r="D2" i="62"/>
  <c r="B2" i="62"/>
  <c r="B7" i="62" s="1"/>
  <c r="L12" i="62" l="1"/>
  <c r="K10" i="62" s="1"/>
  <c r="I3" i="62"/>
  <c r="I7" i="62"/>
  <c r="I2" i="62"/>
  <c r="I8" i="62"/>
  <c r="I5" i="62"/>
  <c r="I9" i="62"/>
  <c r="I6" i="62"/>
  <c r="I10" i="62"/>
  <c r="I4" i="62"/>
  <c r="K3" i="62"/>
  <c r="C6" i="62"/>
  <c r="C5" i="62"/>
  <c r="C3" i="62"/>
  <c r="C4" i="62"/>
  <c r="L13" i="62"/>
  <c r="K7" i="62"/>
  <c r="K5" i="62"/>
  <c r="E7" i="62"/>
  <c r="C2" i="62"/>
  <c r="E2" i="62"/>
  <c r="K4" i="62" l="1"/>
  <c r="K12" i="62" s="1"/>
  <c r="K8" i="62"/>
  <c r="K6" i="62"/>
  <c r="K2" i="62"/>
  <c r="K9" i="62"/>
  <c r="K11" i="62"/>
  <c r="I12" i="62"/>
  <c r="M26" i="59" l="1"/>
  <c r="H12" i="61"/>
  <c r="I11" i="61" s="1"/>
  <c r="C11" i="61"/>
  <c r="L9" i="61"/>
  <c r="L8" i="61"/>
  <c r="L7" i="61"/>
  <c r="L6" i="61"/>
  <c r="E6" i="61"/>
  <c r="L5" i="61"/>
  <c r="E5" i="61"/>
  <c r="L4" i="61"/>
  <c r="E4" i="61"/>
  <c r="L3" i="61"/>
  <c r="E3" i="61"/>
  <c r="L2" i="61"/>
  <c r="L12" i="61" s="1"/>
  <c r="D2" i="61"/>
  <c r="B2" i="61"/>
  <c r="M17" i="59"/>
  <c r="I2" i="61" l="1"/>
  <c r="K6" i="61"/>
  <c r="I9" i="61"/>
  <c r="I5" i="61"/>
  <c r="E2" i="61"/>
  <c r="B7" i="61"/>
  <c r="C5" i="61" s="1"/>
  <c r="K11" i="61"/>
  <c r="L13" i="61"/>
  <c r="K10" i="61"/>
  <c r="K7" i="61"/>
  <c r="K4" i="61"/>
  <c r="K9" i="61"/>
  <c r="K2" i="61"/>
  <c r="K5" i="61"/>
  <c r="K8" i="61"/>
  <c r="K3" i="61"/>
  <c r="D7" i="61"/>
  <c r="E7" i="61" s="1"/>
  <c r="I4" i="61"/>
  <c r="C6" i="61"/>
  <c r="I7" i="61"/>
  <c r="I10" i="61"/>
  <c r="I6" i="61"/>
  <c r="I3" i="61"/>
  <c r="I8" i="61"/>
  <c r="I12" i="61" l="1"/>
  <c r="K12" i="61"/>
  <c r="C3" i="61"/>
  <c r="C4" i="61"/>
  <c r="C2" i="61"/>
  <c r="H12" i="60" l="1"/>
  <c r="I10" i="60" s="1"/>
  <c r="C11" i="60"/>
  <c r="L9" i="60"/>
  <c r="L8" i="60"/>
  <c r="L7" i="60"/>
  <c r="I7" i="60"/>
  <c r="L6" i="60"/>
  <c r="I6" i="60"/>
  <c r="E6" i="60"/>
  <c r="L5" i="60"/>
  <c r="E5" i="60"/>
  <c r="L4" i="60"/>
  <c r="E4" i="60"/>
  <c r="L3" i="60"/>
  <c r="I3" i="60"/>
  <c r="E3" i="60"/>
  <c r="L2" i="60"/>
  <c r="I2" i="60"/>
  <c r="D2" i="60"/>
  <c r="D7" i="60" s="1"/>
  <c r="B2" i="60"/>
  <c r="B7" i="60" s="1"/>
  <c r="C3" i="60" s="1"/>
  <c r="H80" i="2"/>
  <c r="G80" i="2"/>
  <c r="H79" i="2"/>
  <c r="G79" i="2"/>
  <c r="H78" i="2"/>
  <c r="G78" i="2"/>
  <c r="H77" i="2"/>
  <c r="G77" i="2"/>
  <c r="H76" i="2"/>
  <c r="G76" i="2"/>
  <c r="H75" i="2"/>
  <c r="G75" i="2"/>
  <c r="H74" i="2"/>
  <c r="G74" i="2"/>
  <c r="H73" i="2"/>
  <c r="G73" i="2"/>
  <c r="H72" i="2"/>
  <c r="G72" i="2"/>
  <c r="H71" i="2"/>
  <c r="G71" i="2"/>
  <c r="H70" i="2"/>
  <c r="G70" i="2"/>
  <c r="H69" i="2"/>
  <c r="G69" i="2"/>
  <c r="M10" i="59"/>
  <c r="G81" i="2" l="1"/>
  <c r="G82" i="2" s="1"/>
  <c r="I4" i="60"/>
  <c r="L12" i="60"/>
  <c r="K3" i="60" s="1"/>
  <c r="I8" i="60"/>
  <c r="I5" i="60"/>
  <c r="I9" i="60"/>
  <c r="E2" i="60"/>
  <c r="C2" i="60"/>
  <c r="E7" i="60"/>
  <c r="L13" i="60"/>
  <c r="K10" i="60"/>
  <c r="K5" i="60"/>
  <c r="C5" i="60"/>
  <c r="I11" i="60"/>
  <c r="C4" i="60"/>
  <c r="K2" i="60"/>
  <c r="C6" i="60"/>
  <c r="H81" i="2"/>
  <c r="H82" i="2" l="1"/>
  <c r="K6" i="60"/>
  <c r="K11" i="60"/>
  <c r="K8" i="60"/>
  <c r="K4" i="60"/>
  <c r="K9" i="60"/>
  <c r="K7" i="60"/>
  <c r="I12" i="60"/>
  <c r="K12" i="60" l="1"/>
  <c r="H12" i="58" l="1"/>
  <c r="I11" i="58" s="1"/>
  <c r="C11" i="58"/>
  <c r="L9" i="58"/>
  <c r="L8" i="58"/>
  <c r="L7" i="58"/>
  <c r="L6" i="58"/>
  <c r="E6" i="58"/>
  <c r="L5" i="58"/>
  <c r="E5" i="58"/>
  <c r="L4" i="58"/>
  <c r="E4" i="58"/>
  <c r="L3" i="58"/>
  <c r="E3" i="58"/>
  <c r="L2" i="58"/>
  <c r="D2" i="58"/>
  <c r="D7" i="58" s="1"/>
  <c r="B2" i="58"/>
  <c r="B7" i="58" s="1"/>
  <c r="M158" i="46"/>
  <c r="L12" i="58" l="1"/>
  <c r="L13" i="58" s="1"/>
  <c r="I6" i="58"/>
  <c r="K8" i="58"/>
  <c r="I2" i="58"/>
  <c r="K6" i="58"/>
  <c r="I9" i="58"/>
  <c r="I5" i="58"/>
  <c r="I3" i="58"/>
  <c r="I10" i="58"/>
  <c r="I4" i="58"/>
  <c r="I7" i="58"/>
  <c r="C3" i="58"/>
  <c r="C4" i="58"/>
  <c r="C5" i="58"/>
  <c r="C6" i="58"/>
  <c r="E7" i="58"/>
  <c r="K11" i="58"/>
  <c r="K4" i="58"/>
  <c r="K10" i="58"/>
  <c r="K7" i="58"/>
  <c r="K5" i="58"/>
  <c r="K9" i="58"/>
  <c r="C2" i="58"/>
  <c r="I8" i="58"/>
  <c r="E2" i="58"/>
  <c r="K2" i="58"/>
  <c r="K3" i="58" l="1"/>
  <c r="I12" i="58"/>
  <c r="K12" i="58"/>
  <c r="C11" i="57" l="1"/>
  <c r="M143" i="46"/>
  <c r="H12" i="57"/>
  <c r="I8" i="57" s="1"/>
  <c r="L9" i="57"/>
  <c r="L8" i="57"/>
  <c r="L7" i="57"/>
  <c r="L6" i="57"/>
  <c r="E6" i="57"/>
  <c r="L5" i="57"/>
  <c r="I5" i="57"/>
  <c r="E5" i="57"/>
  <c r="L4" i="57"/>
  <c r="E4" i="57"/>
  <c r="L3" i="57"/>
  <c r="E3" i="57"/>
  <c r="L2" i="57"/>
  <c r="D2" i="57"/>
  <c r="D7" i="57" s="1"/>
  <c r="B2" i="57"/>
  <c r="B7" i="57" s="1"/>
  <c r="I3" i="57" l="1"/>
  <c r="I10" i="57"/>
  <c r="L12" i="57"/>
  <c r="K11" i="57" s="1"/>
  <c r="I6" i="57"/>
  <c r="I9" i="57"/>
  <c r="I4" i="57"/>
  <c r="I7" i="57"/>
  <c r="I11" i="57"/>
  <c r="I2" i="57"/>
  <c r="K8" i="57"/>
  <c r="K3" i="57"/>
  <c r="K9" i="57"/>
  <c r="K2" i="57"/>
  <c r="K7" i="57"/>
  <c r="K4" i="57"/>
  <c r="K6" i="57"/>
  <c r="C6" i="57"/>
  <c r="C4" i="57"/>
  <c r="C5" i="57"/>
  <c r="C3" i="57"/>
  <c r="E7" i="57"/>
  <c r="C2" i="57"/>
  <c r="E2" i="57"/>
  <c r="I12" i="57" l="1"/>
  <c r="K5" i="57"/>
  <c r="K10" i="57"/>
  <c r="K12" i="57" s="1"/>
  <c r="H12" i="56" l="1"/>
  <c r="I10" i="56" s="1"/>
  <c r="I11" i="56"/>
  <c r="C11" i="56"/>
  <c r="L9" i="56"/>
  <c r="L8" i="56"/>
  <c r="I8" i="56"/>
  <c r="L7" i="56"/>
  <c r="I7" i="56"/>
  <c r="L6" i="56"/>
  <c r="I6" i="56"/>
  <c r="E6" i="56"/>
  <c r="L5" i="56"/>
  <c r="E5" i="56"/>
  <c r="L4" i="56"/>
  <c r="I4" i="56"/>
  <c r="E4" i="56"/>
  <c r="L3" i="56"/>
  <c r="E3" i="56"/>
  <c r="L2" i="56"/>
  <c r="L12" i="56" s="1"/>
  <c r="D2" i="56"/>
  <c r="D7" i="56" s="1"/>
  <c r="B2" i="56"/>
  <c r="M127" i="46"/>
  <c r="I2" i="56" l="1"/>
  <c r="I5" i="56"/>
  <c r="I12" i="56" s="1"/>
  <c r="I9" i="56"/>
  <c r="I3" i="56"/>
  <c r="K4" i="56"/>
  <c r="K9" i="56"/>
  <c r="K2" i="56"/>
  <c r="K5" i="56"/>
  <c r="K6" i="56"/>
  <c r="K10" i="56"/>
  <c r="K11" i="56"/>
  <c r="K8" i="56"/>
  <c r="K3" i="56"/>
  <c r="K7" i="56"/>
  <c r="E2" i="56"/>
  <c r="B7" i="56"/>
  <c r="E7" i="56" s="1"/>
  <c r="K12" i="56" l="1"/>
  <c r="C3" i="56"/>
  <c r="C4" i="56"/>
  <c r="C6" i="56"/>
  <c r="C5" i="56"/>
  <c r="C2" i="56"/>
  <c r="C11" i="55" l="1"/>
  <c r="H12" i="55"/>
  <c r="I10" i="55" s="1"/>
  <c r="L9" i="55"/>
  <c r="L8" i="55"/>
  <c r="L7" i="55"/>
  <c r="L6" i="55"/>
  <c r="E6" i="55"/>
  <c r="L5" i="55"/>
  <c r="E5" i="55"/>
  <c r="L4" i="55"/>
  <c r="E4" i="55"/>
  <c r="L3" i="55"/>
  <c r="E3" i="55"/>
  <c r="L2" i="55"/>
  <c r="D2" i="55"/>
  <c r="D7" i="55" s="1"/>
  <c r="B2" i="55"/>
  <c r="B7" i="55" s="1"/>
  <c r="M120" i="46"/>
  <c r="I4" i="55" l="1"/>
  <c r="I8" i="55"/>
  <c r="I2" i="55"/>
  <c r="I9" i="55"/>
  <c r="I6" i="55"/>
  <c r="L12" i="55"/>
  <c r="K10" i="55" s="1"/>
  <c r="I7" i="55"/>
  <c r="I5" i="55"/>
  <c r="I11" i="55"/>
  <c r="I3" i="55"/>
  <c r="E7" i="55"/>
  <c r="K6" i="55"/>
  <c r="K11" i="55"/>
  <c r="K9" i="55"/>
  <c r="C3" i="55"/>
  <c r="C5" i="55"/>
  <c r="C6" i="55"/>
  <c r="C4" i="55"/>
  <c r="C2" i="55"/>
  <c r="E2" i="55"/>
  <c r="K2" i="55"/>
  <c r="K7" i="55" l="1"/>
  <c r="K8" i="55"/>
  <c r="K4" i="55"/>
  <c r="K12" i="55" s="1"/>
  <c r="K5" i="55"/>
  <c r="I12" i="55"/>
  <c r="K3" i="55"/>
  <c r="C11" i="54" l="1"/>
  <c r="H12" i="54"/>
  <c r="I11" i="54" s="1"/>
  <c r="L9" i="54"/>
  <c r="L8" i="54"/>
  <c r="L7" i="54"/>
  <c r="L6" i="54"/>
  <c r="E6" i="54"/>
  <c r="L5" i="54"/>
  <c r="E5" i="54"/>
  <c r="L4" i="54"/>
  <c r="E4" i="54"/>
  <c r="L3" i="54"/>
  <c r="E3" i="54"/>
  <c r="L2" i="54"/>
  <c r="D2" i="54"/>
  <c r="B2" i="54"/>
  <c r="B7" i="54" s="1"/>
  <c r="L12" i="54" l="1"/>
  <c r="K7" i="54" s="1"/>
  <c r="I4" i="54"/>
  <c r="I8" i="54"/>
  <c r="I2" i="54"/>
  <c r="I5" i="54"/>
  <c r="I9" i="54"/>
  <c r="I3" i="54"/>
  <c r="I6" i="54"/>
  <c r="I10" i="54"/>
  <c r="I7" i="54"/>
  <c r="E2" i="54"/>
  <c r="C6" i="54"/>
  <c r="C4" i="54"/>
  <c r="C5" i="54"/>
  <c r="C3" i="54"/>
  <c r="D7" i="54"/>
  <c r="E7" i="54" s="1"/>
  <c r="C2" i="54"/>
  <c r="K11" i="54" l="1"/>
  <c r="K9" i="54"/>
  <c r="K8" i="54"/>
  <c r="K10" i="54"/>
  <c r="K3" i="54"/>
  <c r="K6" i="54"/>
  <c r="I12" i="54"/>
  <c r="K2" i="54"/>
  <c r="K4" i="54"/>
  <c r="K5" i="54"/>
  <c r="K12" i="54" l="1"/>
  <c r="M101" i="46" l="1"/>
  <c r="H12" i="53"/>
  <c r="I8" i="53" s="1"/>
  <c r="C11" i="53"/>
  <c r="L9" i="53"/>
  <c r="L8" i="53"/>
  <c r="L7" i="53"/>
  <c r="L6" i="53"/>
  <c r="E6" i="53"/>
  <c r="L5" i="53"/>
  <c r="E5" i="53"/>
  <c r="L4" i="53"/>
  <c r="E4" i="53"/>
  <c r="L3" i="53"/>
  <c r="E3" i="53"/>
  <c r="L2" i="53"/>
  <c r="D2" i="53"/>
  <c r="D7" i="53" s="1"/>
  <c r="B2" i="53"/>
  <c r="B7" i="53" s="1"/>
  <c r="M82" i="46"/>
  <c r="L12" i="53" l="1"/>
  <c r="I5" i="53"/>
  <c r="I9" i="53"/>
  <c r="I10" i="53"/>
  <c r="I3" i="53"/>
  <c r="I6" i="53"/>
  <c r="I4" i="53"/>
  <c r="I7" i="53"/>
  <c r="I11" i="53"/>
  <c r="I2" i="53"/>
  <c r="E7" i="53"/>
  <c r="K9" i="53"/>
  <c r="K8" i="53"/>
  <c r="K5" i="53"/>
  <c r="K11" i="53"/>
  <c r="K3" i="53"/>
  <c r="K10" i="53"/>
  <c r="K6" i="53"/>
  <c r="C3" i="53"/>
  <c r="C6" i="53"/>
  <c r="C4" i="53"/>
  <c r="C5" i="53"/>
  <c r="K4" i="53"/>
  <c r="K7" i="53"/>
  <c r="C2" i="53"/>
  <c r="E2" i="53"/>
  <c r="K2" i="53"/>
  <c r="I12" i="53" l="1"/>
  <c r="K12" i="53"/>
  <c r="H12" i="52" l="1"/>
  <c r="I10" i="52" s="1"/>
  <c r="C11" i="52"/>
  <c r="L9" i="52"/>
  <c r="L8" i="52"/>
  <c r="L7" i="52"/>
  <c r="L6" i="52"/>
  <c r="E6" i="52"/>
  <c r="L5" i="52"/>
  <c r="E5" i="52"/>
  <c r="L4" i="52"/>
  <c r="E4" i="52"/>
  <c r="L3" i="52"/>
  <c r="E3" i="52"/>
  <c r="L2" i="52"/>
  <c r="D2" i="52"/>
  <c r="B2" i="52"/>
  <c r="B7" i="52" s="1"/>
  <c r="M71" i="46"/>
  <c r="C11" i="51"/>
  <c r="H12" i="51"/>
  <c r="I11" i="51" s="1"/>
  <c r="L9" i="51"/>
  <c r="L8" i="51"/>
  <c r="L7" i="51"/>
  <c r="L6" i="51"/>
  <c r="E6" i="51"/>
  <c r="L5" i="51"/>
  <c r="E5" i="51"/>
  <c r="L4" i="51"/>
  <c r="E4" i="51"/>
  <c r="L3" i="51"/>
  <c r="E3" i="51"/>
  <c r="L2" i="51"/>
  <c r="D2" i="51"/>
  <c r="B2" i="51"/>
  <c r="B7" i="51" s="1"/>
  <c r="M58" i="46"/>
  <c r="H12" i="50"/>
  <c r="I10" i="50" s="1"/>
  <c r="C11" i="50"/>
  <c r="L9" i="50"/>
  <c r="L8" i="50"/>
  <c r="L7" i="50"/>
  <c r="L6" i="50"/>
  <c r="E6" i="50"/>
  <c r="L5" i="50"/>
  <c r="E5" i="50"/>
  <c r="L4" i="50"/>
  <c r="E4" i="50"/>
  <c r="L3" i="50"/>
  <c r="E3" i="50"/>
  <c r="L2" i="50"/>
  <c r="D2" i="50"/>
  <c r="B2" i="50"/>
  <c r="B7" i="50" s="1"/>
  <c r="M41" i="46"/>
  <c r="L12" i="52" l="1"/>
  <c r="K9" i="52" s="1"/>
  <c r="I7" i="52"/>
  <c r="I6" i="52"/>
  <c r="I4" i="52"/>
  <c r="I9" i="52"/>
  <c r="I2" i="52"/>
  <c r="E2" i="52"/>
  <c r="D7" i="52"/>
  <c r="E7" i="52" s="1"/>
  <c r="C3" i="52"/>
  <c r="C6" i="52"/>
  <c r="C4" i="52"/>
  <c r="C5" i="52"/>
  <c r="I8" i="52"/>
  <c r="C2" i="52"/>
  <c r="I3" i="52"/>
  <c r="I11" i="52"/>
  <c r="I5" i="52"/>
  <c r="L12" i="51"/>
  <c r="K6" i="51" s="1"/>
  <c r="I2" i="51"/>
  <c r="I8" i="51"/>
  <c r="I5" i="51"/>
  <c r="I9" i="51"/>
  <c r="I3" i="51"/>
  <c r="I6" i="51"/>
  <c r="I10" i="51"/>
  <c r="I4" i="51"/>
  <c r="I7" i="51"/>
  <c r="E2" i="51"/>
  <c r="C3" i="51"/>
  <c r="C6" i="51"/>
  <c r="C4" i="51"/>
  <c r="C5" i="51"/>
  <c r="C2" i="51"/>
  <c r="D7" i="51"/>
  <c r="E7" i="51" s="1"/>
  <c r="L12" i="50"/>
  <c r="K7" i="50" s="1"/>
  <c r="I6" i="50"/>
  <c r="I5" i="50"/>
  <c r="I8" i="50"/>
  <c r="I9" i="50"/>
  <c r="I11" i="50"/>
  <c r="I4" i="50"/>
  <c r="I7" i="50"/>
  <c r="I2" i="50"/>
  <c r="I3" i="50"/>
  <c r="E2" i="50"/>
  <c r="C3" i="50"/>
  <c r="C6" i="50"/>
  <c r="C4" i="50"/>
  <c r="C5" i="50"/>
  <c r="D7" i="50"/>
  <c r="E7" i="50" s="1"/>
  <c r="C2" i="50"/>
  <c r="K3" i="52" l="1"/>
  <c r="K6" i="52"/>
  <c r="K10" i="52"/>
  <c r="K2" i="52"/>
  <c r="K11" i="52"/>
  <c r="K5" i="52"/>
  <c r="K8" i="52"/>
  <c r="K4" i="52"/>
  <c r="K7" i="52"/>
  <c r="I12" i="52"/>
  <c r="I12" i="51"/>
  <c r="K7" i="51"/>
  <c r="K9" i="51"/>
  <c r="K10" i="51"/>
  <c r="K11" i="51"/>
  <c r="K3" i="51"/>
  <c r="K5" i="51"/>
  <c r="K4" i="51"/>
  <c r="K2" i="51"/>
  <c r="K8" i="51"/>
  <c r="K8" i="50"/>
  <c r="K11" i="50"/>
  <c r="K3" i="50"/>
  <c r="K4" i="50"/>
  <c r="K10" i="50"/>
  <c r="K6" i="50"/>
  <c r="K5" i="50"/>
  <c r="K9" i="50"/>
  <c r="K2" i="50"/>
  <c r="K12" i="50" s="1"/>
  <c r="I12" i="50"/>
  <c r="K12" i="52" l="1"/>
  <c r="K12" i="51"/>
  <c r="H12" i="49"/>
  <c r="I11" i="49" s="1"/>
  <c r="C11" i="49"/>
  <c r="L9" i="49"/>
  <c r="L8" i="49"/>
  <c r="L7" i="49"/>
  <c r="I7" i="49"/>
  <c r="L6" i="49"/>
  <c r="I6" i="49"/>
  <c r="E6" i="49"/>
  <c r="L5" i="49"/>
  <c r="E5" i="49"/>
  <c r="L4" i="49"/>
  <c r="E4" i="49"/>
  <c r="L3" i="49"/>
  <c r="E3" i="49"/>
  <c r="L2" i="49"/>
  <c r="D2" i="49"/>
  <c r="D7" i="49" s="1"/>
  <c r="B2" i="49"/>
  <c r="M29" i="46"/>
  <c r="H12" i="48"/>
  <c r="I11" i="48" s="1"/>
  <c r="C11" i="48"/>
  <c r="L9" i="48"/>
  <c r="L8" i="48"/>
  <c r="L7" i="48"/>
  <c r="I7" i="48"/>
  <c r="L6" i="48"/>
  <c r="E6" i="48"/>
  <c r="L5" i="48"/>
  <c r="E5" i="48"/>
  <c r="L4" i="48"/>
  <c r="I4" i="48"/>
  <c r="E4" i="48"/>
  <c r="L3" i="48"/>
  <c r="E3" i="48"/>
  <c r="L2" i="48"/>
  <c r="L12" i="48" s="1"/>
  <c r="I2" i="48"/>
  <c r="D2" i="48"/>
  <c r="D7" i="48" s="1"/>
  <c r="B2" i="48"/>
  <c r="B7" i="48" s="1"/>
  <c r="M17" i="46"/>
  <c r="H12" i="47"/>
  <c r="I11" i="47" s="1"/>
  <c r="C11" i="47"/>
  <c r="L9" i="47"/>
  <c r="L8" i="47"/>
  <c r="I8" i="47"/>
  <c r="L7" i="47"/>
  <c r="I7" i="47"/>
  <c r="L6" i="47"/>
  <c r="E6" i="47"/>
  <c r="L5" i="47"/>
  <c r="E5" i="47"/>
  <c r="L4" i="47"/>
  <c r="I4" i="47"/>
  <c r="E4" i="47"/>
  <c r="L3" i="47"/>
  <c r="E3" i="47"/>
  <c r="L2" i="47"/>
  <c r="I2" i="47"/>
  <c r="D2" i="47"/>
  <c r="D7" i="47" s="1"/>
  <c r="B2" i="47"/>
  <c r="H65" i="2"/>
  <c r="G65" i="2"/>
  <c r="H64" i="2"/>
  <c r="G64" i="2"/>
  <c r="H63" i="2"/>
  <c r="G63" i="2"/>
  <c r="H62" i="2"/>
  <c r="G62" i="2"/>
  <c r="H61" i="2"/>
  <c r="G61" i="2"/>
  <c r="H60" i="2"/>
  <c r="G60" i="2"/>
  <c r="H59" i="2"/>
  <c r="G59" i="2"/>
  <c r="H58" i="2"/>
  <c r="G58" i="2"/>
  <c r="H57" i="2"/>
  <c r="G57" i="2"/>
  <c r="H56" i="2"/>
  <c r="G56" i="2"/>
  <c r="H55" i="2"/>
  <c r="G55" i="2"/>
  <c r="H54" i="2"/>
  <c r="G54" i="2"/>
  <c r="M9" i="46"/>
  <c r="Q102" i="2"/>
  <c r="I4" i="49" l="1"/>
  <c r="I2" i="49"/>
  <c r="I8" i="49"/>
  <c r="I5" i="49"/>
  <c r="L12" i="49"/>
  <c r="K3" i="49" s="1"/>
  <c r="I9" i="49"/>
  <c r="I3" i="49"/>
  <c r="I10" i="49"/>
  <c r="E2" i="49"/>
  <c r="B7" i="49"/>
  <c r="E7" i="49" s="1"/>
  <c r="I8" i="48"/>
  <c r="I5" i="48"/>
  <c r="I9" i="48"/>
  <c r="I6" i="48"/>
  <c r="I3" i="48"/>
  <c r="I10" i="48"/>
  <c r="K7" i="48"/>
  <c r="E7" i="48"/>
  <c r="K5" i="48"/>
  <c r="K11" i="48"/>
  <c r="K8" i="48"/>
  <c r="K3" i="48"/>
  <c r="K10" i="48"/>
  <c r="K4" i="48"/>
  <c r="K9" i="48"/>
  <c r="K6" i="48"/>
  <c r="C3" i="48"/>
  <c r="C6" i="48"/>
  <c r="C4" i="48"/>
  <c r="C5" i="48"/>
  <c r="C2" i="48"/>
  <c r="E2" i="48"/>
  <c r="K2" i="48"/>
  <c r="I5" i="47"/>
  <c r="L12" i="47"/>
  <c r="K4" i="47" s="1"/>
  <c r="I10" i="47"/>
  <c r="I6" i="47"/>
  <c r="I12" i="47" s="1"/>
  <c r="I9" i="47"/>
  <c r="I3" i="47"/>
  <c r="K9" i="47"/>
  <c r="K5" i="47"/>
  <c r="K11" i="47"/>
  <c r="K8" i="47"/>
  <c r="K10" i="47"/>
  <c r="E2" i="47"/>
  <c r="B7" i="47"/>
  <c r="E7" i="47" s="1"/>
  <c r="H66" i="2"/>
  <c r="G66" i="2"/>
  <c r="G67" i="2" s="1"/>
  <c r="Q101" i="2"/>
  <c r="Q104" i="2" s="1"/>
  <c r="C11" i="45"/>
  <c r="H12" i="45"/>
  <c r="I9" i="45" s="1"/>
  <c r="L9" i="45"/>
  <c r="L8" i="45"/>
  <c r="L7" i="45"/>
  <c r="L6" i="45"/>
  <c r="E6" i="45"/>
  <c r="L5" i="45"/>
  <c r="E5" i="45"/>
  <c r="L4" i="45"/>
  <c r="E4" i="45"/>
  <c r="L3" i="45"/>
  <c r="E3" i="45"/>
  <c r="L2" i="45"/>
  <c r="D2" i="45"/>
  <c r="B2" i="45"/>
  <c r="B7" i="45" s="1"/>
  <c r="M134" i="33"/>
  <c r="H67" i="2" l="1"/>
  <c r="K6" i="49"/>
  <c r="K4" i="49"/>
  <c r="K2" i="49"/>
  <c r="K8" i="49"/>
  <c r="K9" i="49"/>
  <c r="K5" i="49"/>
  <c r="K12" i="49" s="1"/>
  <c r="I12" i="49"/>
  <c r="K7" i="49"/>
  <c r="K11" i="49"/>
  <c r="K10" i="49"/>
  <c r="C2" i="49"/>
  <c r="C4" i="49"/>
  <c r="C5" i="49"/>
  <c r="C3" i="49"/>
  <c r="C6" i="49"/>
  <c r="I12" i="48"/>
  <c r="K12" i="48"/>
  <c r="K2" i="47"/>
  <c r="K3" i="47"/>
  <c r="K7" i="47"/>
  <c r="K6" i="47"/>
  <c r="K12" i="47"/>
  <c r="C3" i="47"/>
  <c r="C6" i="47"/>
  <c r="C4" i="47"/>
  <c r="C5" i="47"/>
  <c r="C2" i="47"/>
  <c r="E2" i="45"/>
  <c r="L12" i="45"/>
  <c r="K3" i="45" s="1"/>
  <c r="I4" i="45"/>
  <c r="I7" i="45"/>
  <c r="I8" i="45"/>
  <c r="I5" i="45"/>
  <c r="I10" i="45"/>
  <c r="I2" i="45"/>
  <c r="I3" i="45"/>
  <c r="I6" i="45"/>
  <c r="I11" i="45"/>
  <c r="D7" i="45"/>
  <c r="E7" i="45" s="1"/>
  <c r="C6" i="45"/>
  <c r="C4" i="45"/>
  <c r="C3" i="45"/>
  <c r="C5" i="45"/>
  <c r="C2" i="45"/>
  <c r="H12" i="44"/>
  <c r="I8" i="44" s="1"/>
  <c r="L9" i="44"/>
  <c r="L8" i="44"/>
  <c r="L7" i="44"/>
  <c r="L6" i="44"/>
  <c r="E6" i="44"/>
  <c r="L5" i="44"/>
  <c r="E5" i="44"/>
  <c r="L4" i="44"/>
  <c r="E4" i="44"/>
  <c r="L3" i="44"/>
  <c r="E3" i="44"/>
  <c r="L2" i="44"/>
  <c r="D2" i="44"/>
  <c r="D7" i="44" s="1"/>
  <c r="B2" i="44"/>
  <c r="B7" i="44" s="1"/>
  <c r="M121" i="33"/>
  <c r="K10" i="45" l="1"/>
  <c r="K4" i="45"/>
  <c r="K6" i="45"/>
  <c r="K7" i="45"/>
  <c r="K8" i="45"/>
  <c r="K11" i="45"/>
  <c r="K2" i="45"/>
  <c r="K9" i="45"/>
  <c r="K5" i="45"/>
  <c r="I12" i="45"/>
  <c r="I7" i="44"/>
  <c r="I4" i="44"/>
  <c r="L12" i="44"/>
  <c r="K8" i="44" s="1"/>
  <c r="I5" i="44"/>
  <c r="I3" i="44"/>
  <c r="I6" i="44"/>
  <c r="I10" i="44"/>
  <c r="I9" i="44"/>
  <c r="I11" i="44"/>
  <c r="I2" i="44"/>
  <c r="E7" i="44"/>
  <c r="C4" i="44"/>
  <c r="C5" i="44"/>
  <c r="C3" i="44"/>
  <c r="C6" i="44"/>
  <c r="C2" i="44"/>
  <c r="E2" i="44"/>
  <c r="K12" i="45" l="1"/>
  <c r="K2" i="44"/>
  <c r="K4" i="44"/>
  <c r="K5" i="44"/>
  <c r="K9" i="44"/>
  <c r="I12" i="44"/>
  <c r="K10" i="44"/>
  <c r="K7" i="44"/>
  <c r="K3" i="44"/>
  <c r="K6" i="44"/>
  <c r="K11" i="44"/>
  <c r="K12" i="44" l="1"/>
  <c r="C12" i="41" l="1"/>
  <c r="H12" i="43" l="1"/>
  <c r="I11" i="43" s="1"/>
  <c r="L9" i="43"/>
  <c r="L8" i="43"/>
  <c r="L7" i="43"/>
  <c r="L6" i="43"/>
  <c r="E6" i="43"/>
  <c r="L5" i="43"/>
  <c r="E5" i="43"/>
  <c r="L4" i="43"/>
  <c r="E4" i="43"/>
  <c r="L3" i="43"/>
  <c r="E3" i="43"/>
  <c r="L2" i="43"/>
  <c r="D2" i="43"/>
  <c r="D7" i="43" s="1"/>
  <c r="B2" i="43"/>
  <c r="B7" i="43" s="1"/>
  <c r="M108" i="33"/>
  <c r="I4" i="43" l="1"/>
  <c r="I7" i="43"/>
  <c r="I5" i="43"/>
  <c r="I3" i="43"/>
  <c r="I2" i="43"/>
  <c r="I9" i="43"/>
  <c r="I6" i="43"/>
  <c r="I10" i="43"/>
  <c r="C4" i="43"/>
  <c r="C6" i="43"/>
  <c r="C5" i="43"/>
  <c r="C3" i="43"/>
  <c r="E7" i="43"/>
  <c r="C2" i="43"/>
  <c r="I8" i="43"/>
  <c r="L12" i="43"/>
  <c r="K3" i="43" s="1"/>
  <c r="E2" i="43"/>
  <c r="I12" i="43" l="1"/>
  <c r="K2" i="43"/>
  <c r="K9" i="43"/>
  <c r="K5" i="43"/>
  <c r="K4" i="43"/>
  <c r="K11" i="43"/>
  <c r="K10" i="43"/>
  <c r="K7" i="43"/>
  <c r="K6" i="43"/>
  <c r="K8" i="43"/>
  <c r="K12" i="43" l="1"/>
  <c r="H12" i="42" l="1"/>
  <c r="I3" i="42" s="1"/>
  <c r="L9" i="42"/>
  <c r="L8" i="42"/>
  <c r="L7" i="42"/>
  <c r="L6" i="42"/>
  <c r="E6" i="42"/>
  <c r="L5" i="42"/>
  <c r="E5" i="42"/>
  <c r="L4" i="42"/>
  <c r="E4" i="42"/>
  <c r="L3" i="42"/>
  <c r="E3" i="42"/>
  <c r="L2" i="42"/>
  <c r="D2" i="42"/>
  <c r="D7" i="42" s="1"/>
  <c r="B2" i="42"/>
  <c r="M98" i="33"/>
  <c r="L12" i="42" l="1"/>
  <c r="K5" i="42" s="1"/>
  <c r="I10" i="42"/>
  <c r="I11" i="42"/>
  <c r="I6" i="42"/>
  <c r="I7" i="42"/>
  <c r="I4" i="42"/>
  <c r="I2" i="42"/>
  <c r="I8" i="42"/>
  <c r="I5" i="42"/>
  <c r="I9" i="42"/>
  <c r="K9" i="42"/>
  <c r="B7" i="42"/>
  <c r="E2" i="42"/>
  <c r="K10" i="42" l="1"/>
  <c r="K4" i="42"/>
  <c r="K6" i="42"/>
  <c r="K3" i="42"/>
  <c r="K7" i="42"/>
  <c r="K2" i="42"/>
  <c r="K8" i="42"/>
  <c r="K11" i="42"/>
  <c r="I12" i="42"/>
  <c r="C4" i="42"/>
  <c r="C5" i="42"/>
  <c r="C3" i="42"/>
  <c r="C6" i="42"/>
  <c r="C2" i="42"/>
  <c r="E7" i="42"/>
  <c r="K12" i="42" l="1"/>
  <c r="H12" i="41" l="1"/>
  <c r="I6" i="41" s="1"/>
  <c r="L9" i="41"/>
  <c r="L8" i="41"/>
  <c r="L7" i="41"/>
  <c r="L6" i="41"/>
  <c r="E6" i="41"/>
  <c r="L5" i="41"/>
  <c r="E5" i="41"/>
  <c r="L4" i="41"/>
  <c r="E4" i="41"/>
  <c r="L3" i="41"/>
  <c r="E3" i="41"/>
  <c r="L2" i="41"/>
  <c r="D2" i="41"/>
  <c r="D7" i="41" s="1"/>
  <c r="B2" i="41"/>
  <c r="M75" i="33"/>
  <c r="I5" i="41" l="1"/>
  <c r="L12" i="41"/>
  <c r="K4" i="41" s="1"/>
  <c r="I3" i="41"/>
  <c r="I8" i="41"/>
  <c r="I11" i="41"/>
  <c r="B7" i="41"/>
  <c r="E7" i="41" s="1"/>
  <c r="I10" i="41"/>
  <c r="E2" i="41"/>
  <c r="I2" i="41"/>
  <c r="I9" i="41"/>
  <c r="I4" i="41"/>
  <c r="I7" i="41"/>
  <c r="C6" i="41" l="1"/>
  <c r="C4" i="41"/>
  <c r="K5" i="41"/>
  <c r="K10" i="41"/>
  <c r="K6" i="41"/>
  <c r="K3" i="41"/>
  <c r="K2" i="41"/>
  <c r="K9" i="41"/>
  <c r="K7" i="41"/>
  <c r="K8" i="41"/>
  <c r="K11" i="41"/>
  <c r="C2" i="41"/>
  <c r="C3" i="41"/>
  <c r="C5" i="41"/>
  <c r="I12" i="41"/>
  <c r="K12" i="41" l="1"/>
  <c r="H12" i="40"/>
  <c r="I11" i="40" s="1"/>
  <c r="L9" i="40"/>
  <c r="I9" i="40"/>
  <c r="L8" i="40"/>
  <c r="L7" i="40"/>
  <c r="L6" i="40"/>
  <c r="E6" i="40"/>
  <c r="L5" i="40"/>
  <c r="E5" i="40"/>
  <c r="L4" i="40"/>
  <c r="E4" i="40"/>
  <c r="L3" i="40"/>
  <c r="E3" i="40"/>
  <c r="L2" i="40"/>
  <c r="D2" i="40"/>
  <c r="D7" i="40" s="1"/>
  <c r="B2" i="40"/>
  <c r="M60" i="33"/>
  <c r="I2" i="40" l="1"/>
  <c r="I8" i="40"/>
  <c r="I5" i="40"/>
  <c r="I3" i="40"/>
  <c r="I10" i="40"/>
  <c r="I6" i="40"/>
  <c r="I4" i="40"/>
  <c r="I7" i="40"/>
  <c r="E2" i="40"/>
  <c r="B7" i="40"/>
  <c r="C6" i="40" s="1"/>
  <c r="C5" i="40"/>
  <c r="C3" i="40"/>
  <c r="L12" i="40"/>
  <c r="K6" i="40" s="1"/>
  <c r="I12" i="40" l="1"/>
  <c r="K8" i="40"/>
  <c r="K3" i="40"/>
  <c r="E7" i="40"/>
  <c r="C4" i="40"/>
  <c r="C2" i="40"/>
  <c r="K7" i="40"/>
  <c r="K9" i="40"/>
  <c r="K2" i="40"/>
  <c r="K5" i="40"/>
  <c r="K11" i="40"/>
  <c r="K10" i="40"/>
  <c r="K4" i="40"/>
  <c r="K12" i="40" l="1"/>
  <c r="H12" i="39" l="1"/>
  <c r="I11" i="39" s="1"/>
  <c r="L10" i="39"/>
  <c r="L9" i="39"/>
  <c r="L8" i="39"/>
  <c r="L7" i="39"/>
  <c r="L6" i="39"/>
  <c r="E6" i="39"/>
  <c r="L5" i="39"/>
  <c r="E5" i="39"/>
  <c r="L4" i="39"/>
  <c r="E4" i="39"/>
  <c r="L3" i="39"/>
  <c r="E3" i="39"/>
  <c r="L2" i="39"/>
  <c r="D2" i="39"/>
  <c r="D7" i="39" s="1"/>
  <c r="B2" i="39"/>
  <c r="M46" i="33"/>
  <c r="L12" i="39" l="1"/>
  <c r="K10" i="39" s="1"/>
  <c r="I6" i="39"/>
  <c r="I7" i="39"/>
  <c r="I4" i="39"/>
  <c r="I8" i="39"/>
  <c r="I2" i="39"/>
  <c r="I5" i="39"/>
  <c r="I9" i="39"/>
  <c r="I3" i="39"/>
  <c r="I10" i="39"/>
  <c r="B7" i="39"/>
  <c r="C3" i="39" s="1"/>
  <c r="E2" i="39"/>
  <c r="K11" i="39"/>
  <c r="C4" i="39"/>
  <c r="C5" i="39"/>
  <c r="C6" i="39"/>
  <c r="K3" i="39" l="1"/>
  <c r="K5" i="39"/>
  <c r="I12" i="39"/>
  <c r="K2" i="39"/>
  <c r="K6" i="39"/>
  <c r="K4" i="39"/>
  <c r="K8" i="39"/>
  <c r="K9" i="39"/>
  <c r="K7" i="39"/>
  <c r="K12" i="39"/>
  <c r="E7" i="39"/>
  <c r="C2" i="39"/>
  <c r="H12" i="38" l="1"/>
  <c r="I9" i="38" s="1"/>
  <c r="L10" i="38"/>
  <c r="L9" i="38"/>
  <c r="L8" i="38"/>
  <c r="L7" i="38"/>
  <c r="L6" i="38"/>
  <c r="E6" i="38"/>
  <c r="L5" i="38"/>
  <c r="E5" i="38"/>
  <c r="L4" i="38"/>
  <c r="E4" i="38"/>
  <c r="L3" i="38"/>
  <c r="E3" i="38"/>
  <c r="L2" i="38"/>
  <c r="D2" i="38"/>
  <c r="D7" i="38" s="1"/>
  <c r="B2" i="38"/>
  <c r="M34" i="33"/>
  <c r="I3" i="38" l="1"/>
  <c r="I6" i="38"/>
  <c r="I7" i="38"/>
  <c r="I4" i="38"/>
  <c r="L12" i="38"/>
  <c r="K11" i="38" s="1"/>
  <c r="I10" i="38"/>
  <c r="I11" i="38"/>
  <c r="I2" i="38"/>
  <c r="I8" i="38"/>
  <c r="I5" i="38"/>
  <c r="K9" i="38"/>
  <c r="E2" i="38"/>
  <c r="B7" i="38"/>
  <c r="E7" i="38" s="1"/>
  <c r="K3" i="38" l="1"/>
  <c r="K7" i="38"/>
  <c r="K10" i="38"/>
  <c r="K5" i="38"/>
  <c r="K2" i="38"/>
  <c r="K12" i="38" s="1"/>
  <c r="K8" i="38"/>
  <c r="K4" i="38"/>
  <c r="K6" i="38"/>
  <c r="I12" i="38"/>
  <c r="C4" i="38"/>
  <c r="C3" i="38"/>
  <c r="C6" i="38"/>
  <c r="C5" i="38"/>
  <c r="C2" i="38"/>
  <c r="L12" i="37" l="1"/>
  <c r="K11" i="37" s="1"/>
  <c r="H12" i="37"/>
  <c r="I11" i="37" s="1"/>
  <c r="L10" i="37"/>
  <c r="L9" i="37"/>
  <c r="L8" i="37"/>
  <c r="L7" i="37"/>
  <c r="L6" i="37"/>
  <c r="E6" i="37"/>
  <c r="L5" i="37"/>
  <c r="E5" i="37"/>
  <c r="L4" i="37"/>
  <c r="E4" i="37"/>
  <c r="L3" i="37"/>
  <c r="E3" i="37"/>
  <c r="L2" i="37"/>
  <c r="D2" i="37"/>
  <c r="D7" i="37" s="1"/>
  <c r="B2" i="37"/>
  <c r="B7" i="37" s="1"/>
  <c r="M23" i="33"/>
  <c r="I2" i="37" l="1"/>
  <c r="I8" i="37"/>
  <c r="I12" i="37" s="1"/>
  <c r="I9" i="37"/>
  <c r="I4" i="37"/>
  <c r="I3" i="37"/>
  <c r="I5" i="37"/>
  <c r="I6" i="37"/>
  <c r="I10" i="37"/>
  <c r="I7" i="37"/>
  <c r="K5" i="37"/>
  <c r="K3" i="37"/>
  <c r="K9" i="37"/>
  <c r="K6" i="37"/>
  <c r="K4" i="37"/>
  <c r="K2" i="37"/>
  <c r="K8" i="37"/>
  <c r="C6" i="37"/>
  <c r="C4" i="37"/>
  <c r="C5" i="37"/>
  <c r="C3" i="37"/>
  <c r="E7" i="37"/>
  <c r="K7" i="37"/>
  <c r="K10" i="37"/>
  <c r="C2" i="37"/>
  <c r="E2" i="37"/>
  <c r="K12" i="37" l="1"/>
  <c r="H12" i="36" l="1"/>
  <c r="I10" i="36" s="1"/>
  <c r="L10" i="36"/>
  <c r="L9" i="36"/>
  <c r="L8" i="36"/>
  <c r="L7" i="36"/>
  <c r="L6" i="36"/>
  <c r="E6" i="36"/>
  <c r="L5" i="36"/>
  <c r="E5" i="36"/>
  <c r="L4" i="36"/>
  <c r="I4" i="36"/>
  <c r="E4" i="36"/>
  <c r="L3" i="36"/>
  <c r="E3" i="36"/>
  <c r="L2" i="36"/>
  <c r="D2" i="36"/>
  <c r="B2" i="36"/>
  <c r="B7" i="36" s="1"/>
  <c r="M17" i="33"/>
  <c r="H12" i="35"/>
  <c r="I8" i="35" s="1"/>
  <c r="I11" i="35"/>
  <c r="L10" i="35"/>
  <c r="I10" i="35"/>
  <c r="L9" i="35"/>
  <c r="L8" i="35"/>
  <c r="L7" i="35"/>
  <c r="I7" i="35"/>
  <c r="B7" i="35"/>
  <c r="C5" i="35" s="1"/>
  <c r="L6" i="35"/>
  <c r="I6" i="35"/>
  <c r="E6" i="35"/>
  <c r="L5" i="35"/>
  <c r="E5" i="35"/>
  <c r="L4" i="35"/>
  <c r="I4" i="35"/>
  <c r="E4" i="35"/>
  <c r="L3" i="35"/>
  <c r="E3" i="35"/>
  <c r="L2" i="35"/>
  <c r="E2" i="35"/>
  <c r="D2" i="35"/>
  <c r="D7" i="35" s="1"/>
  <c r="B2" i="35"/>
  <c r="H12" i="34"/>
  <c r="I11" i="34" s="1"/>
  <c r="L10" i="34"/>
  <c r="L9" i="34"/>
  <c r="I9" i="34"/>
  <c r="L8" i="34"/>
  <c r="L7" i="34"/>
  <c r="L6" i="34"/>
  <c r="E6" i="34"/>
  <c r="L5" i="34"/>
  <c r="E5" i="34"/>
  <c r="L4" i="34"/>
  <c r="E4" i="34"/>
  <c r="L3" i="34"/>
  <c r="E3" i="34"/>
  <c r="L2" i="34"/>
  <c r="D2" i="34"/>
  <c r="B2" i="34"/>
  <c r="B7" i="34" s="1"/>
  <c r="M6" i="33"/>
  <c r="H12" i="32"/>
  <c r="I11" i="32" s="1"/>
  <c r="L10" i="32"/>
  <c r="I10" i="32"/>
  <c r="L9" i="32"/>
  <c r="I9" i="32"/>
  <c r="L8" i="32"/>
  <c r="I8" i="32"/>
  <c r="L7" i="32"/>
  <c r="I7" i="32"/>
  <c r="L6" i="32"/>
  <c r="K6" i="32" s="1"/>
  <c r="I6" i="32"/>
  <c r="E6" i="32"/>
  <c r="L5" i="32"/>
  <c r="I5" i="32"/>
  <c r="E5" i="32"/>
  <c r="L4" i="32"/>
  <c r="K4" i="32" s="1"/>
  <c r="I4" i="32"/>
  <c r="E4" i="32"/>
  <c r="L3" i="32"/>
  <c r="I3" i="32"/>
  <c r="E3" i="32"/>
  <c r="L2" i="32"/>
  <c r="L12" i="32" s="1"/>
  <c r="I2" i="32"/>
  <c r="D2" i="32"/>
  <c r="E2" i="32" s="1"/>
  <c r="B2" i="32"/>
  <c r="B7" i="32" s="1"/>
  <c r="H50" i="2"/>
  <c r="G50" i="2"/>
  <c r="H49" i="2"/>
  <c r="G49" i="2"/>
  <c r="H48" i="2"/>
  <c r="G48" i="2"/>
  <c r="H47" i="2"/>
  <c r="G47" i="2"/>
  <c r="H46" i="2"/>
  <c r="G46" i="2"/>
  <c r="H45" i="2"/>
  <c r="G45" i="2"/>
  <c r="H44" i="2"/>
  <c r="G44" i="2"/>
  <c r="H43" i="2"/>
  <c r="G43" i="2"/>
  <c r="H42" i="2"/>
  <c r="G42" i="2"/>
  <c r="H41" i="2"/>
  <c r="G41" i="2"/>
  <c r="H40" i="2"/>
  <c r="G40" i="2"/>
  <c r="H39" i="2"/>
  <c r="G39" i="2"/>
  <c r="H51" i="2" l="1"/>
  <c r="G51" i="2"/>
  <c r="G52" i="2" s="1"/>
  <c r="I11" i="36"/>
  <c r="I7" i="36"/>
  <c r="I8" i="36"/>
  <c r="I2" i="36"/>
  <c r="L12" i="36"/>
  <c r="K5" i="36" s="1"/>
  <c r="I5" i="36"/>
  <c r="I9" i="36"/>
  <c r="I3" i="36"/>
  <c r="I6" i="36"/>
  <c r="E2" i="36"/>
  <c r="K7" i="36"/>
  <c r="K4" i="36"/>
  <c r="K11" i="36"/>
  <c r="K8" i="36"/>
  <c r="K6" i="36"/>
  <c r="C4" i="36"/>
  <c r="C5" i="36"/>
  <c r="C3" i="36"/>
  <c r="C6" i="36"/>
  <c r="D7" i="36"/>
  <c r="E7" i="36" s="1"/>
  <c r="C2" i="36"/>
  <c r="K2" i="36"/>
  <c r="I2" i="35"/>
  <c r="I12" i="35" s="1"/>
  <c r="I5" i="35"/>
  <c r="L12" i="35"/>
  <c r="K7" i="35" s="1"/>
  <c r="I9" i="35"/>
  <c r="E7" i="35"/>
  <c r="C2" i="35"/>
  <c r="C4" i="35"/>
  <c r="C6" i="35"/>
  <c r="C3" i="35"/>
  <c r="I3" i="35"/>
  <c r="E2" i="34"/>
  <c r="I5" i="34"/>
  <c r="I8" i="34"/>
  <c r="I2" i="34"/>
  <c r="I3" i="34"/>
  <c r="I12" i="34" s="1"/>
  <c r="I6" i="34"/>
  <c r="I10" i="34"/>
  <c r="L12" i="34"/>
  <c r="K5" i="34" s="1"/>
  <c r="I4" i="34"/>
  <c r="I7" i="34"/>
  <c r="K10" i="34"/>
  <c r="K8" i="34"/>
  <c r="C4" i="34"/>
  <c r="C6" i="34"/>
  <c r="C5" i="34"/>
  <c r="C3" i="34"/>
  <c r="C2" i="34"/>
  <c r="D7" i="34"/>
  <c r="E7" i="34" s="1"/>
  <c r="K2" i="34"/>
  <c r="I12" i="32"/>
  <c r="K9" i="32"/>
  <c r="K2" i="32"/>
  <c r="K12" i="32" s="1"/>
  <c r="K5" i="32"/>
  <c r="K8" i="32"/>
  <c r="K3" i="32"/>
  <c r="K11" i="32"/>
  <c r="K10" i="32"/>
  <c r="C3" i="32"/>
  <c r="C6" i="32"/>
  <c r="C4" i="32"/>
  <c r="C5" i="32"/>
  <c r="K7" i="32"/>
  <c r="D7" i="32"/>
  <c r="E7" i="32" s="1"/>
  <c r="C2" i="32"/>
  <c r="L12" i="31"/>
  <c r="K6" i="31" s="1"/>
  <c r="H12" i="31"/>
  <c r="I11" i="31"/>
  <c r="L10" i="31"/>
  <c r="I10" i="31"/>
  <c r="L9" i="31"/>
  <c r="K9" i="31" s="1"/>
  <c r="I9" i="31"/>
  <c r="L8" i="31"/>
  <c r="K8" i="31" s="1"/>
  <c r="I8" i="31"/>
  <c r="L7" i="31"/>
  <c r="I7" i="31"/>
  <c r="L6" i="31"/>
  <c r="I6" i="31"/>
  <c r="E6" i="31"/>
  <c r="L5" i="31"/>
  <c r="I5" i="31"/>
  <c r="E5" i="31"/>
  <c r="L4" i="31"/>
  <c r="K4" i="31"/>
  <c r="I4" i="31"/>
  <c r="E4" i="31"/>
  <c r="L3" i="31"/>
  <c r="K3" i="31" s="1"/>
  <c r="I3" i="31"/>
  <c r="E3" i="31"/>
  <c r="L2" i="31"/>
  <c r="K2" i="31" s="1"/>
  <c r="I2" i="31"/>
  <c r="I12" i="31" s="1"/>
  <c r="D2" i="31"/>
  <c r="D7" i="31" s="1"/>
  <c r="B2" i="31"/>
  <c r="B7" i="31" s="1"/>
  <c r="H12" i="30"/>
  <c r="I7" i="30" s="1"/>
  <c r="I11" i="30"/>
  <c r="L10" i="30"/>
  <c r="L9" i="30"/>
  <c r="L8" i="30"/>
  <c r="L7" i="30"/>
  <c r="L6" i="30"/>
  <c r="I6" i="30"/>
  <c r="E6" i="30"/>
  <c r="L5" i="30"/>
  <c r="E5" i="30"/>
  <c r="L4" i="30"/>
  <c r="E4" i="30"/>
  <c r="L3" i="30"/>
  <c r="E3" i="30"/>
  <c r="L2" i="30"/>
  <c r="D2" i="30"/>
  <c r="D7" i="30" s="1"/>
  <c r="B2" i="30"/>
  <c r="B7" i="30" s="1"/>
  <c r="H52" i="2" l="1"/>
  <c r="K10" i="36"/>
  <c r="K3" i="36"/>
  <c r="K12" i="36" s="1"/>
  <c r="I12" i="36"/>
  <c r="K9" i="36"/>
  <c r="K4" i="35"/>
  <c r="K6" i="35"/>
  <c r="K3" i="35"/>
  <c r="K10" i="35"/>
  <c r="K2" i="35"/>
  <c r="K12" i="35" s="1"/>
  <c r="K11" i="35"/>
  <c r="K8" i="35"/>
  <c r="K5" i="35"/>
  <c r="K9" i="35"/>
  <c r="K4" i="34"/>
  <c r="K9" i="34"/>
  <c r="K7" i="34"/>
  <c r="K6" i="34"/>
  <c r="K11" i="34"/>
  <c r="K3" i="34"/>
  <c r="K12" i="31"/>
  <c r="C6" i="31"/>
  <c r="C3" i="31"/>
  <c r="C4" i="31"/>
  <c r="C5" i="31"/>
  <c r="E7" i="31"/>
  <c r="K7" i="31"/>
  <c r="K10" i="31"/>
  <c r="K11" i="31"/>
  <c r="K5" i="31"/>
  <c r="C2" i="31"/>
  <c r="E2" i="31"/>
  <c r="I9" i="30"/>
  <c r="I10" i="30"/>
  <c r="I5" i="30"/>
  <c r="I2" i="30"/>
  <c r="C6" i="30"/>
  <c r="C4" i="30"/>
  <c r="C3" i="30"/>
  <c r="C5" i="30"/>
  <c r="E7" i="30"/>
  <c r="L12" i="30"/>
  <c r="C2" i="30"/>
  <c r="I3" i="30"/>
  <c r="I8" i="30"/>
  <c r="E2" i="30"/>
  <c r="I4" i="30"/>
  <c r="K12" i="34" l="1"/>
  <c r="I12" i="30"/>
  <c r="K11" i="30"/>
  <c r="K3" i="30"/>
  <c r="K5" i="30"/>
  <c r="K8" i="30"/>
  <c r="K10" i="30"/>
  <c r="K7" i="30"/>
  <c r="K4" i="30"/>
  <c r="K9" i="30"/>
  <c r="K6" i="30"/>
  <c r="K2" i="30"/>
  <c r="K12" i="30" s="1"/>
  <c r="H12" i="29" l="1"/>
  <c r="I10" i="29" s="1"/>
  <c r="I11" i="29"/>
  <c r="L10" i="29"/>
  <c r="L9" i="29"/>
  <c r="I9" i="29"/>
  <c r="L8" i="29"/>
  <c r="K8" i="29" s="1"/>
  <c r="L7" i="29"/>
  <c r="K7" i="29" s="1"/>
  <c r="L6" i="29"/>
  <c r="K6" i="29" s="1"/>
  <c r="I6" i="29"/>
  <c r="E6" i="29"/>
  <c r="L5" i="29"/>
  <c r="I5" i="29"/>
  <c r="E5" i="29"/>
  <c r="L4" i="29"/>
  <c r="K4" i="29" s="1"/>
  <c r="E4" i="29"/>
  <c r="L3" i="29"/>
  <c r="I3" i="29"/>
  <c r="E3" i="29"/>
  <c r="L2" i="29"/>
  <c r="L12" i="29" s="1"/>
  <c r="I2" i="29"/>
  <c r="D2" i="29"/>
  <c r="D7" i="29" s="1"/>
  <c r="E7" i="29" s="1"/>
  <c r="B2" i="29"/>
  <c r="B7" i="29" s="1"/>
  <c r="C3" i="29" l="1"/>
  <c r="C6" i="29"/>
  <c r="C4" i="29"/>
  <c r="C5" i="29"/>
  <c r="K5" i="29"/>
  <c r="K9" i="29"/>
  <c r="K2" i="29"/>
  <c r="K12" i="29" s="1"/>
  <c r="K11" i="29"/>
  <c r="K3" i="29"/>
  <c r="K10" i="29"/>
  <c r="C2" i="29"/>
  <c r="I8" i="29"/>
  <c r="E2" i="29"/>
  <c r="I4" i="29"/>
  <c r="I12" i="29" s="1"/>
  <c r="I7" i="29"/>
  <c r="H12" i="28"/>
  <c r="I11" i="28"/>
  <c r="L10" i="28"/>
  <c r="I10" i="28"/>
  <c r="L9" i="28"/>
  <c r="I9" i="28"/>
  <c r="L8" i="28"/>
  <c r="I8" i="28"/>
  <c r="L7" i="28"/>
  <c r="I7" i="28"/>
  <c r="L6" i="28"/>
  <c r="I6" i="28"/>
  <c r="E6" i="28"/>
  <c r="L5" i="28"/>
  <c r="I5" i="28"/>
  <c r="E5" i="28"/>
  <c r="L4" i="28"/>
  <c r="I4" i="28"/>
  <c r="E4" i="28"/>
  <c r="L3" i="28"/>
  <c r="I3" i="28"/>
  <c r="E3" i="28"/>
  <c r="L2" i="28"/>
  <c r="L12" i="28" s="1"/>
  <c r="I2" i="28"/>
  <c r="I12" i="28" s="1"/>
  <c r="D2" i="28"/>
  <c r="D7" i="28" s="1"/>
  <c r="B2" i="28"/>
  <c r="G31" i="2"/>
  <c r="K6" i="28" l="1"/>
  <c r="K10" i="28"/>
  <c r="K5" i="28"/>
  <c r="K8" i="28"/>
  <c r="K3" i="28"/>
  <c r="K11" i="28"/>
  <c r="K9" i="28"/>
  <c r="C2" i="28"/>
  <c r="K4" i="28"/>
  <c r="K7" i="28"/>
  <c r="E2" i="28"/>
  <c r="B7" i="28"/>
  <c r="K2" i="28"/>
  <c r="H12" i="27"/>
  <c r="I11" i="27" s="1"/>
  <c r="I12" i="27" s="1"/>
  <c r="L10" i="27"/>
  <c r="I10" i="27"/>
  <c r="L9" i="27"/>
  <c r="I9" i="27"/>
  <c r="L8" i="27"/>
  <c r="I8" i="27"/>
  <c r="L7" i="27"/>
  <c r="I7" i="27"/>
  <c r="L6" i="27"/>
  <c r="I6" i="27"/>
  <c r="E6" i="27"/>
  <c r="L5" i="27"/>
  <c r="I5" i="27"/>
  <c r="E5" i="27"/>
  <c r="L4" i="27"/>
  <c r="I4" i="27"/>
  <c r="E4" i="27"/>
  <c r="L3" i="27"/>
  <c r="I3" i="27"/>
  <c r="E3" i="27"/>
  <c r="L2" i="27"/>
  <c r="L12" i="27" s="1"/>
  <c r="I2" i="27"/>
  <c r="D2" i="27"/>
  <c r="D7" i="27" s="1"/>
  <c r="B2" i="27"/>
  <c r="B7" i="27" s="1"/>
  <c r="C3" i="28" l="1"/>
  <c r="C6" i="28"/>
  <c r="C4" i="28"/>
  <c r="C5" i="28"/>
  <c r="K12" i="28"/>
  <c r="E7" i="28"/>
  <c r="E7" i="27"/>
  <c r="K4" i="27"/>
  <c r="K7" i="27"/>
  <c r="C3" i="27"/>
  <c r="C6" i="27"/>
  <c r="C4" i="27"/>
  <c r="C5" i="27"/>
  <c r="K5" i="27"/>
  <c r="K2" i="27"/>
  <c r="K11" i="27"/>
  <c r="K6" i="27"/>
  <c r="K10" i="27"/>
  <c r="K9" i="27"/>
  <c r="K8" i="27"/>
  <c r="K3" i="27"/>
  <c r="C2" i="27"/>
  <c r="E2" i="27"/>
  <c r="K12" i="27" l="1"/>
  <c r="H12" i="26" l="1"/>
  <c r="I7" i="26" s="1"/>
  <c r="L10" i="26"/>
  <c r="L9" i="26"/>
  <c r="L8" i="26"/>
  <c r="L7" i="26"/>
  <c r="L6" i="26"/>
  <c r="E6" i="26"/>
  <c r="L5" i="26"/>
  <c r="E5" i="26"/>
  <c r="L4" i="26"/>
  <c r="E4" i="26"/>
  <c r="L3" i="26"/>
  <c r="E3" i="26"/>
  <c r="L2" i="26"/>
  <c r="L12" i="26" s="1"/>
  <c r="D2" i="26"/>
  <c r="D7" i="26" s="1"/>
  <c r="B2" i="26"/>
  <c r="B7" i="26" s="1"/>
  <c r="E2" i="26" l="1"/>
  <c r="E7" i="26"/>
  <c r="K11" i="26"/>
  <c r="K7" i="26"/>
  <c r="K4" i="26"/>
  <c r="K5" i="26"/>
  <c r="I2" i="26"/>
  <c r="K3" i="26"/>
  <c r="K9" i="26"/>
  <c r="K8" i="26"/>
  <c r="K2" i="26"/>
  <c r="K10" i="26"/>
  <c r="C6" i="26"/>
  <c r="C4" i="26"/>
  <c r="C5" i="26"/>
  <c r="C2" i="26"/>
  <c r="C3" i="26"/>
  <c r="I10" i="26"/>
  <c r="I6" i="26"/>
  <c r="I11" i="26"/>
  <c r="I3" i="26"/>
  <c r="K6" i="26"/>
  <c r="I8" i="26"/>
  <c r="I5" i="26"/>
  <c r="I9" i="26"/>
  <c r="I4" i="26"/>
  <c r="L2" i="24"/>
  <c r="L3" i="24"/>
  <c r="L4" i="24"/>
  <c r="L5" i="24"/>
  <c r="L6" i="24"/>
  <c r="L7" i="24"/>
  <c r="L8" i="24"/>
  <c r="L9" i="24"/>
  <c r="L10" i="24"/>
  <c r="H12" i="24"/>
  <c r="I3" i="24" s="1"/>
  <c r="I8" i="24"/>
  <c r="D2" i="24"/>
  <c r="E2" i="24" s="1"/>
  <c r="B2" i="24"/>
  <c r="B7" i="24" s="1"/>
  <c r="E6" i="24"/>
  <c r="E5" i="24"/>
  <c r="E4" i="24"/>
  <c r="E3" i="24"/>
  <c r="L2" i="23"/>
  <c r="L3" i="23"/>
  <c r="L12" i="23" s="1"/>
  <c r="L4" i="23"/>
  <c r="L5" i="23"/>
  <c r="K5" i="23" s="1"/>
  <c r="L6" i="23"/>
  <c r="L7" i="23"/>
  <c r="L8" i="23"/>
  <c r="L9" i="23"/>
  <c r="L10" i="23"/>
  <c r="H12" i="23"/>
  <c r="I6" i="23" s="1"/>
  <c r="I2" i="23"/>
  <c r="I3" i="23"/>
  <c r="I4" i="23"/>
  <c r="I5" i="23"/>
  <c r="I7" i="23"/>
  <c r="I8" i="23"/>
  <c r="I9" i="23"/>
  <c r="I10" i="23"/>
  <c r="I11" i="23"/>
  <c r="D2" i="23"/>
  <c r="E2" i="23" s="1"/>
  <c r="B2" i="23"/>
  <c r="B7" i="23" s="1"/>
  <c r="E6" i="23"/>
  <c r="E5" i="23"/>
  <c r="E4" i="23"/>
  <c r="E3" i="23"/>
  <c r="L2" i="22"/>
  <c r="L3" i="22"/>
  <c r="L12" i="22" s="1"/>
  <c r="L4" i="22"/>
  <c r="L5" i="22"/>
  <c r="L6" i="22"/>
  <c r="L7" i="22"/>
  <c r="L8" i="22"/>
  <c r="L9" i="22"/>
  <c r="L10" i="22"/>
  <c r="H12" i="22"/>
  <c r="I2" i="22" s="1"/>
  <c r="I3" i="22"/>
  <c r="I4" i="22"/>
  <c r="I5" i="22"/>
  <c r="I7" i="22"/>
  <c r="I8" i="22"/>
  <c r="I9" i="22"/>
  <c r="I10" i="22"/>
  <c r="I11" i="22"/>
  <c r="D2" i="22"/>
  <c r="E2" i="22" s="1"/>
  <c r="B2" i="22"/>
  <c r="B7" i="22" s="1"/>
  <c r="E6" i="22"/>
  <c r="E5" i="22"/>
  <c r="E4" i="22"/>
  <c r="E3" i="22"/>
  <c r="M30" i="20"/>
  <c r="L2" i="21"/>
  <c r="L12" i="21" s="1"/>
  <c r="L3" i="21"/>
  <c r="L4" i="21"/>
  <c r="L5" i="21"/>
  <c r="L6" i="21"/>
  <c r="L7" i="21"/>
  <c r="L8" i="21"/>
  <c r="L9" i="21"/>
  <c r="L10" i="21"/>
  <c r="H12" i="21"/>
  <c r="I7" i="21" s="1"/>
  <c r="I3" i="21"/>
  <c r="I4" i="21"/>
  <c r="I6" i="21"/>
  <c r="I9" i="21"/>
  <c r="I10" i="21"/>
  <c r="I11" i="21"/>
  <c r="M22" i="20"/>
  <c r="D2" i="21"/>
  <c r="D7" i="21" s="1"/>
  <c r="E7" i="21" s="1"/>
  <c r="B2" i="21"/>
  <c r="B7" i="21"/>
  <c r="C4" i="21" s="1"/>
  <c r="E6" i="21"/>
  <c r="C6" i="21"/>
  <c r="E5" i="21"/>
  <c r="C5" i="21"/>
  <c r="E4" i="21"/>
  <c r="E3" i="21"/>
  <c r="C2" i="21"/>
  <c r="M9" i="20"/>
  <c r="H35" i="2"/>
  <c r="G35" i="2"/>
  <c r="H34" i="2"/>
  <c r="G34" i="2"/>
  <c r="H33" i="2"/>
  <c r="G33" i="2"/>
  <c r="H32" i="2"/>
  <c r="G32" i="2"/>
  <c r="H31" i="2"/>
  <c r="H30" i="2"/>
  <c r="G30" i="2"/>
  <c r="H29" i="2"/>
  <c r="G29" i="2"/>
  <c r="H28" i="2"/>
  <c r="G28" i="2"/>
  <c r="H27" i="2"/>
  <c r="G27" i="2"/>
  <c r="H26" i="2"/>
  <c r="G26" i="2"/>
  <c r="H25" i="2"/>
  <c r="G25" i="2"/>
  <c r="H24" i="2"/>
  <c r="G24" i="2"/>
  <c r="E6" i="19"/>
  <c r="E5" i="19"/>
  <c r="E4" i="19"/>
  <c r="E3" i="19"/>
  <c r="D2" i="19"/>
  <c r="D7" i="19"/>
  <c r="B2" i="19"/>
  <c r="E2" i="19" s="1"/>
  <c r="E6" i="18"/>
  <c r="E5" i="18"/>
  <c r="E4" i="18"/>
  <c r="E3" i="18"/>
  <c r="D2" i="18"/>
  <c r="D7" i="18" s="1"/>
  <c r="B2" i="18"/>
  <c r="B7" i="18" s="1"/>
  <c r="G12" i="2"/>
  <c r="G9" i="2"/>
  <c r="G10" i="2"/>
  <c r="G11" i="2"/>
  <c r="G13" i="2"/>
  <c r="G14" i="2"/>
  <c r="G15" i="2"/>
  <c r="G16" i="2"/>
  <c r="G17" i="2"/>
  <c r="G18" i="2"/>
  <c r="G19" i="2"/>
  <c r="G20" i="2"/>
  <c r="H12" i="2"/>
  <c r="H9" i="2"/>
  <c r="H10" i="2"/>
  <c r="H11" i="2"/>
  <c r="H13" i="2"/>
  <c r="H14" i="2"/>
  <c r="H15" i="2"/>
  <c r="H16" i="2"/>
  <c r="H17" i="2"/>
  <c r="H18" i="2"/>
  <c r="H19" i="2"/>
  <c r="H20" i="2"/>
  <c r="M110" i="1"/>
  <c r="E2" i="18"/>
  <c r="E6" i="17"/>
  <c r="E5" i="17"/>
  <c r="E4" i="17"/>
  <c r="E3" i="17"/>
  <c r="D2" i="17"/>
  <c r="D7" i="17"/>
  <c r="B2" i="17"/>
  <c r="B7" i="17" s="1"/>
  <c r="E2" i="17"/>
  <c r="E6" i="15"/>
  <c r="E5" i="15"/>
  <c r="E4" i="15"/>
  <c r="E3" i="15"/>
  <c r="D2" i="15"/>
  <c r="D7" i="15"/>
  <c r="B2" i="15"/>
  <c r="M102" i="1"/>
  <c r="M94" i="1"/>
  <c r="M85" i="1"/>
  <c r="E6" i="14"/>
  <c r="E5" i="14"/>
  <c r="E4" i="14"/>
  <c r="E3" i="14"/>
  <c r="D2" i="14"/>
  <c r="E2" i="14" s="1"/>
  <c r="B2" i="14"/>
  <c r="B7" i="14"/>
  <c r="C5" i="14" s="1"/>
  <c r="E6" i="13"/>
  <c r="E5" i="13"/>
  <c r="E4" i="13"/>
  <c r="E3" i="13"/>
  <c r="D2" i="13"/>
  <c r="E2" i="13" s="1"/>
  <c r="B2" i="13"/>
  <c r="B7" i="13" s="1"/>
  <c r="M72" i="1"/>
  <c r="C2" i="14"/>
  <c r="D2" i="12"/>
  <c r="D7" i="12" s="1"/>
  <c r="E7" i="12" s="1"/>
  <c r="E6" i="12"/>
  <c r="E5" i="12"/>
  <c r="E4" i="12"/>
  <c r="E3" i="12"/>
  <c r="B2" i="12"/>
  <c r="B7" i="12"/>
  <c r="C6" i="12" s="1"/>
  <c r="M64" i="1"/>
  <c r="E6" i="11"/>
  <c r="E5" i="11"/>
  <c r="E4" i="11"/>
  <c r="E3" i="11"/>
  <c r="D2" i="11"/>
  <c r="D7" i="11"/>
  <c r="B2" i="11"/>
  <c r="B7" i="11" s="1"/>
  <c r="E2" i="11"/>
  <c r="E6" i="10"/>
  <c r="E5" i="10"/>
  <c r="E4" i="10"/>
  <c r="E3" i="10"/>
  <c r="D2" i="10"/>
  <c r="D7" i="10"/>
  <c r="B2" i="10"/>
  <c r="C2" i="10" s="1"/>
  <c r="M51" i="1"/>
  <c r="B7" i="10"/>
  <c r="C6" i="10" s="1"/>
  <c r="E6" i="9"/>
  <c r="E5" i="9"/>
  <c r="E4" i="9"/>
  <c r="E3" i="9"/>
  <c r="D2" i="9"/>
  <c r="D7" i="9"/>
  <c r="B2" i="9"/>
  <c r="E2" i="9" s="1"/>
  <c r="M36" i="1"/>
  <c r="E6" i="8"/>
  <c r="E5" i="8"/>
  <c r="E4" i="8"/>
  <c r="E3" i="8"/>
  <c r="D2" i="8"/>
  <c r="B2" i="8"/>
  <c r="E2" i="8"/>
  <c r="M27" i="1"/>
  <c r="B7" i="7"/>
  <c r="C6" i="7" s="1"/>
  <c r="C2" i="7"/>
  <c r="E6" i="7"/>
  <c r="E5" i="7"/>
  <c r="E4" i="7"/>
  <c r="C4" i="7"/>
  <c r="E3" i="7"/>
  <c r="C3" i="7"/>
  <c r="D2" i="7"/>
  <c r="D7" i="7"/>
  <c r="E7" i="7" s="1"/>
  <c r="D7" i="6"/>
  <c r="B7" i="6"/>
  <c r="C2" i="6" s="1"/>
  <c r="E6" i="6"/>
  <c r="E5" i="6"/>
  <c r="E4" i="6"/>
  <c r="E3" i="6"/>
  <c r="E2" i="6"/>
  <c r="D7" i="5"/>
  <c r="E7" i="5" s="1"/>
  <c r="B7" i="5"/>
  <c r="C2" i="5" s="1"/>
  <c r="C4" i="5"/>
  <c r="E6" i="5"/>
  <c r="E5" i="5"/>
  <c r="E4" i="5"/>
  <c r="E3" i="5"/>
  <c r="E2" i="5"/>
  <c r="E6" i="4"/>
  <c r="E5" i="4"/>
  <c r="E4" i="4"/>
  <c r="E3" i="4"/>
  <c r="D2" i="4"/>
  <c r="D7" i="4" s="1"/>
  <c r="E7" i="4" s="1"/>
  <c r="B2" i="4"/>
  <c r="B7" i="4"/>
  <c r="C4" i="4" s="1"/>
  <c r="E2" i="4"/>
  <c r="B2" i="3"/>
  <c r="B7" i="3" s="1"/>
  <c r="D2" i="3"/>
  <c r="C3" i="5"/>
  <c r="C5" i="5"/>
  <c r="C5" i="6"/>
  <c r="G7" i="2"/>
  <c r="H7" i="2"/>
  <c r="H6" i="2"/>
  <c r="G6" i="2"/>
  <c r="M18" i="1"/>
  <c r="M8" i="1"/>
  <c r="C5" i="4"/>
  <c r="B7" i="8"/>
  <c r="E7" i="8" s="1"/>
  <c r="C2" i="8"/>
  <c r="E2" i="7"/>
  <c r="D7" i="8"/>
  <c r="C3" i="8"/>
  <c r="C6" i="8"/>
  <c r="C5" i="8"/>
  <c r="C4" i="8"/>
  <c r="G36" i="2" l="1"/>
  <c r="G37" i="2" s="1"/>
  <c r="H36" i="2"/>
  <c r="G21" i="2"/>
  <c r="G22" i="2" s="1"/>
  <c r="C6" i="11"/>
  <c r="C4" i="11"/>
  <c r="E7" i="11"/>
  <c r="C3" i="11"/>
  <c r="C5" i="11"/>
  <c r="C2" i="11"/>
  <c r="K4" i="21"/>
  <c r="C3" i="22"/>
  <c r="C5" i="22"/>
  <c r="C6" i="22"/>
  <c r="C4" i="22"/>
  <c r="K5" i="22"/>
  <c r="C3" i="23"/>
  <c r="C5" i="23"/>
  <c r="C6" i="23"/>
  <c r="C4" i="23"/>
  <c r="C6" i="13"/>
  <c r="C4" i="13"/>
  <c r="C5" i="13"/>
  <c r="C3" i="13"/>
  <c r="C6" i="17"/>
  <c r="C4" i="17"/>
  <c r="C3" i="17"/>
  <c r="E7" i="17"/>
  <c r="C5" i="17"/>
  <c r="C2" i="17"/>
  <c r="C3" i="24"/>
  <c r="C6" i="24"/>
  <c r="C5" i="24"/>
  <c r="C4" i="24"/>
  <c r="E7" i="18"/>
  <c r="K10" i="22"/>
  <c r="K2" i="22"/>
  <c r="K4" i="23"/>
  <c r="K6" i="23"/>
  <c r="K7" i="23"/>
  <c r="K9" i="23"/>
  <c r="K8" i="23"/>
  <c r="K11" i="23"/>
  <c r="K3" i="21"/>
  <c r="K11" i="21"/>
  <c r="K5" i="21"/>
  <c r="K6" i="21"/>
  <c r="K8" i="21"/>
  <c r="K7" i="21"/>
  <c r="K10" i="23"/>
  <c r="K2" i="23"/>
  <c r="K10" i="21"/>
  <c r="K9" i="21"/>
  <c r="C6" i="18"/>
  <c r="C4" i="18"/>
  <c r="C5" i="18"/>
  <c r="C3" i="18"/>
  <c r="C2" i="18"/>
  <c r="K4" i="22"/>
  <c r="K9" i="22"/>
  <c r="K6" i="22"/>
  <c r="K7" i="22"/>
  <c r="K8" i="22"/>
  <c r="K11" i="22"/>
  <c r="I12" i="23"/>
  <c r="C3" i="6"/>
  <c r="C6" i="6"/>
  <c r="E2" i="10"/>
  <c r="E2" i="12"/>
  <c r="D7" i="13"/>
  <c r="E7" i="13" s="1"/>
  <c r="E2" i="15"/>
  <c r="K2" i="21"/>
  <c r="K3" i="22"/>
  <c r="K3" i="23"/>
  <c r="C2" i="4"/>
  <c r="E7" i="6"/>
  <c r="B7" i="9"/>
  <c r="C2" i="12"/>
  <c r="C4" i="14"/>
  <c r="D7" i="14"/>
  <c r="E7" i="14" s="1"/>
  <c r="B7" i="15"/>
  <c r="C2" i="15" s="1"/>
  <c r="B7" i="19"/>
  <c r="E7" i="19" s="1"/>
  <c r="I5" i="21"/>
  <c r="D7" i="22"/>
  <c r="E7" i="22" s="1"/>
  <c r="I6" i="22"/>
  <c r="I12" i="22" s="1"/>
  <c r="D7" i="23"/>
  <c r="E7" i="23" s="1"/>
  <c r="D7" i="24"/>
  <c r="E7" i="24" s="1"/>
  <c r="E7" i="10"/>
  <c r="C6" i="14"/>
  <c r="C3" i="4"/>
  <c r="C5" i="7"/>
  <c r="C3" i="10"/>
  <c r="C3" i="12"/>
  <c r="C3" i="14"/>
  <c r="C2" i="19"/>
  <c r="E2" i="21"/>
  <c r="C6" i="5"/>
  <c r="C6" i="4"/>
  <c r="C4" i="6"/>
  <c r="D7" i="3"/>
  <c r="G10" i="3" s="1"/>
  <c r="C5" i="10"/>
  <c r="C5" i="12"/>
  <c r="C3" i="21"/>
  <c r="I2" i="21"/>
  <c r="I12" i="21" s="1"/>
  <c r="C2" i="22"/>
  <c r="C2" i="23"/>
  <c r="C2" i="24"/>
  <c r="C2" i="9"/>
  <c r="C4" i="10"/>
  <c r="C4" i="12"/>
  <c r="L12" i="24"/>
  <c r="K7" i="24" s="1"/>
  <c r="C2" i="13"/>
  <c r="I8" i="21"/>
  <c r="I12" i="26"/>
  <c r="K12" i="26"/>
  <c r="I10" i="24"/>
  <c r="I9" i="24"/>
  <c r="I7" i="24"/>
  <c r="I6" i="24"/>
  <c r="I5" i="24"/>
  <c r="I4" i="24"/>
  <c r="I2" i="24"/>
  <c r="K5" i="24"/>
  <c r="K9" i="24"/>
  <c r="K10" i="24"/>
  <c r="K3" i="24"/>
  <c r="I11" i="24"/>
  <c r="H37" i="2" l="1"/>
  <c r="Q105" i="2"/>
  <c r="Q106" i="2" s="1"/>
  <c r="Q107" i="2" s="1"/>
  <c r="H22" i="2"/>
  <c r="K12" i="21"/>
  <c r="K2" i="24"/>
  <c r="K6" i="24"/>
  <c r="C4" i="9"/>
  <c r="C3" i="9"/>
  <c r="C5" i="9"/>
  <c r="C6" i="9"/>
  <c r="E7" i="9"/>
  <c r="K12" i="22"/>
  <c r="K11" i="24"/>
  <c r="K4" i="24"/>
  <c r="C6" i="19"/>
  <c r="C4" i="19"/>
  <c r="C3" i="19"/>
  <c r="C5" i="19"/>
  <c r="K12" i="23"/>
  <c r="K8" i="24"/>
  <c r="C5" i="15"/>
  <c r="C3" i="15"/>
  <c r="C6" i="15"/>
  <c r="C4" i="15"/>
  <c r="E7" i="15"/>
  <c r="I12" i="24"/>
  <c r="K1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tc={95E83C26-2216-48CA-8118-2729F0BF35CE}</author>
    <author>tc={773047A4-C529-4879-8E3D-3BF69A7BAFF5}</author>
  </authors>
  <commentList>
    <comment ref="EP1" authorId="0" shapeId="0" xr:uid="{95E83C26-2216-48CA-8118-2729F0BF35CE}">
      <text>
        <t>[Threaded comment]
Your version of Excel allows you to read this threaded comment; however, any edits to it will get removed if the file is opened in a newer version of Excel. Learn more: https://go.microsoft.com/fwlink/?linkid=870924
Comment:
    @Imranah Adams A lot of the fee related sections (columns GV, HB, HH, etc.) that don't have a cost included (suggesting that they don't offer these services) still have the payment frequency box marked (e.g. weekly, monthly, etc.). Does this mean they do offer these services but just haven't added the charge amount or are these boxes incorrectly marked?</t>
      </text>
    </comment>
    <comment ref="A228" authorId="1" shapeId="0" xr:uid="{773047A4-C529-4879-8E3D-3BF69A7BAFF5}">
      <text>
        <t>[Threaded comment]
Your version of Excel allows you to read this threaded comment; however, any edits to it will get removed if the file is opened in a newer version of Excel. Learn more: https://go.microsoft.com/fwlink/?linkid=870924
Comment:
    Where Imranah Left off</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tc={0CAD0ECD-1BF4-44FA-9D4C-2AA52EC71CF6}</author>
  </authors>
  <commentList>
    <comment ref="D12"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there was one loan of 30,000 cedis under April but we later realized it wasn't to an IDP School, so it has been deleted</t>
      </text>
    </comment>
  </commentList>
</comments>
</file>

<file path=xl/sharedStrings.xml><?xml version="1.0" encoding="utf-8"?>
<sst xmlns="http://schemas.openxmlformats.org/spreadsheetml/2006/main" count="29558" uniqueCount="4663">
  <si>
    <t>Account</t>
  </si>
  <si>
    <t>Branch</t>
  </si>
  <si>
    <t>Loan Purpose</t>
  </si>
  <si>
    <t>Officer</t>
  </si>
  <si>
    <t>Product Name</t>
  </si>
  <si>
    <t>Customer</t>
  </si>
  <si>
    <t>Customer Name</t>
  </si>
  <si>
    <t>Opening Date</t>
  </si>
  <si>
    <t>First Payment Date</t>
  </si>
  <si>
    <t>Term</t>
  </si>
  <si>
    <t>Ccy</t>
  </si>
  <si>
    <t>Commitment</t>
  </si>
  <si>
    <t>OFFINSO BRANCH</t>
  </si>
  <si>
    <t>Infrastructure</t>
  </si>
  <si>
    <t>IDPRS MICRO SCH LOANS</t>
  </si>
  <si>
    <t>GREAT OXFORD INTERNATIONAL SCHOOL</t>
  </si>
  <si>
    <t>816D</t>
  </si>
  <si>
    <t>GHS</t>
  </si>
  <si>
    <t>MATAHEKO BRANCH</t>
  </si>
  <si>
    <t>PAULINE CHILD MINDING CENTRE</t>
  </si>
  <si>
    <t>377D</t>
  </si>
  <si>
    <t>SUNYANI BRANCH</t>
  </si>
  <si>
    <t>Working Capital</t>
  </si>
  <si>
    <t xml:space="preserve">ZUNDI MUSAH </t>
  </si>
  <si>
    <t>413D</t>
  </si>
  <si>
    <t>AGYIRE GARBRA SOPHIA</t>
  </si>
  <si>
    <t>786D</t>
  </si>
  <si>
    <t>SENSELS SCHOOL</t>
  </si>
  <si>
    <t>379D</t>
  </si>
  <si>
    <t>ADUM BRANCH</t>
  </si>
  <si>
    <t>OFORI ATTA MERCY</t>
  </si>
  <si>
    <t>97D</t>
  </si>
  <si>
    <t>MANKESIM BRANCH</t>
  </si>
  <si>
    <t>FUTURE HOME CHILD CARE ACADEMY</t>
  </si>
  <si>
    <t>188D</t>
  </si>
  <si>
    <t>TECHIMAN BRANCH</t>
  </si>
  <si>
    <t>ABDULAIA HAWA</t>
  </si>
  <si>
    <t>132D</t>
  </si>
  <si>
    <t>BOAKYE MEMORIAL INTER. SCHOOL LTD</t>
  </si>
  <si>
    <t>633D</t>
  </si>
  <si>
    <t>STANDARD SCHOOL OF ROYAL KIDS</t>
  </si>
  <si>
    <t>863D</t>
  </si>
  <si>
    <t>JESUS CARES FOR YOU ACADEMY</t>
  </si>
  <si>
    <t>408D</t>
  </si>
  <si>
    <t>CAPE COAST BRANCH</t>
  </si>
  <si>
    <t>NTSIFUL AIKINS ROBERT</t>
  </si>
  <si>
    <t>FEBRUARY</t>
  </si>
  <si>
    <t>DADZIE ISAAC</t>
  </si>
  <si>
    <t>100D</t>
  </si>
  <si>
    <t>BIBIANI BRANCH</t>
  </si>
  <si>
    <t>KAN DO IT STANDARD SCH</t>
  </si>
  <si>
    <t>739D</t>
  </si>
  <si>
    <t>MARCH</t>
  </si>
  <si>
    <t>AHWIRENBEA BAAH LILY</t>
  </si>
  <si>
    <t>745D</t>
  </si>
  <si>
    <t>Land</t>
  </si>
  <si>
    <t>KRATOS PREPARATORY SCHOOL</t>
  </si>
  <si>
    <t>796D</t>
  </si>
  <si>
    <t>ABUAKWA BRANCH</t>
  </si>
  <si>
    <t>ESSEL-CUDJOE FRANCISCA</t>
  </si>
  <si>
    <t>771D</t>
  </si>
  <si>
    <t>LAWRENCE AND GEORGINA</t>
  </si>
  <si>
    <t>NYARKOH JOSEPH KWESI</t>
  </si>
  <si>
    <t>196D</t>
  </si>
  <si>
    <t>APRIL</t>
  </si>
  <si>
    <t>378D</t>
  </si>
  <si>
    <t>MAY</t>
  </si>
  <si>
    <t>JOHNCRIS PREP &amp; JHS</t>
  </si>
  <si>
    <t>HIS KIND MERCY SCHOOL</t>
  </si>
  <si>
    <t>388D</t>
  </si>
  <si>
    <t>Vehicle</t>
  </si>
  <si>
    <t>WISDOM PIONEERS EDUCATION COMPLEX</t>
  </si>
  <si>
    <t>579D</t>
  </si>
  <si>
    <t>DIVINE CONVENANT ACADEMY</t>
  </si>
  <si>
    <t>426D</t>
  </si>
  <si>
    <t>ODOOM DEBRAH ELIJAH</t>
  </si>
  <si>
    <t>440D</t>
  </si>
  <si>
    <t>EMMANUEL LIGHT ACADEMY</t>
  </si>
  <si>
    <t>454D</t>
  </si>
  <si>
    <t>JUNE</t>
  </si>
  <si>
    <t>664D</t>
  </si>
  <si>
    <t>JULY</t>
  </si>
  <si>
    <t>OFORI ATTA , MERCY</t>
  </si>
  <si>
    <t>154D</t>
  </si>
  <si>
    <t>SEAT OF WISDOM SCHOOL LIMITED</t>
  </si>
  <si>
    <t>278D</t>
  </si>
  <si>
    <t>ACKON EVA ELIZABETH</t>
  </si>
  <si>
    <t>392D</t>
  </si>
  <si>
    <t>ROYAL GOSPEL NURSERY AND DAY CARE</t>
  </si>
  <si>
    <t>805D</t>
  </si>
  <si>
    <t>AUGUST</t>
  </si>
  <si>
    <t>195D</t>
  </si>
  <si>
    <t>SUNNY VILLE SCHOOL LIMITED</t>
  </si>
  <si>
    <t>759D</t>
  </si>
  <si>
    <t>Buildings</t>
  </si>
  <si>
    <t>KAN DO IT STANDARD SCH - BIBIANI</t>
  </si>
  <si>
    <t>569D</t>
  </si>
  <si>
    <t>FATIMA ABDULAI</t>
  </si>
  <si>
    <t>318D</t>
  </si>
  <si>
    <t>SEPTEMBER</t>
  </si>
  <si>
    <t>Cycle</t>
  </si>
  <si>
    <t>OWUSU ANTWI MARY</t>
  </si>
  <si>
    <t>199D</t>
  </si>
  <si>
    <t>ADU-KYEREMEH CHRISTIANA</t>
  </si>
  <si>
    <t>766D</t>
  </si>
  <si>
    <t>ROSELISHA HOPE PREPARATORY</t>
  </si>
  <si>
    <t>391D</t>
  </si>
  <si>
    <t>ST.LUTTERODT ACADEMY</t>
  </si>
  <si>
    <t>744D</t>
  </si>
  <si>
    <t>BEREKUM BRANCH</t>
  </si>
  <si>
    <t>ACQUAH EBENEZER JNR</t>
  </si>
  <si>
    <t>223D</t>
  </si>
  <si>
    <t>ABDULAI, ALHAJI</t>
  </si>
  <si>
    <t>411D</t>
  </si>
  <si>
    <t>KYERE KORANG PRINCE</t>
  </si>
  <si>
    <t>1151D</t>
  </si>
  <si>
    <t>OSEI KYEREMAA, ERNESTINA</t>
  </si>
  <si>
    <t>BRAVO, TONY</t>
  </si>
  <si>
    <t>399D</t>
  </si>
  <si>
    <t>OCTOBER</t>
  </si>
  <si>
    <t>639D</t>
  </si>
  <si>
    <t>MOUNT CARMEL HOME SCHOOL LIMITED</t>
  </si>
  <si>
    <t>427D</t>
  </si>
  <si>
    <t>MENSAH OFORI VIVIAN</t>
  </si>
  <si>
    <t>621D</t>
  </si>
  <si>
    <t>ADJEI ALICE</t>
  </si>
  <si>
    <t>818D</t>
  </si>
  <si>
    <t>GRACE EXPERIMENTAL SCHOOL</t>
  </si>
  <si>
    <t>773D</t>
  </si>
  <si>
    <t>NOVEMBER</t>
  </si>
  <si>
    <t>ZUNDI MUSAH , ZUNDI MUSAH</t>
  </si>
  <si>
    <t>747D</t>
  </si>
  <si>
    <t>GOASO BRANCH</t>
  </si>
  <si>
    <t>ANOINTED EDUCATION COMLEX</t>
  </si>
  <si>
    <t>768D</t>
  </si>
  <si>
    <t>THE SAINT INT SCH -ISAAC KYERE</t>
  </si>
  <si>
    <t>826D</t>
  </si>
  <si>
    <t>DECEMBER</t>
  </si>
  <si>
    <t>DOXA ROYAL SCHOOL LIMITED</t>
  </si>
  <si>
    <t>482D</t>
  </si>
  <si>
    <t>UNBREAKABLE FAITH ACADEMY</t>
  </si>
  <si>
    <t>823D</t>
  </si>
  <si>
    <t>DEJONVE INTERNATIONAL SCHOOL</t>
  </si>
  <si>
    <t>792D</t>
  </si>
  <si>
    <t>Land Acquisition</t>
  </si>
  <si>
    <t>HIGH GATE EDU. COMPLEX</t>
  </si>
  <si>
    <t>831D</t>
  </si>
  <si>
    <t>JANUARY</t>
  </si>
  <si>
    <t>KONONGO BRANCH</t>
  </si>
  <si>
    <t>PARADISE INTERNATIONAL SCHOOL</t>
  </si>
  <si>
    <t>1002D</t>
  </si>
  <si>
    <t>School Bus</t>
  </si>
  <si>
    <t>MIM EVERGREEN PREAPTORY SCH</t>
  </si>
  <si>
    <t>404D</t>
  </si>
  <si>
    <t>HAPPY LAND ACADEMY</t>
  </si>
  <si>
    <t>790D</t>
  </si>
  <si>
    <t xml:space="preserve">PARADISE SCHOOL </t>
  </si>
  <si>
    <t>819D</t>
  </si>
  <si>
    <t>BA-EL-SHADAI PREPRETORY SCHOOL</t>
  </si>
  <si>
    <t>420D</t>
  </si>
  <si>
    <t xml:space="preserve">KONONGO </t>
  </si>
  <si>
    <t>BLESSED CHRISTIAN ACADEMY</t>
  </si>
  <si>
    <t>419D</t>
  </si>
  <si>
    <t>GATEWAY EXPERIMENTAL ACADEMY</t>
  </si>
  <si>
    <t>433D</t>
  </si>
  <si>
    <t>DREAMERS INT. SCHOOL</t>
  </si>
  <si>
    <t>847D</t>
  </si>
  <si>
    <t>HOLY TRINITY DIVINE EDUCATION COM</t>
  </si>
  <si>
    <t>PRINCESS MARIE INTERNATIONAL SCHOOL</t>
  </si>
  <si>
    <t>197D</t>
  </si>
  <si>
    <t>JP GLORIOUS EDUCATIONAL COMPLEX LTD</t>
  </si>
  <si>
    <t>582D</t>
  </si>
  <si>
    <t>YAHWEH EDUCATIONAL COMPLEX</t>
  </si>
  <si>
    <t>820D</t>
  </si>
  <si>
    <t>ATEBUBU BRANCH</t>
  </si>
  <si>
    <t>AMAZING GRACE INTERNATIONAL SCHOOL</t>
  </si>
  <si>
    <t>ELLEN WHITE EDUCATION COMPLEX</t>
  </si>
  <si>
    <t>ELLEN G. WHITE PRE. &amp; JSS LTD</t>
  </si>
  <si>
    <t>757D</t>
  </si>
  <si>
    <t>ANTOSIE EDU. COMPLEX/DAY CARE CENTRE</t>
  </si>
  <si>
    <t>DEEPER LIFE BASIC SCHOOL - MIM</t>
  </si>
  <si>
    <t>736D</t>
  </si>
  <si>
    <t>BAAH MEMORIAL COMMUNITY SCH</t>
  </si>
  <si>
    <t>821D</t>
  </si>
  <si>
    <t>No Loan disbursed</t>
  </si>
  <si>
    <t>456D</t>
  </si>
  <si>
    <t>JAMDEDE CHRIST THE KING ACADEMY</t>
  </si>
  <si>
    <t>ADUM</t>
  </si>
  <si>
    <t>GODSWAY ACADEMY</t>
  </si>
  <si>
    <t>266D</t>
  </si>
  <si>
    <t>LEESBON EDUCATION CENTRE</t>
  </si>
  <si>
    <t>396D</t>
  </si>
  <si>
    <t>PHIGA NURSERY SCHOOL</t>
  </si>
  <si>
    <t>120D</t>
  </si>
  <si>
    <t>PEACE INTERNATIONAL SCHOOL</t>
  </si>
  <si>
    <t>802D</t>
  </si>
  <si>
    <t>395D</t>
  </si>
  <si>
    <t>HOLINESS PREPARATORY SCHOOL</t>
  </si>
  <si>
    <t>730D</t>
  </si>
  <si>
    <t>JEHOVAH NISSI EDUCATIONAL COM. LTD</t>
  </si>
  <si>
    <t>803D</t>
  </si>
  <si>
    <t>MARGARET POKUAAH EDUCATIONAL COMP.</t>
  </si>
  <si>
    <t xml:space="preserve">ERCOM SCHOOL OF EXCELLENCE         </t>
  </si>
  <si>
    <t>MARANATHA ASSEMBLIES OF GOD ACADEMY</t>
  </si>
  <si>
    <t>FATIMAH VIRTUE EDUCATIONAL COMPLEX</t>
  </si>
  <si>
    <t>KUMASI CENT. MKT BRCH</t>
  </si>
  <si>
    <t>HUMBLE TREAT ACADEMY LIMITED</t>
  </si>
  <si>
    <t xml:space="preserve">SPECIAL LIGHT INTL. SCHOOL LTD     </t>
  </si>
  <si>
    <t>407D</t>
  </si>
  <si>
    <t>PRECIOUS CITY ACADEMY LIMITED</t>
  </si>
  <si>
    <t>GREAT HOLY CHILD PREP (EMMANUEL OPPONG)</t>
  </si>
  <si>
    <t>749D</t>
  </si>
  <si>
    <t>GOD'S GRACE INTERNATIONAL SCHOOL</t>
  </si>
  <si>
    <t>381D</t>
  </si>
  <si>
    <t>PROMISE LAND FOUNDATION ACADEMY</t>
  </si>
  <si>
    <t>811D</t>
  </si>
  <si>
    <t>PELLA MODEL SCHOOL LTD</t>
  </si>
  <si>
    <t>PENIEL VASCITY EDUCATIONAL COMPLEX</t>
  </si>
  <si>
    <t>791D</t>
  </si>
  <si>
    <t>MIGHTY COMBAT ACADEMY</t>
  </si>
  <si>
    <t>BOATENG MEMORIAL SCHOOL</t>
  </si>
  <si>
    <t>405D</t>
  </si>
  <si>
    <t>GOOD FOUNDATION INTERNATIONAL SCH.</t>
  </si>
  <si>
    <t>1170D</t>
  </si>
  <si>
    <t>ST. MICHAEL ACADEMY-MICHAEL OWUSU</t>
  </si>
  <si>
    <t>CAROCLAIR ACADEMY</t>
  </si>
  <si>
    <t>409D</t>
  </si>
  <si>
    <t>613D</t>
  </si>
  <si>
    <t>BAAH MEMORIAL COMMUNITY SCHOOL</t>
  </si>
  <si>
    <t>435D</t>
  </si>
  <si>
    <t>ABRAFI MEMORIAL SCHOOL LTD</t>
  </si>
  <si>
    <t>1112D</t>
  </si>
  <si>
    <t>1160D</t>
  </si>
  <si>
    <t>Straight Way Mission School</t>
  </si>
  <si>
    <t>ANTOSIE DAY CARE CENTRE</t>
  </si>
  <si>
    <t>784D</t>
  </si>
  <si>
    <t>FLODICK PARADISE LEARNING CEN. LTD</t>
  </si>
  <si>
    <t>928D</t>
  </si>
  <si>
    <t>YAHWEH PRAISE ACADEMY LIMITED</t>
  </si>
  <si>
    <t>VICTORY PREPARATORY SCHOOL</t>
  </si>
  <si>
    <t>573D</t>
  </si>
  <si>
    <t>MOIBRAHIM ACADEMY</t>
  </si>
  <si>
    <t>763D</t>
  </si>
  <si>
    <t>GODSWAY ACADEMAY</t>
  </si>
  <si>
    <t>782D</t>
  </si>
  <si>
    <t>1179D</t>
  </si>
  <si>
    <t>ANNETTE PREP. SCH.</t>
  </si>
  <si>
    <t>193D</t>
  </si>
  <si>
    <t>NEW VISION INT. SCH.</t>
  </si>
  <si>
    <t>PRIESTLAND EDUCATIONAL CENTRE</t>
  </si>
  <si>
    <t>720D</t>
  </si>
  <si>
    <t>HOLY MOUNT ZION MODEL SCHOOL LTD</t>
  </si>
  <si>
    <t>743D</t>
  </si>
  <si>
    <t>775D</t>
  </si>
  <si>
    <t>IN HIM IS LIFE INTERNATIONAL SCHOOL</t>
  </si>
  <si>
    <t>828D</t>
  </si>
  <si>
    <t>ELLEN WHITE EDUCATIONAL COMPLEX</t>
  </si>
  <si>
    <t>458D</t>
  </si>
  <si>
    <t>IKE-LIN LIVING WATER ACADEMY</t>
  </si>
  <si>
    <t>798D</t>
  </si>
  <si>
    <t>ANOINTED JESUS GRACE ACADEMY</t>
  </si>
  <si>
    <t>777D</t>
  </si>
  <si>
    <t>PRINCE OF ZION ACADEMY LIMITED</t>
  </si>
  <si>
    <t>SUNSET MOUNT SCHOOL LIMITED</t>
  </si>
  <si>
    <t>764D</t>
  </si>
  <si>
    <t>ROSE ADU MEMORIAL SCHOOL COMP. LTD</t>
  </si>
  <si>
    <t>ROYAL LIFE MONTESSORI LIMITED</t>
  </si>
  <si>
    <t>DIVINE RHEMA EDUCATIONAL COMPLEX</t>
  </si>
  <si>
    <t>385D</t>
  </si>
  <si>
    <t>SIKANKO LIVING GRACE INTERNATIONAL</t>
  </si>
  <si>
    <t>1143D</t>
  </si>
  <si>
    <t>LIGHT INTERNATIONAL PREPARATORY/JSS</t>
  </si>
  <si>
    <r>
      <rPr>
        <sz val="11"/>
        <rFont val="Calibri"/>
        <family val="2"/>
        <scheme val="minor"/>
      </rPr>
      <t>ASEBU</t>
    </r>
    <r>
      <rPr>
        <sz val="11"/>
        <color theme="1"/>
        <rFont val="Calibri"/>
        <family val="2"/>
        <scheme val="minor"/>
      </rPr>
      <t xml:space="preserve"> OXFORD ACADEMY -LIMITED</t>
    </r>
  </si>
  <si>
    <t>FORTRESS INTERNATIONAL SCHOOL</t>
  </si>
  <si>
    <t>780D</t>
  </si>
  <si>
    <t>ELEVATION ACADEMY LIMITED</t>
  </si>
  <si>
    <t>OFFINSO ROCK OF AGES ACADEMY</t>
  </si>
  <si>
    <t>SEFWI-WIASO BRANCH</t>
  </si>
  <si>
    <t>GOODNEWS INTERNATIONAL SCHOOL</t>
  </si>
  <si>
    <t>ST THERESA MONTISSORI SCHOOL</t>
  </si>
  <si>
    <t>762D</t>
  </si>
  <si>
    <t>ACKON EVA ELIZABETH, ACKON EVA ELIZABETH</t>
  </si>
  <si>
    <t>TONYVIV PREPARATORY SCHOOL COMPLEX</t>
  </si>
  <si>
    <t>CALVAEY PRAISE PREPARATORY SCHOOL</t>
  </si>
  <si>
    <t>374D</t>
  </si>
  <si>
    <t>ZARA'S EDUCATIONAL COMPLEX LTD.</t>
  </si>
  <si>
    <t>GLORIOUS GRACE INTERNATIONAL SCHOOL</t>
  </si>
  <si>
    <t>398D</t>
  </si>
  <si>
    <t>KING JACKSON INTERNATIONAL SCHOOL</t>
  </si>
  <si>
    <t>615D</t>
  </si>
  <si>
    <t>1119D</t>
  </si>
  <si>
    <t>485D</t>
  </si>
  <si>
    <t>ALICE ELITE ACADEMY</t>
  </si>
  <si>
    <t>778D</t>
  </si>
  <si>
    <t>PRECIOUS GIFT EDUCATIONAL COMPLEX</t>
  </si>
  <si>
    <t>401D</t>
  </si>
  <si>
    <t>STANDARD PREPARATORY SCHOOL</t>
  </si>
  <si>
    <t>400D</t>
  </si>
  <si>
    <t>INTEGRITY MONTESSORI SCHOOL</t>
  </si>
  <si>
    <t>801D</t>
  </si>
  <si>
    <t>412D</t>
  </si>
  <si>
    <t>428D</t>
  </si>
  <si>
    <t>AIKINS INTL SCHOOL</t>
  </si>
  <si>
    <t>417D</t>
  </si>
  <si>
    <t>717D</t>
  </si>
  <si>
    <t>PA RABBI ACADEMY (RABBI ACADEMY)</t>
  </si>
  <si>
    <t>608D</t>
  </si>
  <si>
    <t>BEREKUM HIGH GATE EDUCATIONAL COMPLEX LIMITED</t>
  </si>
  <si>
    <t>833D</t>
  </si>
  <si>
    <t>MODERN BRIDGE MONTESSORI SCHOOL</t>
  </si>
  <si>
    <t>795D</t>
  </si>
  <si>
    <t>DEADDOS MONTESSORI SCHOOL</t>
  </si>
  <si>
    <t>369D</t>
  </si>
  <si>
    <t>DIVINE CARE SCHOLARS ACADEMY</t>
  </si>
  <si>
    <t>781D</t>
  </si>
  <si>
    <t>HILL TOP PREP SCH LTD</t>
  </si>
  <si>
    <t>ROYAL EDUCATIONAL COMPLEX</t>
  </si>
  <si>
    <t>ENTSUA-MENSAH PREPARATORY SCHOOL</t>
  </si>
  <si>
    <t>321D</t>
  </si>
  <si>
    <t>594D</t>
  </si>
  <si>
    <t>GOLDEN KEY ACADEMY LIMITED</t>
  </si>
  <si>
    <t>760D</t>
  </si>
  <si>
    <t>GRACE EBENEZER SCHOOL</t>
  </si>
  <si>
    <t>584D</t>
  </si>
  <si>
    <t>HAYLEE MONTESSORI SCHOOL LIMITED</t>
  </si>
  <si>
    <t>746D</t>
  </si>
  <si>
    <t>UNIVERSAL INT. SCHOOL- WINFRED , UNIVERSAL INT. SCHOOL- WINFRED</t>
  </si>
  <si>
    <t>785D</t>
  </si>
  <si>
    <t>ONLY JESUS CAN SAVE PREPARATORY SCH</t>
  </si>
  <si>
    <t>PECOM MARANATHA INTERNATIONAL SCH</t>
  </si>
  <si>
    <t>1144D</t>
  </si>
  <si>
    <t>YAHWE EDUCATIONAL COMPLEX, YAHWE EDUCATIONAL COMPLEX</t>
  </si>
  <si>
    <t>D D ANSAH SCHOOL COMPLEX (JESSEY ACADEMY)</t>
  </si>
  <si>
    <t>765D</t>
  </si>
  <si>
    <t>NOBLE ROYALS INTERNATIONAL SCHOOL</t>
  </si>
  <si>
    <t>PERFECT LAND ACADEMY</t>
  </si>
  <si>
    <t>750D</t>
  </si>
  <si>
    <t>SPECIAL LIGHT INTL. SCHOOL LTD</t>
  </si>
  <si>
    <t>NURTURED ROYALS COMM. SCH. UNLIMITE</t>
  </si>
  <si>
    <t>ANNETTE PREPARATORY SCHOOL</t>
  </si>
  <si>
    <t>202D</t>
  </si>
  <si>
    <t>GODS WAY ACADEMY</t>
  </si>
  <si>
    <t>166D</t>
  </si>
  <si>
    <t>PEACE COMPLEX SCHOOL (PEACE INTERNATIONAL SCHOOL)</t>
  </si>
  <si>
    <t>323D</t>
  </si>
  <si>
    <t>DEEPER LIFE BASIC SCHOOL</t>
  </si>
  <si>
    <t>infrastructure</t>
  </si>
  <si>
    <t>810D</t>
  </si>
  <si>
    <t>TRUE LOVE INTERNATIONAL SCHOOL</t>
  </si>
  <si>
    <t>630D</t>
  </si>
  <si>
    <t>SCHOOL OF GREAT MERCY LTD</t>
  </si>
  <si>
    <t>812D</t>
  </si>
  <si>
    <t>380D</t>
  </si>
  <si>
    <t>DIAMOND STAR MONTESSORI SCHOOL</t>
  </si>
  <si>
    <t>NAYAAK BLESSED SCHOOL LIMITED</t>
  </si>
  <si>
    <t>PENTECOSTAL MODEL SCHOOL</t>
  </si>
  <si>
    <t>NICHEXCEL COMMUNITY SCHOOL LTD</t>
  </si>
  <si>
    <t>SUCCESSFUL VISION ACADEMY</t>
  </si>
  <si>
    <t>KRATOS PREPARATORY SCHOOL, KRATOS PREPARATORY SCHOOL</t>
  </si>
  <si>
    <t>415D</t>
  </si>
  <si>
    <t>GOODNEWS INTERNATIONAL SCHOOL (REFORMERS EDUCATIONAL COMPLEX LTD)</t>
  </si>
  <si>
    <t>200D</t>
  </si>
  <si>
    <t>844D</t>
  </si>
  <si>
    <t>AHWIRENBEA BAAH LILY, AHWIRENBEA BAAH LILY</t>
  </si>
  <si>
    <t>825D</t>
  </si>
  <si>
    <t>COLLINS PREPARATORY SCHOOL LTD</t>
  </si>
  <si>
    <t>BELOVED NEW ERA SCHOOL, BELOVED NEW ERA SCHOOL</t>
  </si>
  <si>
    <t>DREAMERS FOCUS EDUCATIONAL COMPLEX</t>
  </si>
  <si>
    <t>GRACE CRECHE AND PREPARATORY</t>
  </si>
  <si>
    <t>769D</t>
  </si>
  <si>
    <t>ROYAL GOSPEL PREPARATORY SCHOOL</t>
  </si>
  <si>
    <t>GRACE PREPARATORY SCH. KANESHIE LTD</t>
  </si>
  <si>
    <t>CHRIS ACADEMY PREPARATORY SCHOOL</t>
  </si>
  <si>
    <t>813D</t>
  </si>
  <si>
    <t>Loan Cycle</t>
  </si>
  <si>
    <t>Vehicle Repairs</t>
  </si>
  <si>
    <t>384D</t>
  </si>
  <si>
    <t>ST. XYSTUS MODEL SCHOOL</t>
  </si>
  <si>
    <t>441D</t>
  </si>
  <si>
    <t>ENCOUNTER ECOLE FRANCAISE SCH. LTD</t>
  </si>
  <si>
    <t>1111D</t>
  </si>
  <si>
    <t>BELIEVERS ACADEMY</t>
  </si>
  <si>
    <t>LIVING JESUS ACADEMY</t>
  </si>
  <si>
    <t>383D</t>
  </si>
  <si>
    <t>ADONIA ANGELS ACADEMY LTD.</t>
  </si>
  <si>
    <t>ASPIRE ROYALS ACADEMY LIMITED</t>
  </si>
  <si>
    <t>793D</t>
  </si>
  <si>
    <t>563D</t>
  </si>
  <si>
    <t>ERCOM SCHOOL OF EXCELLENCE</t>
  </si>
  <si>
    <t>914D</t>
  </si>
  <si>
    <t>JADEN'S CRADLE MONTESSORI</t>
  </si>
  <si>
    <t>POPE JOHN PAUL II INTERNATIONAL SCH</t>
  </si>
  <si>
    <t>738D</t>
  </si>
  <si>
    <t>REDHILL ACADEMY LTD</t>
  </si>
  <si>
    <t>TREDE ADVENTIST PREPARATORY SCH.</t>
  </si>
  <si>
    <t>KID STARS CHRISTIAN ACADEMY LTD (Christian Academy Ltd)</t>
  </si>
  <si>
    <t>SEEK JESUS FIRST EDUACTIONAL CENTRE LIMITED</t>
  </si>
  <si>
    <t>699D</t>
  </si>
  <si>
    <t>DABS ANGELES COMMUNITY SCHOOL LTD</t>
  </si>
  <si>
    <t>DIVINE PATIENCE ACADEMY LIMITED</t>
  </si>
  <si>
    <t>1110D</t>
  </si>
  <si>
    <t>207D</t>
  </si>
  <si>
    <t>STEVEJOY BETHEL ACADEMY LTD</t>
  </si>
  <si>
    <t>700D</t>
  </si>
  <si>
    <t>YOLAND EDUCATIONAL COMPLEX LTD</t>
  </si>
  <si>
    <t>JENSLA SCHOOL COMPLEX LTD</t>
  </si>
  <si>
    <t>1148D</t>
  </si>
  <si>
    <t>Vehicle/Engine</t>
  </si>
  <si>
    <t>382D</t>
  </si>
  <si>
    <t>FOUNTAIN OF WISDOM ACADEMY</t>
  </si>
  <si>
    <t>577D</t>
  </si>
  <si>
    <t>ST MATILDA'S SCHOOL</t>
  </si>
  <si>
    <t>S/PROGRESS PREPARATORY SCHOOL</t>
  </si>
  <si>
    <t>PEACE ON EARTH ACADEMY LIMITED</t>
  </si>
  <si>
    <t>THE PLUMB &amp; WALLACH CHRISTIAN SCH.</t>
  </si>
  <si>
    <t>TILITET EARLY CHILDHOOD CARE AND DEVELOPMENT CENTRE</t>
  </si>
  <si>
    <t>561D</t>
  </si>
  <si>
    <t>MicroSch. IDPRS L</t>
  </si>
  <si>
    <t>365D</t>
  </si>
  <si>
    <t>UNIQUE HAVEN ANGELS SCHOOL LTD</t>
  </si>
  <si>
    <t>ATWIMA ROYAL KIDS ACADEMY</t>
  </si>
  <si>
    <t>376D</t>
  </si>
  <si>
    <t>MARY GOLD MONTESSORI SCHOOL LTD</t>
  </si>
  <si>
    <t>GRACE ANOINTING TALENT ACADEMY (ANOINTED GRACE SCHOOL)</t>
  </si>
  <si>
    <t>1080D</t>
  </si>
  <si>
    <t>1157D</t>
  </si>
  <si>
    <t>NEW GALILEE SCHOOL COMPLEX</t>
  </si>
  <si>
    <t>CHRIST MINISTRY INTERNATIONAL SCH</t>
  </si>
  <si>
    <t>1060D</t>
  </si>
  <si>
    <t>FJ MONARCHS EDUCATIONAL CENTER</t>
  </si>
  <si>
    <t>756D</t>
  </si>
  <si>
    <t>LORD BLESSED ASSURANCE SCHOOL</t>
  </si>
  <si>
    <t>Micro School Loan</t>
  </si>
  <si>
    <t>EL-SOTERIA ACADEMY LIMITED</t>
  </si>
  <si>
    <t>366D</t>
  </si>
  <si>
    <t>HYBRID STEPPING STONE CHRISTIAN LTD</t>
  </si>
  <si>
    <t>1158D</t>
  </si>
  <si>
    <t>1107D</t>
  </si>
  <si>
    <t>ST. MARIE'S EARLY LEARNING CENTRE</t>
  </si>
  <si>
    <t>SWEET GRACE SCHOOL COMPLEX LTD</t>
  </si>
  <si>
    <t>721D</t>
  </si>
  <si>
    <t>UBIS ACADEMY LTD</t>
  </si>
  <si>
    <t>CLOSEFIELDS ENTERPRISE LIMITED</t>
  </si>
  <si>
    <t>194D</t>
  </si>
  <si>
    <t>MEGA HEIGHT MONTESSORI SCHOOL</t>
  </si>
  <si>
    <t>560D</t>
  </si>
  <si>
    <t>TOWER OF EXCELLENENCE ACADEMY</t>
  </si>
  <si>
    <t>APGYEI HYBRID SCHOOL LIMITED</t>
  </si>
  <si>
    <t>AIKINS INTERNATIONAL SCHOOL</t>
  </si>
  <si>
    <t>32D</t>
  </si>
  <si>
    <t>CALVARY PRAISE PREPARATORY SCHOOL</t>
  </si>
  <si>
    <t>FEBUARY</t>
  </si>
  <si>
    <t>HAVIL HYBRAIN SCHOOL COMPLEX LTD</t>
  </si>
  <si>
    <t>ALBERTS SCHOOL</t>
  </si>
  <si>
    <t>STEP BY STEP INTERNATIONAL SCHOOL</t>
  </si>
  <si>
    <t>Infrastrusture</t>
  </si>
  <si>
    <t>586D</t>
  </si>
  <si>
    <t>GREAT HOLY CHILD INTERNATIONAL SCHOOL</t>
  </si>
  <si>
    <t>373D</t>
  </si>
  <si>
    <t>580D</t>
  </si>
  <si>
    <t>SEEK JESUS FIRST EDUACTIONAL CENTRE</t>
  </si>
  <si>
    <t>BAAH MEMORIAL SCHOOL</t>
  </si>
  <si>
    <t>1155D</t>
  </si>
  <si>
    <t>ROYAL JESSAR SCHOOL LTD</t>
  </si>
  <si>
    <t>BOLGATANGA BRANCH</t>
  </si>
  <si>
    <t>GREAT VISION ACADEMY</t>
  </si>
  <si>
    <t>303D</t>
  </si>
  <si>
    <t>761D</t>
  </si>
  <si>
    <t>KIDS PRIDE ACADEMY</t>
  </si>
  <si>
    <t>RUPA BRIGHTER KIDS ACADEMY</t>
  </si>
  <si>
    <t>LIZ INTERNATIONAL MONTESSORI LTD</t>
  </si>
  <si>
    <t>564D</t>
  </si>
  <si>
    <t>737D</t>
  </si>
  <si>
    <t>ATEBUBU EXCEL PREPARATORY SCHOOL</t>
  </si>
  <si>
    <t>393D</t>
  </si>
  <si>
    <t>597D</t>
  </si>
  <si>
    <t>NOBLE KIDS EDUCATIONAL COMPLEX</t>
  </si>
  <si>
    <t>565D</t>
  </si>
  <si>
    <t>MAGCHILL PREPARATORY SCHOOL</t>
  </si>
  <si>
    <t>SMARTKIDS HARVARD MONTESSORI SCHOOL</t>
  </si>
  <si>
    <t>GREEN STREAM EDUCATIONAL COMPLEX LIMITED</t>
  </si>
  <si>
    <t>741D</t>
  </si>
  <si>
    <t>INFRASTRUCTURE</t>
  </si>
  <si>
    <t>ERNEST AGYEI BOATENG, ERNEST AGYEI BOATENG</t>
  </si>
  <si>
    <t>397D</t>
  </si>
  <si>
    <t>PRINCEWILL ACADEMY</t>
  </si>
  <si>
    <t>ELLIS AVENUE BRANCH</t>
  </si>
  <si>
    <t>VEHICLE</t>
  </si>
  <si>
    <t>DIVINE PEACE SCHOOL</t>
  </si>
  <si>
    <t>EBEGRACE ZION PRE-SCHOOL LIMITED</t>
  </si>
  <si>
    <t>KAAS MONTESSORI SCHOOL</t>
  </si>
  <si>
    <t>566D</t>
  </si>
  <si>
    <t>WORKING CAPITAL</t>
  </si>
  <si>
    <t>PARADISE UNIQUE EDUCATIONAL COMPLEX</t>
  </si>
  <si>
    <t>LIVING JESUS ACADEMY LIMITED</t>
  </si>
  <si>
    <t>MESSIAH MONTESSORI SCHOOL,ANTOAKROM</t>
  </si>
  <si>
    <t>KWAME BOAMAH MEMORIAL SCHOOL</t>
  </si>
  <si>
    <t>794D</t>
  </si>
  <si>
    <t>LAND</t>
  </si>
  <si>
    <t>788D</t>
  </si>
  <si>
    <t>106D</t>
  </si>
  <si>
    <t>GODS WAYS ACADMY</t>
  </si>
  <si>
    <t>488D</t>
  </si>
  <si>
    <t>VICTORY OF CHRIST INT.SCHOOL LTD.</t>
  </si>
  <si>
    <t>562D</t>
  </si>
  <si>
    <t>DIVINE POWER ACADEMY LIMITED</t>
  </si>
  <si>
    <t>STAR KIDS PREPARATORY SCHOOL LTD</t>
  </si>
  <si>
    <t>THREE BROTHERS EDUCATIONAL COMPLEX LTD.</t>
  </si>
  <si>
    <t>732D</t>
  </si>
  <si>
    <t>375D</t>
  </si>
  <si>
    <t>HEAVENLY ROYAL PREPARATORY &amp; JHS LTD</t>
  </si>
  <si>
    <t>548D</t>
  </si>
  <si>
    <t>QUALITY EDUCATIONAL COMPLEX MFENSI</t>
  </si>
  <si>
    <t>ADAGYA DESTINY EXPERIMENTAL ACADEMY</t>
  </si>
  <si>
    <t>DE-MAY MONTESSORI SCHOOL LIMITED</t>
  </si>
  <si>
    <t>733D</t>
  </si>
  <si>
    <t>GET UNIQUE ACADEMY LIMITED</t>
  </si>
  <si>
    <t>LUCAS B. MODEL SCHOOL LIMITED</t>
  </si>
  <si>
    <t>AUGUSTMA EDUCATIONAL COMPLEX LTD</t>
  </si>
  <si>
    <t>SUPREME MESSIAH SCHOOL LTD</t>
  </si>
  <si>
    <t>KRATOS, PREPARATORY SCHOOL</t>
  </si>
  <si>
    <t>552D</t>
  </si>
  <si>
    <t>AVE MARIA SCHOOL-SUNYANI</t>
  </si>
  <si>
    <t>OHENEWAA EDUCATIONAL COMPLEX LTD</t>
  </si>
  <si>
    <t>772D</t>
  </si>
  <si>
    <t>748D</t>
  </si>
  <si>
    <t>ELJEPA SCHOOL</t>
  </si>
  <si>
    <t>742D</t>
  </si>
  <si>
    <t>GREAT ACADEMY INTERNATIONAL SCHOOL</t>
  </si>
  <si>
    <t>425D</t>
  </si>
  <si>
    <t>455D</t>
  </si>
  <si>
    <t>VEHICLE ENGINE</t>
  </si>
  <si>
    <t>ASEBU OXFORD ACADEMY -LIMITED</t>
  </si>
  <si>
    <t>PRIESTLAND EDUCATIONAL CENTRE LIMITED</t>
  </si>
  <si>
    <t>LORDS BLESSED ASSURANCE, SCHOOL COMPLEX</t>
  </si>
  <si>
    <t>371D</t>
  </si>
  <si>
    <t>DE - JOINT CHRISTIAN ACADEMY LTD</t>
  </si>
  <si>
    <t>556D</t>
  </si>
  <si>
    <t>PINNACLE INTELLECTUALS SCHOOL</t>
  </si>
  <si>
    <t>368D</t>
  </si>
  <si>
    <t>1113D</t>
  </si>
  <si>
    <t>NEW NATAL INTERNATIONAL SCHOOL LTD</t>
  </si>
  <si>
    <t>1126D</t>
  </si>
  <si>
    <t>OAK HILLS SCHOOL LIMITED</t>
  </si>
  <si>
    <t>WINNERS JOY EDUCATIONAL COMPLEX LTD</t>
  </si>
  <si>
    <t>1108D</t>
  </si>
  <si>
    <t>DREAMERS FOCUS EDUCATIONAL COMPLEX (DREAMERS INT SCH)</t>
  </si>
  <si>
    <t>1140D</t>
  </si>
  <si>
    <t>AMAZING FUTURE SCHOLARS ACADEMY LTD</t>
  </si>
  <si>
    <t>320D</t>
  </si>
  <si>
    <t>841D</t>
  </si>
  <si>
    <t>1125D</t>
  </si>
  <si>
    <t>ROYAL MASTERS ACADEMY</t>
  </si>
  <si>
    <t>GLORIOUS KING PREPARATORY AND JHS BEREKUM</t>
  </si>
  <si>
    <t>FREDORA'S ACADEMY LIMITED</t>
  </si>
  <si>
    <t>198D</t>
  </si>
  <si>
    <t>HUGGY ROYALS ACADEMY</t>
  </si>
  <si>
    <t>ANGELIUS SCHOOL LIMITED</t>
  </si>
  <si>
    <t>ROYAL WISDOM SCHOOL LIMITED</t>
  </si>
  <si>
    <t>MORRIDYCIA WEANS SCHOOL</t>
  </si>
  <si>
    <t>JULIET ASANTEWAA MEMORIAL SCH LTD</t>
  </si>
  <si>
    <t>553D</t>
  </si>
  <si>
    <t>Enrollment</t>
  </si>
  <si>
    <t>Teachers</t>
  </si>
  <si>
    <t>Fees</t>
  </si>
  <si>
    <t>Canteen</t>
  </si>
  <si>
    <t>Transportation</t>
  </si>
  <si>
    <t>Classes</t>
  </si>
  <si>
    <t>Grade</t>
  </si>
  <si>
    <t>Creche-JHS3</t>
  </si>
  <si>
    <t>creche-Primary 4</t>
  </si>
  <si>
    <t>creche-primary 3</t>
  </si>
  <si>
    <t>NEW SHINING STAR ACADEMY LTD</t>
  </si>
  <si>
    <t>Nursery-Primary 6</t>
  </si>
  <si>
    <t>Nursery-JHS2</t>
  </si>
  <si>
    <t>ATEBUBU EXCEL PREPARATORY SCHOOL-, ATEBUBU</t>
  </si>
  <si>
    <t>731D</t>
  </si>
  <si>
    <t>ALMIGHTY EDUCATIONAL COMPLEX</t>
  </si>
  <si>
    <t>JUSTICE, INTERNATIONAL SCHOOL</t>
  </si>
  <si>
    <t>CLOSEFIELDS SCHOOL</t>
  </si>
  <si>
    <t>Nursery-JHS3</t>
  </si>
  <si>
    <t>D D ANSAH SCHOOL COMPLEX</t>
  </si>
  <si>
    <t>590D</t>
  </si>
  <si>
    <t>Creche - JHS</t>
  </si>
  <si>
    <t>HEAVENLY PEACE ACADEMY (HEAVENLY ANGELS SCHOOL)</t>
  </si>
  <si>
    <t>319D</t>
  </si>
  <si>
    <t>Creche - Primary</t>
  </si>
  <si>
    <t>PA RABBI ACADEMY</t>
  </si>
  <si>
    <t>Nursery - JHS</t>
  </si>
  <si>
    <t>BELOVED, NEW ERA SCHOOL</t>
  </si>
  <si>
    <t>STOPOVER WORLD PREPARATORY SCHOOL</t>
  </si>
  <si>
    <t>YAHWE, EDUCATIONAL COMPLEX</t>
  </si>
  <si>
    <t>713D</t>
  </si>
  <si>
    <t>SAMPHILS EDUCATION COMPLEX</t>
  </si>
  <si>
    <t>134D</t>
  </si>
  <si>
    <t>372D</t>
  </si>
  <si>
    <t>614D</t>
  </si>
  <si>
    <t>DARUL-SALAM EDUCATIONAL CENTRE LTD</t>
  </si>
  <si>
    <t>917D</t>
  </si>
  <si>
    <t>AIM HIGH EDUCATIONAL COMPLEX LTD</t>
  </si>
  <si>
    <t>AMAZING POWER ACADEMY</t>
  </si>
  <si>
    <t>creche - Primary</t>
  </si>
  <si>
    <t>GREAT IDAHOSA MODEL SCHOOL LTD</t>
  </si>
  <si>
    <t>CRECHE - PRIMARY</t>
  </si>
  <si>
    <t>NURSEY - JHS</t>
  </si>
  <si>
    <t>KING JACKSON PREPARATORY SCHOOL</t>
  </si>
  <si>
    <t>755D</t>
  </si>
  <si>
    <t>CRECHE - JHS</t>
  </si>
  <si>
    <t>GOLDEN PEN INTERNATIONAL SCHOOL LIMITED</t>
  </si>
  <si>
    <t>1109D</t>
  </si>
  <si>
    <t>MARY-FOFIE MEMORAIL INTERNATIONAL S</t>
  </si>
  <si>
    <t>PRINCE OF PEACE ACADEMY</t>
  </si>
  <si>
    <t>FRANSTA KIDDY CARE LTD</t>
  </si>
  <si>
    <t>547D</t>
  </si>
  <si>
    <t>TILITET EARLY CHILDHOOD CARE AND D</t>
  </si>
  <si>
    <t>Creche - KG</t>
  </si>
  <si>
    <t>ROSELISHA, HOPE PREPARATORY</t>
  </si>
  <si>
    <t>IDPF School ID</t>
  </si>
  <si>
    <t xml:space="preserve">Submission Date </t>
  </si>
  <si>
    <t>1. Proprietor Name</t>
  </si>
  <si>
    <t>2a. School Name</t>
  </si>
  <si>
    <t>2c. Proprietors Sex</t>
  </si>
  <si>
    <t>Calls</t>
  </si>
  <si>
    <t>WhatsApp</t>
  </si>
  <si>
    <t>3a. Is your school registered as a business?</t>
  </si>
  <si>
    <t>3b. If yes or In-progress, type of Registration?</t>
  </si>
  <si>
    <t>Others, specify</t>
  </si>
  <si>
    <t>4a. Are you registered with any private school association?</t>
  </si>
  <si>
    <t>4b. If yes, which of the private school association?</t>
  </si>
  <si>
    <t>Others, specify2</t>
  </si>
  <si>
    <t>5. Current students’ enrollment</t>
  </si>
  <si>
    <t>Boys</t>
  </si>
  <si>
    <t>Girls</t>
  </si>
  <si>
    <t>Total</t>
  </si>
  <si>
    <t>6. Grade level-Check if the grade level is provided.</t>
  </si>
  <si>
    <t>Creche</t>
  </si>
  <si>
    <t>N1</t>
  </si>
  <si>
    <t>N2</t>
  </si>
  <si>
    <t>KG1</t>
  </si>
  <si>
    <t>KG2</t>
  </si>
  <si>
    <t>P1</t>
  </si>
  <si>
    <t>P2</t>
  </si>
  <si>
    <t>P3</t>
  </si>
  <si>
    <t>P4</t>
  </si>
  <si>
    <t>P5</t>
  </si>
  <si>
    <t>P6</t>
  </si>
  <si>
    <t>JHS1</t>
  </si>
  <si>
    <t>JHS2</t>
  </si>
  <si>
    <t>JHS3</t>
  </si>
  <si>
    <t>7a. Number of classes in grade eg. if you have classes P1-A &amp; P1B, write "2" for P1. Please add zeros to classrooms students numbers where schools doesn't have students at those levels</t>
  </si>
  <si>
    <t>Creche3</t>
  </si>
  <si>
    <t>N14</t>
  </si>
  <si>
    <t>N25</t>
  </si>
  <si>
    <t>KG16</t>
  </si>
  <si>
    <t>KG27</t>
  </si>
  <si>
    <t>P18</t>
  </si>
  <si>
    <t>P29</t>
  </si>
  <si>
    <t>P310</t>
  </si>
  <si>
    <t>P411</t>
  </si>
  <si>
    <t>P512</t>
  </si>
  <si>
    <t>P613</t>
  </si>
  <si>
    <t>JHS114</t>
  </si>
  <si>
    <t>JHS215</t>
  </si>
  <si>
    <t>JHS316</t>
  </si>
  <si>
    <t>8a. Number of students that took the BECE last year.</t>
  </si>
  <si>
    <t>Boys73</t>
  </si>
  <si>
    <t>Girls74</t>
  </si>
  <si>
    <t>Total75</t>
  </si>
  <si>
    <t>Not Applicable</t>
  </si>
  <si>
    <t>8b. Number of students that had aggregate 6-10 in the BECE last year.</t>
  </si>
  <si>
    <t>Boys76</t>
  </si>
  <si>
    <t>Girls77</t>
  </si>
  <si>
    <t>Total78</t>
  </si>
  <si>
    <t>8c. Number of students that had aggregate 11-15 in the BECE last year.</t>
  </si>
  <si>
    <t>Boys79</t>
  </si>
  <si>
    <t>Girls80</t>
  </si>
  <si>
    <t>Total81</t>
  </si>
  <si>
    <t>9. How many students transitioned from Primary 6 to JHS1 within the school?</t>
  </si>
  <si>
    <t>Boys82</t>
  </si>
  <si>
    <t>Girls83</t>
  </si>
  <si>
    <t>Total84</t>
  </si>
  <si>
    <t>Not Available</t>
  </si>
  <si>
    <t>Don't Know</t>
  </si>
  <si>
    <t>10. How many students in JHS3 transitioned into Senior Secondary Schools?</t>
  </si>
  <si>
    <t>Boys85</t>
  </si>
  <si>
    <t>Girls86</t>
  </si>
  <si>
    <t>Total87</t>
  </si>
  <si>
    <t>Not Available88</t>
  </si>
  <si>
    <t>Don't know89</t>
  </si>
  <si>
    <t>School Administration /Governance</t>
  </si>
  <si>
    <t>11a. Do you have a Board of Governance/Management?</t>
  </si>
  <si>
    <t>11b. If yes, how often do they meet?</t>
  </si>
  <si>
    <t>12a. Do you have a PTA?</t>
  </si>
  <si>
    <t>12b. If yes, how often do they meet?</t>
  </si>
  <si>
    <t>13. Do you take daily records of students’ attendance in the school?</t>
  </si>
  <si>
    <t>14. Does the school have a clear vision and/or mission?</t>
  </si>
  <si>
    <t>School infrastructure</t>
  </si>
  <si>
    <t>15. Do you own the school's land?</t>
  </si>
  <si>
    <t>16. School building structure. Select the one that constitute majority of the school building.</t>
  </si>
  <si>
    <t>Others, specify90</t>
  </si>
  <si>
    <t>17. How many toilets/washroom facilities do you have? Count each separate partition within a block.</t>
  </si>
  <si>
    <t>Total91</t>
  </si>
  <si>
    <t>Boys92</t>
  </si>
  <si>
    <t>Girls93</t>
  </si>
  <si>
    <t>Shared</t>
  </si>
  <si>
    <t>18. Usage of computers in your school?</t>
  </si>
  <si>
    <t>Others, specify94</t>
  </si>
  <si>
    <t>19. What is the water source in your school? Tick all that apply.</t>
  </si>
  <si>
    <t>19. What is the water source in your school? Tick all that apply./Pipe-Onsite</t>
  </si>
  <si>
    <t>19. What is the water source in your school? Tick all that apply./Well-Onsite</t>
  </si>
  <si>
    <t>19. What is the water source in your school? Tick all that apply./Pipe-Offsite</t>
  </si>
  <si>
    <t>19. What is the water source in your school? Tick all that apply./Well-Offsite</t>
  </si>
  <si>
    <t>19. What is the water source in your school? Tick all that apply./Not Available</t>
  </si>
  <si>
    <t>19. What is the water source in your school? Tick all that apply./Others, specify</t>
  </si>
  <si>
    <t>Others, specify95</t>
  </si>
  <si>
    <t>20. Which of these infrastructure/ facilities do you have in your school? Tick all that apply</t>
  </si>
  <si>
    <t>20. Which of these infrastructure/ facilities do you have in your school? Tick all that apply/Electricity</t>
  </si>
  <si>
    <t>20. Which of these infrastructure/ facilities do you have in your school? Tick all that apply/Dining Hall</t>
  </si>
  <si>
    <t>20. Which of these infrastructure/ facilities do you have in your school? Tick all that apply/Kitchen</t>
  </si>
  <si>
    <t>20. Which of these infrastructure/ facilities do you have in your school? Tick all that apply/Staff Office</t>
  </si>
  <si>
    <t>20. Which of these infrastructure/ facilities do you have in your school? Tick all that apply/BoardingHouse/Rooms</t>
  </si>
  <si>
    <t>20. Which of these infrastructure/ facilities do you have in your school? Tick all that apply/Library</t>
  </si>
  <si>
    <t>20. Which of these infrastructure/ facilities do you have in your school? Tick all that apply/Laboratory</t>
  </si>
  <si>
    <t>20. Which of these infrastructure/ facilities do you have in your school? Tick all that apply/Internet</t>
  </si>
  <si>
    <t>20. Which of these infrastructure/ facilities do you have in your school? Tick all that apply/Fenced Wall/Gated</t>
  </si>
  <si>
    <t>20. Which of these infrastructure/ facilities do you have in your school? Tick all that apply/Pitch/Playground</t>
  </si>
  <si>
    <t>20. Which of these infrastructure/ facilities do you have in your school? Tick all that apply/Others, specify</t>
  </si>
  <si>
    <t>Others, specify96</t>
  </si>
  <si>
    <t>Teaching and Non-Teaching Staffs’ Management</t>
  </si>
  <si>
    <t>21. Number of teaching staff-Include assistants and part-time teachers.</t>
  </si>
  <si>
    <t>Males</t>
  </si>
  <si>
    <t>Females</t>
  </si>
  <si>
    <t>Total97</t>
  </si>
  <si>
    <t>22. Monthly teacher salary?</t>
  </si>
  <si>
    <t>Lowest</t>
  </si>
  <si>
    <t>Annual fee in $</t>
  </si>
  <si>
    <t>Highest</t>
  </si>
  <si>
    <t>Average</t>
  </si>
  <si>
    <t>23. What kind of Teacher benefits do you provide? Tick all that apply</t>
  </si>
  <si>
    <t>23. What kind of Teacher benefits do you provide? Tick all that apply/Cash Allowance/motivation</t>
  </si>
  <si>
    <t>23. What kind of Teacher benefits do you provide? Tick all that apply/Staff Loan</t>
  </si>
  <si>
    <t>23. What kind of Teacher benefits do you provide? Tick all that apply/Trainings</t>
  </si>
  <si>
    <t>23. What kind of Teacher benefits do you provide? Tick all that apply/Provident Fund Contribution</t>
  </si>
  <si>
    <t>23. What kind of Teacher benefits do you provide? Tick all that apply /Performance Incentives</t>
  </si>
  <si>
    <t>23. What kind of Teacher benefits do you provide? Tick all that apply /Transport</t>
  </si>
  <si>
    <t>23. What kind of Teacher benefits do you provide? Tick all that apply /Accommodation/Rent</t>
  </si>
  <si>
    <t>23. What kind of Teacher benefits do you provide? Tick all that apply/Others, specify</t>
  </si>
  <si>
    <t>23. What kind of Teacher benefits do you provide? Tick all that apply/Not Available</t>
  </si>
  <si>
    <t>Others, specify98</t>
  </si>
  <si>
    <t>24a. Is Headteacher a qualified/ trained teacher?</t>
  </si>
  <si>
    <t>24b. What is your/the Head Teacher’s highest academic qualification?</t>
  </si>
  <si>
    <t>25. What are the main causes/ reasons why teachers leave the school in the past 12 months?</t>
  </si>
  <si>
    <t>Others, specify99</t>
  </si>
  <si>
    <t>School Financial Management</t>
  </si>
  <si>
    <t>26. School fees</t>
  </si>
  <si>
    <t>26a. KG2</t>
  </si>
  <si>
    <t>Daily</t>
  </si>
  <si>
    <t>Weekly</t>
  </si>
  <si>
    <t>Monthly</t>
  </si>
  <si>
    <t>Termly</t>
  </si>
  <si>
    <t>Not Applicable100</t>
  </si>
  <si>
    <t>26b. P2</t>
  </si>
  <si>
    <t>Daily101</t>
  </si>
  <si>
    <t>Weekly102</t>
  </si>
  <si>
    <t>Monthly103</t>
  </si>
  <si>
    <t>Termly104</t>
  </si>
  <si>
    <t>Not Applicable105</t>
  </si>
  <si>
    <t>26c. JHS1</t>
  </si>
  <si>
    <t>Daily106</t>
  </si>
  <si>
    <t>Weekly107</t>
  </si>
  <si>
    <t>Monthly108</t>
  </si>
  <si>
    <t>Termly109</t>
  </si>
  <si>
    <t>Not Applicable110</t>
  </si>
  <si>
    <t>26d. Canteen Fees</t>
  </si>
  <si>
    <t>Daily111</t>
  </si>
  <si>
    <t>Weekly112</t>
  </si>
  <si>
    <t>Monthly113</t>
  </si>
  <si>
    <t>Termly114</t>
  </si>
  <si>
    <t>Not Applicable115</t>
  </si>
  <si>
    <t>26e. Transportation Fees</t>
  </si>
  <si>
    <t>Daily116</t>
  </si>
  <si>
    <t>Weekly117</t>
  </si>
  <si>
    <t>Monthly118</t>
  </si>
  <si>
    <t>Termly119</t>
  </si>
  <si>
    <t>Not Applicable120</t>
  </si>
  <si>
    <t>26f. Termly total of all other school fees (textbooks, exams, uniforms etc.) per child.</t>
  </si>
  <si>
    <t>26g. How many pupils/students receive scholarships?</t>
  </si>
  <si>
    <t>Boys121</t>
  </si>
  <si>
    <t>Girls122</t>
  </si>
  <si>
    <t>Totals</t>
  </si>
  <si>
    <t>27. School finances</t>
  </si>
  <si>
    <t>27a. Do you have a cash flow plan?</t>
  </si>
  <si>
    <t>27b. Do you prepare an income statement?</t>
  </si>
  <si>
    <t>27c. Do you have a savings account for your school?</t>
  </si>
  <si>
    <t>27d. Do you have a school current account that is separate from your personal account?</t>
  </si>
  <si>
    <t>27e. Is your school currently making profit?</t>
  </si>
  <si>
    <t>27f. If yes, what % of the profit is reinvested into the school?</t>
  </si>
  <si>
    <t>27g. Do you have a petty cash book?</t>
  </si>
  <si>
    <t>27h. Do you have a cash book?</t>
  </si>
  <si>
    <t>27i. Do you give yourself a salary?</t>
  </si>
  <si>
    <t>27j. Do you have any financial reserves for unforeseen circumstances?</t>
  </si>
  <si>
    <t>27k. Does the school generate income other than core activities? e.g. renting school facilities, selling products from a school farm or shop.</t>
  </si>
  <si>
    <t>27l. Are school financial records audited?</t>
  </si>
  <si>
    <t>27m. If yes, who audit the school’s financial records?</t>
  </si>
  <si>
    <t>Others, specify123</t>
  </si>
  <si>
    <t>27n. Does the Board of Director/Governors have any financial oversight over schools’ finances?</t>
  </si>
  <si>
    <t>28. Loan Uptake and Impact</t>
  </si>
  <si>
    <t>28a. What kind of school improvements would you make if you received a loan to do so? Check all that apply.</t>
  </si>
  <si>
    <t>28a. What kind of school improvements would you make if you received a loan to do so? Check all that apply./Additional classrooms</t>
  </si>
  <si>
    <t>28a. What kind of school improvements would you make if you received a loan to do so? Check all that apply./Classroom renovation</t>
  </si>
  <si>
    <t>28a. What kind of school improvements would you make if you received a loan to do so? Check all that apply./Additional toilets</t>
  </si>
  <si>
    <t>28a. What kind of school improvements would you make if you received a loan to do so? Check all that apply./Renovate existing toilets</t>
  </si>
  <si>
    <t>28a. What kind of school improvements would you make if you received a loan to do so? Check all that apply./Renovate or build canteen</t>
  </si>
  <si>
    <t>28a. What kind of school improvements would you make if you received a loan to do so? Check all that apply./Purchase or repair vehicle</t>
  </si>
  <si>
    <t>28a. What kind of school improvements would you make if you received a loan to do so? Check all that apply./School signboard</t>
  </si>
  <si>
    <t>28a. What kind of school improvements would you make if you received a loan to do so? Check all that apply./Dormitory renovation/construction</t>
  </si>
  <si>
    <t>28a. What kind of school improvements would you make if you received a loan to do so? Check all that apply./Water storage repair/installation</t>
  </si>
  <si>
    <t>28a. What kind of school improvements would you make if you received a loan to do so? Check all that apply./Purchase land</t>
  </si>
  <si>
    <t>28a. What kind of school improvements would you make if you received a loan to do so? Check all that apply./Wall repair/construction</t>
  </si>
  <si>
    <t>28a. What kind of school improvements would you make if you received a loan to do so? Check all that apply./Repair or purchase playground equipment</t>
  </si>
  <si>
    <t>28a. What kind of school improvements would you make if you received a loan to do so? Check all that apply./Teachers' Office renovation/construction</t>
  </si>
  <si>
    <t>28a. What kind of school improvements would you make if you received a loan to do so? Check all that apply./Library/Laboratory renovation/construction</t>
  </si>
  <si>
    <t>28a. What kind of school improvements would you make if you received a loan to do so? Check all that apply./Purchasing teaching materials (e.g. whiteboards, paper)</t>
  </si>
  <si>
    <t>28a. What kind of school improvements would you make if you received a loan to do so? Check all that apply./Others, specify</t>
  </si>
  <si>
    <t>28a. What kind of school improvements would you make if you received a loan to do so? Check all that apply./None</t>
  </si>
  <si>
    <t>Others, specify124</t>
  </si>
  <si>
    <t>28b. Are you interested in taking a loan with SASL through the Rising Schools Program?</t>
  </si>
  <si>
    <t>28c. If not, why?</t>
  </si>
  <si>
    <t>School ID (from Access database)</t>
  </si>
  <si>
    <t>Total # Students</t>
  </si>
  <si>
    <t>Female students</t>
  </si>
  <si>
    <t>Male Students</t>
  </si>
  <si>
    <t>S0967</t>
  </si>
  <si>
    <t>MARIAM SAEED</t>
  </si>
  <si>
    <t>NURUL-HUDA</t>
  </si>
  <si>
    <t>Female</t>
  </si>
  <si>
    <t>0247493165</t>
  </si>
  <si>
    <t>In progress of registering</t>
  </si>
  <si>
    <t>Sole Proprietor</t>
  </si>
  <si>
    <t>Yes</t>
  </si>
  <si>
    <t>ROPEC</t>
  </si>
  <si>
    <t>OK</t>
  </si>
  <si>
    <t>No</t>
  </si>
  <si>
    <t>Wood and concrete</t>
  </si>
  <si>
    <t>Pipe-Onsite</t>
  </si>
  <si>
    <t>Staff Office</t>
  </si>
  <si>
    <t>Cash Allowance/motivation Trainings Transport</t>
  </si>
  <si>
    <t>Diploma</t>
  </si>
  <si>
    <t>To further their education</t>
  </si>
  <si>
    <t>Additional classrooms</t>
  </si>
  <si>
    <t>I have never gone for a loan before so I'm afraid</t>
  </si>
  <si>
    <t>S0968</t>
  </si>
  <si>
    <t>Anita Nuamah</t>
  </si>
  <si>
    <t>Arise Star Academy</t>
  </si>
  <si>
    <t>0244125679</t>
  </si>
  <si>
    <t>Concrete</t>
  </si>
  <si>
    <t>Only Staffs</t>
  </si>
  <si>
    <t>Electricity Kitchen Library Internet Fenced Wall/Gated Pitch/Playground</t>
  </si>
  <si>
    <t>Trainings Performance Incentives</t>
  </si>
  <si>
    <t>Renovate or build canteen School signboard Repair or purchase playground equipment Others, specify</t>
  </si>
  <si>
    <t>Classroom furniture</t>
  </si>
  <si>
    <t>S0969</t>
  </si>
  <si>
    <t>CATHERINE OWUSU-NKANSAH</t>
  </si>
  <si>
    <t>KONFAM KIDDIE CARE</t>
  </si>
  <si>
    <t>0207831923</t>
  </si>
  <si>
    <t>0263269250</t>
  </si>
  <si>
    <t>Only School Owner/Leader</t>
  </si>
  <si>
    <t>Well-Onsite</t>
  </si>
  <si>
    <t>Electricity Kitchen Fenced Wall/Gated Pitch/Playground</t>
  </si>
  <si>
    <t>Bachelors</t>
  </si>
  <si>
    <t>Additional classrooms Additional toilets</t>
  </si>
  <si>
    <t>Not ready</t>
  </si>
  <si>
    <t>S0970</t>
  </si>
  <si>
    <t>Adjei Nicholas Peprah</t>
  </si>
  <si>
    <t>The Step Academy</t>
  </si>
  <si>
    <t>Male</t>
  </si>
  <si>
    <t>0552711186</t>
  </si>
  <si>
    <t>Both Staffs and Students</t>
  </si>
  <si>
    <t>Electricity Kitchen Staff Office BoardingHouse/Rooms Fenced Wall/Gated</t>
  </si>
  <si>
    <t>Cash Allowance/motivation Performance Incentives</t>
  </si>
  <si>
    <t>26-50%</t>
  </si>
  <si>
    <t>School Proprietor</t>
  </si>
  <si>
    <t>Classroom renovation</t>
  </si>
  <si>
    <t>S0971</t>
  </si>
  <si>
    <t>Kwabena Fosuhene Oduro</t>
  </si>
  <si>
    <t>Huggy Royals Academy</t>
  </si>
  <si>
    <t>0244434696</t>
  </si>
  <si>
    <t>GNAPS</t>
  </si>
  <si>
    <t>Electricity Dining Hall Kitchen Fenced Wall/Gated</t>
  </si>
  <si>
    <t>Cash Allowance/motivation Staff Loan Performance Incentives</t>
  </si>
  <si>
    <t>1-25%</t>
  </si>
  <si>
    <t>Additional classrooms Purchase or repair vehicle School signboard</t>
  </si>
  <si>
    <t>S0972</t>
  </si>
  <si>
    <t>Ruth Asantewaa Bempah</t>
  </si>
  <si>
    <t>Rupah Brighter Kids Academy</t>
  </si>
  <si>
    <t>0243168380</t>
  </si>
  <si>
    <t>LLC/Partnership</t>
  </si>
  <si>
    <t>GNACOPS</t>
  </si>
  <si>
    <t>Electricity Kitchen Staff Office Pitch/Playground</t>
  </si>
  <si>
    <t>Cash Allowance/motivation Staff Loan Trainings Performance Incentives Transport</t>
  </si>
  <si>
    <t>Low remuneration/salary</t>
  </si>
  <si>
    <t>Additional classrooms Classroom renovation Additional toilets School signboard Purchase land Purchasing teaching materials (e.g. whiteboards, paper)</t>
  </si>
  <si>
    <t>S0973</t>
  </si>
  <si>
    <t>COMFORT LENTE</t>
  </si>
  <si>
    <t>MMIALLORE UNITY INTERNATIONAL SCHOOL</t>
  </si>
  <si>
    <t>0242264339</t>
  </si>
  <si>
    <t>Well-Onsite Pipe-Offsite</t>
  </si>
  <si>
    <t>Electricity Kitchen Fenced Wall/Gated</t>
  </si>
  <si>
    <t>Cash Allowance/motivation Staff Loan Trainings Performance Incentives</t>
  </si>
  <si>
    <t>SHS Leaver</t>
  </si>
  <si>
    <t>76-100%</t>
  </si>
  <si>
    <t>Additional classrooms Classroom renovation Additional toilets Renovate existing toilets Renovate or build canteen School signboard Water storage repair/installation Purchase land Wall repair/construction Repair or purchase playground equipment Teachers' Office renovation/construction Library/Laboratory renovation/construction Purchasing teaching materials (e.g. whiteboards, paper)</t>
  </si>
  <si>
    <t>S0974</t>
  </si>
  <si>
    <t>Lydia Asare</t>
  </si>
  <si>
    <t>A. N. A. Educational Complex</t>
  </si>
  <si>
    <t>0244141792</t>
  </si>
  <si>
    <t>Iron Sheet</t>
  </si>
  <si>
    <t>Pipe-Offsite</t>
  </si>
  <si>
    <t>Electricity Kitchen Library</t>
  </si>
  <si>
    <t>Cash Allowance/motivation Trainings Provident Fund Contribution Performance Incentives Transport</t>
  </si>
  <si>
    <t>Additional classrooms Additional toilets Renovate or build canteen Purchase or repair vehicle Water storage repair/installation Library/Laboratory renovation/construction</t>
  </si>
  <si>
    <t>S0975</t>
  </si>
  <si>
    <t>Yeboah Sweetie Nkansah</t>
  </si>
  <si>
    <t>Babyland International School</t>
  </si>
  <si>
    <t>0249328044</t>
  </si>
  <si>
    <t>No Response</t>
  </si>
  <si>
    <t>Electricity Kitchen Staff Office Fenced Wall/Gated Pitch/Playground</t>
  </si>
  <si>
    <t>Cash Allowance/motivation Trainings</t>
  </si>
  <si>
    <t>Got other employment</t>
  </si>
  <si>
    <t>External Auditors</t>
  </si>
  <si>
    <t>Classroom renovation Renovate existing toilets Repair or purchase playground equipment Purchasing teaching materials (e.g. whiteboards, paper)</t>
  </si>
  <si>
    <t>S0976</t>
  </si>
  <si>
    <t>Mrs. Grace Agyapong Afrifah</t>
  </si>
  <si>
    <t>Afgra HeadStart Academy</t>
  </si>
  <si>
    <t>0240640925</t>
  </si>
  <si>
    <t>Tiles</t>
  </si>
  <si>
    <t>Electricity Kitchen Library Fenced Wall/Gated</t>
  </si>
  <si>
    <t>Cash Allowance/motivation</t>
  </si>
  <si>
    <t>Purchase or repair vehicle Library/Laboratory renovation/construction</t>
  </si>
  <si>
    <t>S0977</t>
  </si>
  <si>
    <t>Barbara Obeng</t>
  </si>
  <si>
    <t>Liz International Montessori</t>
  </si>
  <si>
    <t>0552627170</t>
  </si>
  <si>
    <t>Electricity Dining Hall Kitchen Internet Fenced Wall/Gated</t>
  </si>
  <si>
    <t>Cash Allowance/motivation Trainings Performance Incentives Accommodation/Rent</t>
  </si>
  <si>
    <t>Additional classrooms Purchase land</t>
  </si>
  <si>
    <t>S0978</t>
  </si>
  <si>
    <t>Millicent Quarcoo</t>
  </si>
  <si>
    <t>Jesus Cares Day Care Centre</t>
  </si>
  <si>
    <t>0244226709</t>
  </si>
  <si>
    <t>Yearly</t>
  </si>
  <si>
    <t>Pipe-Onsite Well-Onsite</t>
  </si>
  <si>
    <t>Additional classrooms Water storage repair/installation Purchase land Repair or purchase playground equipment</t>
  </si>
  <si>
    <t>S0979</t>
  </si>
  <si>
    <t>Kwasi Subi</t>
  </si>
  <si>
    <t>Ubis Academy</t>
  </si>
  <si>
    <t>0244659353</t>
  </si>
  <si>
    <t>Masters</t>
  </si>
  <si>
    <t>Additional classrooms Purchase or repair vehicle Water storage repair/installation Repair or purchase playground equipment Purchasing teaching materials (e.g. whiteboards, paper)</t>
  </si>
  <si>
    <t>S0980</t>
  </si>
  <si>
    <t>Patricia Ankomah</t>
  </si>
  <si>
    <t>Havils hybrain school complex</t>
  </si>
  <si>
    <t>0243234870</t>
  </si>
  <si>
    <t>020196306</t>
  </si>
  <si>
    <t>Cash Allowance/motivation Staff Loan Trainings Performance Incentives Transport Accommodation/Rent</t>
  </si>
  <si>
    <t>51-75%</t>
  </si>
  <si>
    <t>S0981</t>
  </si>
  <si>
    <t>EDWARD ASANTE</t>
  </si>
  <si>
    <t>MOUNT OF TRANSFORMATION ACADEMY</t>
  </si>
  <si>
    <t>0548796272</t>
  </si>
  <si>
    <t>ATWIMA KWANWOMA PROPRIETORS ASSOCIATION</t>
  </si>
  <si>
    <t>CONCRETE BLOCK AND WOOD...CONCRETE -MAJORITY</t>
  </si>
  <si>
    <t>CONTAINERS WITH WATER ARE SENT TO SCHOOL</t>
  </si>
  <si>
    <t>Electricity Pitch/Playground Others, specify</t>
  </si>
  <si>
    <t>ICT LABORATORY</t>
  </si>
  <si>
    <t>Provident Fund Contribution</t>
  </si>
  <si>
    <t>Additional classrooms Classroom renovation</t>
  </si>
  <si>
    <t>S0982</t>
  </si>
  <si>
    <t>TAIDU KARI</t>
  </si>
  <si>
    <t>TINTA INTERNATIONAL SCHOOL</t>
  </si>
  <si>
    <t>0247045046</t>
  </si>
  <si>
    <t>Electricity Internet Fenced Wall/Gated Pitch/Playground</t>
  </si>
  <si>
    <t>S0983</t>
  </si>
  <si>
    <t>Lawrence Paul Awuah</t>
  </si>
  <si>
    <t>Paul Lawrence Academy</t>
  </si>
  <si>
    <t>0547744901</t>
  </si>
  <si>
    <t>Atwima Kwawoma Private School  Associations</t>
  </si>
  <si>
    <t>Electricity Kitchen</t>
  </si>
  <si>
    <t>Additional classrooms Additional toilets Renovate or build canteen Water storage repair/installation Purchase land Wall repair/construction Repair or purchase playground equipment Teachers' Office renovation/construction Library/Laboratory renovation/construction</t>
  </si>
  <si>
    <t>S0984</t>
  </si>
  <si>
    <t>Osei -Tutu Thomas</t>
  </si>
  <si>
    <t>Mary Gold Montessori school</t>
  </si>
  <si>
    <t>0546800067</t>
  </si>
  <si>
    <t>Only Students</t>
  </si>
  <si>
    <t>Electricity Kitchen Library Internet Fenced Wall/Gated</t>
  </si>
  <si>
    <t>Cash Allowance/motivation Staff Loan Trainings</t>
  </si>
  <si>
    <t>Additional classrooms Additional toilets Purchase or repair vehicle School signboard</t>
  </si>
  <si>
    <t>S0985</t>
  </si>
  <si>
    <t>Mary Osei</t>
  </si>
  <si>
    <t>Best Generational Thinkers’ Academy</t>
  </si>
  <si>
    <t>0244744768</t>
  </si>
  <si>
    <t>Electricity Dining Hall Kitchen Staff Office</t>
  </si>
  <si>
    <t>Classroom renovation Library/Laboratory renovation/construction</t>
  </si>
  <si>
    <t>S0986</t>
  </si>
  <si>
    <t>King Mawukoenya Nanegbe</t>
  </si>
  <si>
    <t>Sweet Grace School Complex</t>
  </si>
  <si>
    <t>0244035966</t>
  </si>
  <si>
    <t>Cash Allowance/motivation Transport</t>
  </si>
  <si>
    <t>Additional classrooms Purchase or repair vehicle Water storage repair/installation Repair or purchase playground equipment Teachers' Office renovation/construction</t>
  </si>
  <si>
    <t>S0987</t>
  </si>
  <si>
    <t>Derrick Ntim boateng</t>
  </si>
  <si>
    <t>Oak-bel model school</t>
  </si>
  <si>
    <t>0243158837</t>
  </si>
  <si>
    <t>0508077549</t>
  </si>
  <si>
    <t>Electricity Dining Hall Kitchen Staff Office Library Internet Fenced Wall/Gated Pitch/Playground</t>
  </si>
  <si>
    <t xml:space="preserve"> </t>
  </si>
  <si>
    <t>Ok</t>
  </si>
  <si>
    <t>Additional classrooms Classroom renovation Additional toilets Library/Laboratory renovation/construction</t>
  </si>
  <si>
    <t>S0988</t>
  </si>
  <si>
    <t>Adu Gifty</t>
  </si>
  <si>
    <t>God’s Mercy Educational Complex</t>
  </si>
  <si>
    <t>0244926391</t>
  </si>
  <si>
    <t>Wood</t>
  </si>
  <si>
    <t>Well-Offsite</t>
  </si>
  <si>
    <t>Electricity Dining Hall Kitchen Fenced Wall/Gated Pitch/Playground</t>
  </si>
  <si>
    <t>Additional classrooms Purchase or repair vehicle</t>
  </si>
  <si>
    <t>S0989</t>
  </si>
  <si>
    <t>Emmanuel Kwasi Mensah</t>
  </si>
  <si>
    <t>Royal Jessar School Ltd</t>
  </si>
  <si>
    <t>0244739146</t>
  </si>
  <si>
    <t>Electricity Dining Hall Kitchen</t>
  </si>
  <si>
    <t>Additional classrooms Additional toilets Wall repair/construction</t>
  </si>
  <si>
    <t>S0990</t>
  </si>
  <si>
    <t>David Osei</t>
  </si>
  <si>
    <t>Deva Beginners school ltd</t>
  </si>
  <si>
    <t>0559126152</t>
  </si>
  <si>
    <t>S0991</t>
  </si>
  <si>
    <t>Osei tutu agyemang</t>
  </si>
  <si>
    <t>Kids pride academy</t>
  </si>
  <si>
    <t>0245135466</t>
  </si>
  <si>
    <t>Trainings</t>
  </si>
  <si>
    <t>Additional classrooms Classroom renovation Additional toilets</t>
  </si>
  <si>
    <t>S0992</t>
  </si>
  <si>
    <t>Grace Amoah Poku</t>
  </si>
  <si>
    <t>Grace Victory Academy</t>
  </si>
  <si>
    <t>0244646794</t>
  </si>
  <si>
    <t>Don't know</t>
  </si>
  <si>
    <t>Electricity Kitchen Library Laboratory Internet Fenced Wall/Gated Pitch/Playground</t>
  </si>
  <si>
    <t>Cash Allowance/motivation Trainings Performance Incentives Transport</t>
  </si>
  <si>
    <t>Head Teacher</t>
  </si>
  <si>
    <t>Additional classrooms Classroom renovation Additional toilets Renovate existing toilets Renovate or build canteen Purchase or repair vehicle Teachers' Office renovation/construction Library/Laboratory renovation/construction</t>
  </si>
  <si>
    <t>S0993</t>
  </si>
  <si>
    <t>Mercy Adwoa Donkor</t>
  </si>
  <si>
    <t>His Majesty Educational Centre</t>
  </si>
  <si>
    <t>0243520925</t>
  </si>
  <si>
    <t>Joint Proprietorship</t>
  </si>
  <si>
    <t>Trainings Transport Others, specify</t>
  </si>
  <si>
    <t>Lunch</t>
  </si>
  <si>
    <t>Additional classrooms Repair or purchase playground equipment Library/Laboratory renovation/construction</t>
  </si>
  <si>
    <t>Not now</t>
  </si>
  <si>
    <t>S0994</t>
  </si>
  <si>
    <t>Stephen Avenyor</t>
  </si>
  <si>
    <t>HA Hope Academy</t>
  </si>
  <si>
    <t>0244287253</t>
  </si>
  <si>
    <t>Electricity Fenced Wall/Gated Pitch/Playground</t>
  </si>
  <si>
    <t>Library/Laboratory renovation/construction Purchasing teaching materials (e.g. whiteboards, paper)</t>
  </si>
  <si>
    <t>S0995</t>
  </si>
  <si>
    <t>George Oppong</t>
  </si>
  <si>
    <t>The Shepherd School</t>
  </si>
  <si>
    <t>0244261462</t>
  </si>
  <si>
    <t>Cash Allowance/motivation Staff Loan</t>
  </si>
  <si>
    <t>Additional classrooms Classroom renovation Additional toilets Water storage repair/installation</t>
  </si>
  <si>
    <t>S0996</t>
  </si>
  <si>
    <t>VIDA OWUSU-ASARE</t>
  </si>
  <si>
    <t>EJISU EMMANUEL EDUCATIONAL</t>
  </si>
  <si>
    <t>0244728253</t>
  </si>
  <si>
    <t>None</t>
  </si>
  <si>
    <t>I am owing sinapi. I have not finish with the repayment of loan</t>
  </si>
  <si>
    <t>S0997</t>
  </si>
  <si>
    <t>REGINA AMPONSAH ODURO</t>
  </si>
  <si>
    <t>0240728567</t>
  </si>
  <si>
    <t>Electricity Dining Hall Kitchen Staff Office Internet Fenced Wall/Gated Pitch/Playground</t>
  </si>
  <si>
    <t>Staff Loan Trainings</t>
  </si>
  <si>
    <t>Additional classrooms Classroom renovation Additional toilets School signboard</t>
  </si>
  <si>
    <t>S0998</t>
  </si>
  <si>
    <t>Emmanuel Kojo Appiah</t>
  </si>
  <si>
    <t>Morridycia Weans School</t>
  </si>
  <si>
    <t>0594904136</t>
  </si>
  <si>
    <t>Electricity Laboratory Fenced Wall/Gated</t>
  </si>
  <si>
    <t>Additional classrooms Purchase or repair vehicle Water storage repair/installation Repair or purchase playground equipment Teachers' Office renovation/construction Library/Laboratory renovation/construction Purchasing teaching materials (e.g. whiteboards, paper)</t>
  </si>
  <si>
    <t>S0999</t>
  </si>
  <si>
    <t>JOHN KWASI NKRUMAH</t>
  </si>
  <si>
    <t>HEAVENLY ROYALS PREP / JHS</t>
  </si>
  <si>
    <t>0549171160</t>
  </si>
  <si>
    <t>0594642576</t>
  </si>
  <si>
    <t>Don’t have</t>
  </si>
  <si>
    <t>Accommodation/Rent</t>
  </si>
  <si>
    <t>S1000</t>
  </si>
  <si>
    <t>DANIEL ARTHUR</t>
  </si>
  <si>
    <t>0541997707</t>
  </si>
  <si>
    <t>Additional classrooms Repair or purchase playground equipment Teachers' Office renovation/construction</t>
  </si>
  <si>
    <t>S1001</t>
  </si>
  <si>
    <t>ABDUL WAHAB YAKUBU</t>
  </si>
  <si>
    <t>DARUL-SALAM EDUCATIONAL CENTRE</t>
  </si>
  <si>
    <t>0243515297</t>
  </si>
  <si>
    <t>Additional classrooms Additional toilets Purchase or repair vehicle School signboard Purchase land Teachers' Office renovation/construction Library/Laboratory renovation/construction</t>
  </si>
  <si>
    <t>S1002</t>
  </si>
  <si>
    <t>Boahen Korkor</t>
  </si>
  <si>
    <t>City Hills Educational Complex</t>
  </si>
  <si>
    <t>0544983344</t>
  </si>
  <si>
    <t>Electricity</t>
  </si>
  <si>
    <t>Daily Feeding</t>
  </si>
  <si>
    <t>Additional classrooms Teachers' Office renovation/construction</t>
  </si>
  <si>
    <t>S1003</t>
  </si>
  <si>
    <t>Dr Esther Brafo-Kwakye</t>
  </si>
  <si>
    <t>Elite Kids International School</t>
  </si>
  <si>
    <t>0243923727</t>
  </si>
  <si>
    <t>0206301583</t>
  </si>
  <si>
    <t>Electricity Staff Office Library Internet Fenced Wall/Gated Pitch/Playground</t>
  </si>
  <si>
    <t>Additional classrooms Classroom renovation Additional toilets Renovate or build canteen Water storage repair/installation Repair or purchase playground equipment Teachers' Office renovation/construction Library/Laboratory renovation/construction Purchasing teaching materials (e.g. whiteboards, paper)</t>
  </si>
  <si>
    <t>S1004</t>
  </si>
  <si>
    <t>ADINKRA KOFI BADU ISAAC</t>
  </si>
  <si>
    <t>AVE MARIA SCHOOL DUMASUA SUNYANI</t>
  </si>
  <si>
    <t>0244407134</t>
  </si>
  <si>
    <t>Electricity Kitchen Staff Office Internet Fenced Wall/Gated Pitch/Playground</t>
  </si>
  <si>
    <t>Cash Allowance/motivation Staff Loan Trainings Transport</t>
  </si>
  <si>
    <t>Additional classrooms Purchase or repair vehicle Repair or purchase playground equipment Library/Laboratory renovation/construction</t>
  </si>
  <si>
    <t>S1005</t>
  </si>
  <si>
    <t>Isaac Kwasi Nyame</t>
  </si>
  <si>
    <t>Harvesters Preparatory</t>
  </si>
  <si>
    <t>0208208396</t>
  </si>
  <si>
    <t>Electricity Staff Office Fenced Wall/Gated</t>
  </si>
  <si>
    <t>S1006</t>
  </si>
  <si>
    <t>Rose Dugbartey</t>
  </si>
  <si>
    <t>Life Cornerstone Academy</t>
  </si>
  <si>
    <t>0242904945/0207518141</t>
  </si>
  <si>
    <t>0242904945</t>
  </si>
  <si>
    <t>Cash Allowance/motivation Staff Loan Trainings Provident Fund Contribution Transport</t>
  </si>
  <si>
    <t>Additional classrooms Classroom renovation Renovate or build canteen Purchase or repair vehicle School signboard Purchase land Repair or purchase playground equipment Library/Laboratory renovation/construction</t>
  </si>
  <si>
    <t>S1007</t>
  </si>
  <si>
    <t>CHRISTIAN CHARLES NANA AKUFFO-ADUAMAH</t>
  </si>
  <si>
    <t>HIS GRACE ACADEMY</t>
  </si>
  <si>
    <t>0243678168</t>
  </si>
  <si>
    <t>Electricity Dining Hall Kitchen Staff Office BoardingHouse/Rooms Library Laboratory Internet Fenced Wall/Gated Pitch/Playground</t>
  </si>
  <si>
    <t>Classroom renovation Renovate existing toilets Renovate or build canteen School signboard Dormitory renovation/construction Water storage repair/installation Wall repair/construction Repair or purchase playground equipment Teachers' Office renovation/construction Library/Laboratory renovation/construction Purchasing teaching materials (e.g. whiteboards, paper)</t>
  </si>
  <si>
    <t>S1008</t>
  </si>
  <si>
    <t>KONADU EMELIA</t>
  </si>
  <si>
    <t>HAYLLIS INTERNATIONAL SCHOOL</t>
  </si>
  <si>
    <t>0559580873</t>
  </si>
  <si>
    <t>0200612525</t>
  </si>
  <si>
    <t>Electricity Dining Hall Kitchen Library Fenced Wall/Gated Pitch/Playground</t>
  </si>
  <si>
    <t>Additional classrooms Additional toilets Repair or purchase playground equipment Library/Laboratory renovation/construction</t>
  </si>
  <si>
    <t>S1009</t>
  </si>
  <si>
    <t>KYERE GYAN THOMAS</t>
  </si>
  <si>
    <t>DEPENDABLE GOD ACADEMY</t>
  </si>
  <si>
    <t>0542094620</t>
  </si>
  <si>
    <t>Additional classrooms Classroom renovation Wall repair/construction Purchasing teaching materials (e.g. whiteboards, paper)</t>
  </si>
  <si>
    <t>S1010</t>
  </si>
  <si>
    <t>OSEI-APPIAH HELEN</t>
  </si>
  <si>
    <t>MELODY PREPARATORY AND JUNIOR HIGH SCHOOL</t>
  </si>
  <si>
    <t>0506997927</t>
  </si>
  <si>
    <t>0249152370</t>
  </si>
  <si>
    <t>S1011</t>
  </si>
  <si>
    <t>Mary Papanko</t>
  </si>
  <si>
    <t>Marypa Galaxy Montessori</t>
  </si>
  <si>
    <t>0555723285</t>
  </si>
  <si>
    <t>Cash Allowance/motivation Staff Loan Trainings Provident Fund Contribution Performance Incentives</t>
  </si>
  <si>
    <t>O-Level Leaver</t>
  </si>
  <si>
    <t>Not interested</t>
  </si>
  <si>
    <t>S1012</t>
  </si>
  <si>
    <t>Gomah Getrude</t>
  </si>
  <si>
    <t>The Mount Montessori school</t>
  </si>
  <si>
    <t>0544180514</t>
  </si>
  <si>
    <t>Additional classrooms Classroom renovation Purchase or repair vehicle Repair or purchase playground equipment Library/Laboratory renovation/construction Purchasing teaching materials (e.g. whiteboards, paper)</t>
  </si>
  <si>
    <t>S1013</t>
  </si>
  <si>
    <t>PHILIP DEBRAH</t>
  </si>
  <si>
    <t>PINNACLE INTELLECTUAL SCHOOL</t>
  </si>
  <si>
    <t>0244256673</t>
  </si>
  <si>
    <t>0573456673</t>
  </si>
  <si>
    <t>Electricity Dining Hall Kitchen Others, specify</t>
  </si>
  <si>
    <t>Office</t>
  </si>
  <si>
    <t>Cash Allowance/motivation Trainings Performance Incentives</t>
  </si>
  <si>
    <t>Additional classrooms Classroom renovation Additional toilets Purchase land</t>
  </si>
  <si>
    <t>S1014</t>
  </si>
  <si>
    <t>Joshua Boateng</t>
  </si>
  <si>
    <t>Christ Victory preparatory schools</t>
  </si>
  <si>
    <t>0595893863</t>
  </si>
  <si>
    <t>0591823292</t>
  </si>
  <si>
    <t>Electricity Kitchen Staff Office Library Fenced Wall/Gated Pitch/Playground</t>
  </si>
  <si>
    <t>Additional classrooms Classroom renovation Renovate existing toilets Renovate or build canteen School signboard Purchasing teaching materials (e.g. whiteboards, paper)</t>
  </si>
  <si>
    <t>S1015</t>
  </si>
  <si>
    <t>Asamoah Martin</t>
  </si>
  <si>
    <t>Greenstream Educational Complex</t>
  </si>
  <si>
    <t>0247602124</t>
  </si>
  <si>
    <t>Electricity Kitchen Pitch/Playground</t>
  </si>
  <si>
    <t>Trainings Transport Accommodation/Rent</t>
  </si>
  <si>
    <t>Purchase or repair vehicle</t>
  </si>
  <si>
    <t>S1016</t>
  </si>
  <si>
    <t>Margaret Addae</t>
  </si>
  <si>
    <t>Magchil preparatory school</t>
  </si>
  <si>
    <t>0249580715</t>
  </si>
  <si>
    <t>Purchase or repair vehicle Dormitory renovation/construction</t>
  </si>
  <si>
    <t>S1017</t>
  </si>
  <si>
    <t>Philip Bediako-Poku</t>
  </si>
  <si>
    <t>Fountain of Intellectuals Academy</t>
  </si>
  <si>
    <t>0243559539</t>
  </si>
  <si>
    <t>Electricity Dining Hall Kitchen Pitch/Playground</t>
  </si>
  <si>
    <t>S1018</t>
  </si>
  <si>
    <t>REV. KWABENA ASAMOAH ANTWI</t>
  </si>
  <si>
    <t>CALVARY BAPTIST EDUCATIONAL COMPLEX</t>
  </si>
  <si>
    <t>0208166945</t>
  </si>
  <si>
    <t>Additional classrooms Additional toilets Purchase or repair vehicle Purchase land Library/Laboratory renovation/construction Purchasing teaching materials (e.g. whiteboards, paper)</t>
  </si>
  <si>
    <t>S1019</t>
  </si>
  <si>
    <t>Daniel Yaw Fobi</t>
  </si>
  <si>
    <t>Captains International school</t>
  </si>
  <si>
    <t>0547884060</t>
  </si>
  <si>
    <t>0244595236</t>
  </si>
  <si>
    <t>Electricity Dining Hall Kitchen Staff Office Library Laboratory Internet Fenced Wall/Gated Pitch/Playground</t>
  </si>
  <si>
    <t>Tiling of floor</t>
  </si>
  <si>
    <t>We have already taken some from other bank we want to finish paying</t>
  </si>
  <si>
    <t>S1020</t>
  </si>
  <si>
    <t>JULIANA BOATENG</t>
  </si>
  <si>
    <t>TOM BAIDOO'S EDUCATIONAL COMPLEX</t>
  </si>
  <si>
    <t>0241574968</t>
  </si>
  <si>
    <t>Additional classrooms Additional toilets Renovate or build canteen Purchase or repair vehicle Purchase land Repair or purchase playground equipment Teachers' Office renovation/construction Library/Laboratory renovation/construction Purchasing teaching materials (e.g. whiteboards, paper)</t>
  </si>
  <si>
    <t>S1021</t>
  </si>
  <si>
    <t>Gladys Amponsaa</t>
  </si>
  <si>
    <t>God in action school complex</t>
  </si>
  <si>
    <t>0575251664</t>
  </si>
  <si>
    <t>0240309801</t>
  </si>
  <si>
    <t>Dining Hall</t>
  </si>
  <si>
    <t>S1022</t>
  </si>
  <si>
    <t>Pearl Ruby Ampofo</t>
  </si>
  <si>
    <t>Gracefields Academy</t>
  </si>
  <si>
    <t>0244503840</t>
  </si>
  <si>
    <t>Electricity Dining Hall Kitchen Internet Fenced Wall/Gated Pitch/Playground</t>
  </si>
  <si>
    <t>Trainings Transport</t>
  </si>
  <si>
    <t>Additional classrooms Purchase or repair vehicle School signboard Repair or purchase playground equipment Library/Laboratory renovation/construction Purchasing teaching materials (e.g. whiteboards, paper)</t>
  </si>
  <si>
    <t>Not sure for now</t>
  </si>
  <si>
    <t>S1023</t>
  </si>
  <si>
    <t>Sampson Aboagye</t>
  </si>
  <si>
    <t>Golden view Academy</t>
  </si>
  <si>
    <t>0242726222</t>
  </si>
  <si>
    <t>A-Level Leaver</t>
  </si>
  <si>
    <t>Additional classrooms Classroom renovation Additional toilets Renovate existing toilets Renovate or build canteen Purchase or repair vehicle School signboard Dormitory renovation/construction Water storage repair/installation Purchase land Wall repair/construction Repair or purchase playground equipment Teachers' Office renovation/construction Library/Laboratory renovation/construction Purchasing teaching materials (e.g. whiteboards, paper)</t>
  </si>
  <si>
    <t>S1024</t>
  </si>
  <si>
    <t>Kwaku Opoku-Mensah</t>
  </si>
  <si>
    <t>Real Joy</t>
  </si>
  <si>
    <t>0244828751</t>
  </si>
  <si>
    <t>Electricity Kitchen Staff Office</t>
  </si>
  <si>
    <t>Cash Allowance/motivation Trainings Provident Fund Contribution</t>
  </si>
  <si>
    <t>S1025</t>
  </si>
  <si>
    <t>Ruth Agyemang</t>
  </si>
  <si>
    <t>New Day Spring Academy</t>
  </si>
  <si>
    <t>0245320441</t>
  </si>
  <si>
    <t>0545762643</t>
  </si>
  <si>
    <t>Cash Allowance/motivation Trainings Provident Fund Contribution Transport</t>
  </si>
  <si>
    <t>Classroom renovation Purchase or repair vehicle School signboard Water storage repair/installation Wall repair/construction Repair or purchase playground equipment Purchasing teaching materials (e.g. whiteboards, paper)</t>
  </si>
  <si>
    <t>S1026</t>
  </si>
  <si>
    <t>WILLIAM ADU-DONKOR</t>
  </si>
  <si>
    <t>JOYJEFF ACADEMY</t>
  </si>
  <si>
    <t>0206072451</t>
  </si>
  <si>
    <t>Cash Allowance/motivation Accommodation/Rent</t>
  </si>
  <si>
    <t>Additional classrooms Classroom renovation Additional toilets Renovate existing toilets Renovate or build canteen Purchase or repair vehicle School signboard Dormitory renovation/construction Water storage repair/installation Wall repair/construction Repair or purchase playground equipment Teachers' Office renovation/construction Library/Laboratory renovation/construction Purchasing teaching materials (e.g. whiteboards, paper)</t>
  </si>
  <si>
    <t>S1027</t>
  </si>
  <si>
    <t>Edward Ebu</t>
  </si>
  <si>
    <t>Golden Pen</t>
  </si>
  <si>
    <t>0244293486</t>
  </si>
  <si>
    <t>Electricity Kitchen Staff Office Library Internet Fenced Wall/Gated Pitch/Playground</t>
  </si>
  <si>
    <t>S1028</t>
  </si>
  <si>
    <t>Lilian Abdulai</t>
  </si>
  <si>
    <t>Penglo International School</t>
  </si>
  <si>
    <t>0257131953</t>
  </si>
  <si>
    <t>0249068663</t>
  </si>
  <si>
    <t>Receiving queries for bad attitudes towards work</t>
  </si>
  <si>
    <t>S1029</t>
  </si>
  <si>
    <t>AKWASI AMOAKO AMOANTWI</t>
  </si>
  <si>
    <t>ELIEL EDUCATIONAL COMPLEX LIMITED</t>
  </si>
  <si>
    <t>0244592424</t>
  </si>
  <si>
    <t>MECHANICAL BOREHOLE</t>
  </si>
  <si>
    <t>Kitchen Pitch/Playground</t>
  </si>
  <si>
    <t>*</t>
  </si>
  <si>
    <t>Additional classrooms Classroom renovation Additional toilets Purchase or repair vehicle Wall repair/construction Teachers' Office renovation/construction Library/Laboratory renovation/construction Purchasing teaching materials (e.g. whiteboards, paper)</t>
  </si>
  <si>
    <t>S1030</t>
  </si>
  <si>
    <t>Maxwell ADU BAFFOE</t>
  </si>
  <si>
    <t>Messiah Montessori school</t>
  </si>
  <si>
    <t>0243763525</t>
  </si>
  <si>
    <t>Amansie west private school association</t>
  </si>
  <si>
    <t>Cash Allowance/motivation Staff Loan Transport Accommodation/Rent</t>
  </si>
  <si>
    <t>S1031</t>
  </si>
  <si>
    <t>Noami Osei Owusu</t>
  </si>
  <si>
    <t>Higher Grounds Academy</t>
  </si>
  <si>
    <t>0242965461</t>
  </si>
  <si>
    <t>0244530604</t>
  </si>
  <si>
    <t>Electricity Kitchen BoardingHouse/Rooms Fenced Wall/Gated Pitch/Playground</t>
  </si>
  <si>
    <t>Additional classrooms Classroom renovation Additional toilets Purchase or repair vehicle</t>
  </si>
  <si>
    <t>S1032</t>
  </si>
  <si>
    <t>REBECCA ACHEAMPOMAA AFFUM YEBOAH</t>
  </si>
  <si>
    <t>GRANY’S CHILD SCHOOL- ATASEMANSO Ltd</t>
  </si>
  <si>
    <t>0243734733/ 0202524946</t>
  </si>
  <si>
    <t>0243734733</t>
  </si>
  <si>
    <t>Electricity Kitchen Library Fenced Wall/Gated Pitch/Playground</t>
  </si>
  <si>
    <t>Additional classrooms Additional toilets School signboard Library/Laboratory renovation/construction Others, specify</t>
  </si>
  <si>
    <t>S1033</t>
  </si>
  <si>
    <t>Mary Edith Asante</t>
  </si>
  <si>
    <t>Liechti Educational Complex</t>
  </si>
  <si>
    <t>0545202034</t>
  </si>
  <si>
    <t>S1034</t>
  </si>
  <si>
    <t>Priscilla Harrison</t>
  </si>
  <si>
    <t>Divine kids Academy</t>
  </si>
  <si>
    <t>0595455652</t>
  </si>
  <si>
    <t>Electricity Kitchen Staff Office Fenced Wall/Gated</t>
  </si>
  <si>
    <t>Additional toilets Purchase land None</t>
  </si>
  <si>
    <t>S1035</t>
  </si>
  <si>
    <t>PATRICK ATORIYA</t>
  </si>
  <si>
    <t>CEDAR EDUCATIONAL COMPLEX</t>
  </si>
  <si>
    <t>0244409190</t>
  </si>
  <si>
    <t>Pipe near by</t>
  </si>
  <si>
    <t>Additional classrooms Water storage repair/installation</t>
  </si>
  <si>
    <t>S1036</t>
  </si>
  <si>
    <t>ADUSE - POKU FAUSTINA</t>
  </si>
  <si>
    <t>HEAVENLY FRIENDSHIP EDUCATIONAL COMPLEX</t>
  </si>
  <si>
    <t>0246975876 / 0262810444 / 0202722817</t>
  </si>
  <si>
    <t>0246975876</t>
  </si>
  <si>
    <t>Wood together with concrete</t>
  </si>
  <si>
    <t>Electricity Kitchen Others, specify</t>
  </si>
  <si>
    <t>side-fenced wall,</t>
  </si>
  <si>
    <t>To further their education and also change of geographical area</t>
  </si>
  <si>
    <t>Additional classrooms Classroom renovation Additional toilets Renovate existing toilets Renovate or build canteen Purchase or repair vehicle School signboard Water storage repair/installation Purchase land Wall repair/construction Repair or purchase playground equipment Teachers' Office renovation/construction Library/Laboratory renovation/construction Purchasing teaching materials (e.g. whiteboards, paper) Others, specify</t>
  </si>
  <si>
    <t>Renovating  current classrooms and offices besides, we will construct serene classrooms, offices,  and others on the purchased land ,God - willing.</t>
  </si>
  <si>
    <t>S1037</t>
  </si>
  <si>
    <t>Oppong Diana Konadu</t>
  </si>
  <si>
    <t>Ohenewaa Daani Int sch</t>
  </si>
  <si>
    <t>0249098515</t>
  </si>
  <si>
    <t>Trainings Accommodation/Rent</t>
  </si>
  <si>
    <t>S1038</t>
  </si>
  <si>
    <t>Linda Sakyiwaa</t>
  </si>
  <si>
    <t>Hampton Kids College</t>
  </si>
  <si>
    <t>0249223408 / 0246060620</t>
  </si>
  <si>
    <t>0249223408</t>
  </si>
  <si>
    <t>Electricity Kitchen Internet Fenced Wall/Gated Pitch/Playground</t>
  </si>
  <si>
    <t>Wall repair/construction</t>
  </si>
  <si>
    <t>We want to manage with the returns for now.</t>
  </si>
  <si>
    <t>S1039</t>
  </si>
  <si>
    <t>EMMANUEL ATTA KWAAKYE</t>
  </si>
  <si>
    <t>CROSSWAY EDUCATIONAL COMPLEX</t>
  </si>
  <si>
    <t>0244815529</t>
  </si>
  <si>
    <t>Electricity Fenced Wall/Gated</t>
  </si>
  <si>
    <t>Additional classrooms Renovate existing toilets Renovate or build canteen School signboard Water storage repair/installation Repair or purchase playground equipment Library/Laboratory renovation/construction</t>
  </si>
  <si>
    <t>S1040</t>
  </si>
  <si>
    <t>Joseph Kumah</t>
  </si>
  <si>
    <t>Joelee Educational Complex</t>
  </si>
  <si>
    <t>0242263283</t>
  </si>
  <si>
    <t>Electricity Kitchen Staff Office Internet Pitch/Playground</t>
  </si>
  <si>
    <t>Post Secondary/Cert A</t>
  </si>
  <si>
    <t>Additional classrooms Classroom renovation Purchase or repair vehicle School signboard Wall repair/construction Repair or purchase playground equipment Library/Laboratory renovation/construction Purchasing teaching materials (e.g. whiteboards, paper)</t>
  </si>
  <si>
    <t>S1041</t>
  </si>
  <si>
    <t>Eugene Osei Assibey</t>
  </si>
  <si>
    <t>Eliz Success Preparatory School</t>
  </si>
  <si>
    <t>0246148914</t>
  </si>
  <si>
    <t>Additional classrooms Purchase or repair vehicle Library/Laboratory renovation/construction Purchasing teaching materials (e.g. whiteboards, paper)</t>
  </si>
  <si>
    <t>Not in my plans  for now</t>
  </si>
  <si>
    <t>S1042</t>
  </si>
  <si>
    <t>Evelyn Zangu</t>
  </si>
  <si>
    <t>Broadview Christian Academy</t>
  </si>
  <si>
    <t>0244638299</t>
  </si>
  <si>
    <t>Purchase or repair vehicle Purchase land Purchasing teaching materials (e.g. whiteboards, paper)</t>
  </si>
  <si>
    <t>S1043</t>
  </si>
  <si>
    <t>Nyantakyi Daniel</t>
  </si>
  <si>
    <t>Triumphant king Academy</t>
  </si>
  <si>
    <t>0244057244</t>
  </si>
  <si>
    <t>S1044</t>
  </si>
  <si>
    <t>REGINA ANSAH EKUBAN</t>
  </si>
  <si>
    <t>PANAFRICAN HOPE CHILDREN CENTRE</t>
  </si>
  <si>
    <t>+1 (437) 993-0201</t>
  </si>
  <si>
    <t>Electricity Kitchen Internet Fenced Wall/Gated</t>
  </si>
  <si>
    <t>Classroom renovation Renovate existing toilets Repair or purchase playground equipment</t>
  </si>
  <si>
    <t>S1045</t>
  </si>
  <si>
    <t>ALAYUN EVANS ANDREW</t>
  </si>
  <si>
    <t>0243136301</t>
  </si>
  <si>
    <t>Borehole</t>
  </si>
  <si>
    <t>Cash Allowance/motivation Trainings Performance Incentives Transport Accommodation/Rent</t>
  </si>
  <si>
    <t>Additional classrooms Classroom renovation Additional toilets Renovate or build canteen Purchase or repair vehicle School signboard Water storage repair/installation Purchase land Wall repair/construction Repair or purchase playground equipment Teachers' Office renovation/construction Library/Laboratory renovation/construction Purchasing teaching materials (e.g. whiteboards, paper)</t>
  </si>
  <si>
    <t>Already a loan facility</t>
  </si>
  <si>
    <t>S1046</t>
  </si>
  <si>
    <t>PHILIP DUAH</t>
  </si>
  <si>
    <t>BARIMA DUAH MEMORIAL SCHOOL</t>
  </si>
  <si>
    <t>0246731605</t>
  </si>
  <si>
    <t>Electricity Kitchen Laboratory Fenced Wall/Gated</t>
  </si>
  <si>
    <t>Staff Loan Trainings Performance Incentives Transport Accommodation/Rent</t>
  </si>
  <si>
    <t>Additional classrooms Purchase or repair vehicle Repair or purchase playground equipment Teachers' Office renovation/construction Library/Laboratory renovation/construction</t>
  </si>
  <si>
    <t>S1047</t>
  </si>
  <si>
    <t>Mrs Agens freamh</t>
  </si>
  <si>
    <t>Glorious Nyame Bekyere</t>
  </si>
  <si>
    <t>0249109268</t>
  </si>
  <si>
    <t>Additional classrooms Classroom renovation Additional toilets Renovate existing toilets Renovate or build canteen Purchase land Wall repair/construction Teachers' Office renovation/construction Library/Laboratory renovation/construction Purchasing teaching materials (e.g. whiteboards, paper)</t>
  </si>
  <si>
    <t>S1048</t>
  </si>
  <si>
    <t>Grace Antwi</t>
  </si>
  <si>
    <t>Ebegrace Zion Pre-School</t>
  </si>
  <si>
    <t>0546792255</t>
  </si>
  <si>
    <t>Cash Allowance/motivation Performance Incentives Accommodation/Rent Others, specify</t>
  </si>
  <si>
    <t>Dress allowance, motivation allowance</t>
  </si>
  <si>
    <t>Parent</t>
  </si>
  <si>
    <t>Additional classrooms Classroom renovation Additional toilets Renovate existing toilets Renovate or build canteen School signboard Dormitory renovation/construction Water storage repair/installation Purchase land Wall repair/construction Repair or purchase playground equipment Teachers' Office renovation/construction Library/Laboratory renovation/construction Purchasing teaching materials (e.g. whiteboards, paper)</t>
  </si>
  <si>
    <t>I have not offset the existing</t>
  </si>
  <si>
    <t>S1049</t>
  </si>
  <si>
    <t>Samuel Opoku</t>
  </si>
  <si>
    <t>Global Community School</t>
  </si>
  <si>
    <t>0244272091</t>
  </si>
  <si>
    <t>Additional classrooms Classroom renovation Renovate existing toilets Renovate or build canteen Dormitory renovation/construction Wall repair/construction Repair or purchase playground equipment Library/Laboratory renovation/construction</t>
  </si>
  <si>
    <t>S1050</t>
  </si>
  <si>
    <t>Juliet Duah</t>
  </si>
  <si>
    <t>ABK Bright Future Educational Center</t>
  </si>
  <si>
    <t>0546850341</t>
  </si>
  <si>
    <t>Renovate existing toilets Renovate or build canteen School signboard Water storage repair/installation Purchase land Repair or purchase playground equipment Teachers' Office renovation/construction Library/Laboratory renovation/construction Purchasing teaching materials (e.g. whiteboards, paper)</t>
  </si>
  <si>
    <t>I'm afraid of loans</t>
  </si>
  <si>
    <t>S1051</t>
  </si>
  <si>
    <t>Rev.Johnny Torgbo</t>
  </si>
  <si>
    <t>Divine Peace School</t>
  </si>
  <si>
    <t>0243734718</t>
  </si>
  <si>
    <t>Electricity Dining Hall Kitchen Staff Office Library Fenced Wall/Gated</t>
  </si>
  <si>
    <t>Cash Allowance/motivation Performance Incentives Transport</t>
  </si>
  <si>
    <t>Classroom renovation Water storage repair/installation Wall repair/construction Repair or purchase playground equipment</t>
  </si>
  <si>
    <t>S1052</t>
  </si>
  <si>
    <t>John Boakye</t>
  </si>
  <si>
    <t>Kaas Montessori School</t>
  </si>
  <si>
    <t>0244849378</t>
  </si>
  <si>
    <t>Electricity Kitchen BoardingHouse/Rooms Library Pitch/Playground</t>
  </si>
  <si>
    <t>Additional classrooms Classroom renovation Additional toilets Renovate existing toilets Purchase land Wall repair/construction Repair or purchase playground equipment Teachers' Office renovation/construction Library/Laboratory renovation/construction Purchasing teaching materials (e.g. whiteboards, paper)</t>
  </si>
  <si>
    <t>S1053</t>
  </si>
  <si>
    <t>George Adongo</t>
  </si>
  <si>
    <t>Jayad International School</t>
  </si>
  <si>
    <t>0596412513</t>
  </si>
  <si>
    <t>0241191198</t>
  </si>
  <si>
    <t>Electricity Staff Office Internet</t>
  </si>
  <si>
    <t>Food, half fees for teachers wards</t>
  </si>
  <si>
    <t>Not applicable</t>
  </si>
  <si>
    <t>S1054</t>
  </si>
  <si>
    <t>Frederick Nkrumah</t>
  </si>
  <si>
    <t>Glorious Home Montessori Learning Center</t>
  </si>
  <si>
    <t>054355236</t>
  </si>
  <si>
    <t>0543552316</t>
  </si>
  <si>
    <t>Dining Hall Kitchen Staff Office Pitch/Playground</t>
  </si>
  <si>
    <t>Additional classrooms Purchasing teaching materials (e.g. whiteboards, paper)</t>
  </si>
  <si>
    <t>S1055</t>
  </si>
  <si>
    <t>KINTOH EMMANUEL</t>
  </si>
  <si>
    <t>NORTH HILLS MONTESSORI AND PREPARATORY SCHOOL</t>
  </si>
  <si>
    <t>0244748495</t>
  </si>
  <si>
    <t>Electricity Staff Office Pitch/Playground</t>
  </si>
  <si>
    <t>Cash Allowance/motivation Trainings Accommodation/Rent</t>
  </si>
  <si>
    <t>Classroom renovation Purchase land Library/Laboratory renovation/construction Purchasing teaching materials (e.g. whiteboards, paper)</t>
  </si>
  <si>
    <t>S1056</t>
  </si>
  <si>
    <t>Daniel Boison</t>
  </si>
  <si>
    <t>Daddy and Mummy's School Complex</t>
  </si>
  <si>
    <t>0247136735</t>
  </si>
  <si>
    <t>S1057</t>
  </si>
  <si>
    <t>Ringo Bunbie Beyor Julius</t>
  </si>
  <si>
    <t>Adventist hope Preparatory</t>
  </si>
  <si>
    <t>0247670908</t>
  </si>
  <si>
    <t>S1058</t>
  </si>
  <si>
    <t>Charles Andoh Tawiah</t>
  </si>
  <si>
    <t>Deeper life school</t>
  </si>
  <si>
    <t>0246701139</t>
  </si>
  <si>
    <t>Additional classrooms Classroom renovation School signboard Library/Laboratory renovation/construction</t>
  </si>
  <si>
    <t>S1059</t>
  </si>
  <si>
    <t>ANANE KWARTENG</t>
  </si>
  <si>
    <t>REDEEMER PREPARATORY AND JHS</t>
  </si>
  <si>
    <t>0248687523</t>
  </si>
  <si>
    <t>Electricity Pitch/Playground</t>
  </si>
  <si>
    <t>Additional classrooms Classroom renovation Additional toilets Renovate or build canteen Purchase or repair vehicle School signboard Teachers' Office renovation/construction Library/Laboratory renovation/construction Purchasing teaching materials (e.g. whiteboards, paper)</t>
  </si>
  <si>
    <t>S1060</t>
  </si>
  <si>
    <t>Gabriel Amponsah</t>
  </si>
  <si>
    <t>Dwinase Adventist preparatory School</t>
  </si>
  <si>
    <t>0244958812</t>
  </si>
  <si>
    <t>Additional classrooms Classroom renovation Additional toilets Purchase or repair vehicle Water storage repair/installation Repair or purchase playground equipment Teachers' Office renovation/construction Library/Laboratory renovation/construction Purchasing teaching materials (e.g. whiteboards, paper)</t>
  </si>
  <si>
    <t>S1061</t>
  </si>
  <si>
    <t>Betel Kwabena Pascar</t>
  </si>
  <si>
    <t>Grace Of God Pep./ JHS</t>
  </si>
  <si>
    <t>0558338172</t>
  </si>
  <si>
    <t>0249505010</t>
  </si>
  <si>
    <t>Classroom renovation Additional toilets Renovate or build canteen School signboard Dormitory renovation/construction Water storage repair/installation Wall repair/construction Teachers' Office renovation/construction Library/Laboratory renovation/construction Purchasing teaching materials (e.g. whiteboards, paper)</t>
  </si>
  <si>
    <t>S1062</t>
  </si>
  <si>
    <t>Richard Samah</t>
  </si>
  <si>
    <t>Morning Glory School Complex</t>
  </si>
  <si>
    <t>0244188978</t>
  </si>
  <si>
    <t>Classroom renovation Purchase or repair vehicle School signboard Repair or purchase playground equipment</t>
  </si>
  <si>
    <t>S1063</t>
  </si>
  <si>
    <t>Simon Nipah</t>
  </si>
  <si>
    <t>True Mount Zion Mission School</t>
  </si>
  <si>
    <t>0242516970</t>
  </si>
  <si>
    <t>Kitchen</t>
  </si>
  <si>
    <t>Cash Allowance/motivation Others, specify</t>
  </si>
  <si>
    <t>Food</t>
  </si>
  <si>
    <t>S1064</t>
  </si>
  <si>
    <t>Alexander Nkuah Okumdom</t>
  </si>
  <si>
    <t>Adventist Vision School</t>
  </si>
  <si>
    <t>0243750674</t>
  </si>
  <si>
    <t>Classroom renovation Renovate existing toilets Purchase or repair vehicle Wall repair/construction Library/Laboratory renovation/construction Purchasing teaching materials (e.g. whiteboards, paper)</t>
  </si>
  <si>
    <t>S1065</t>
  </si>
  <si>
    <t>Hannah Williams</t>
  </si>
  <si>
    <t>Lightglowing Christian school</t>
  </si>
  <si>
    <t>0244124748</t>
  </si>
  <si>
    <t>Church Hall</t>
  </si>
  <si>
    <t>Purchase land</t>
  </si>
  <si>
    <t>S1066</t>
  </si>
  <si>
    <t>Joseph Nyarko</t>
  </si>
  <si>
    <t>Vision Care International School</t>
  </si>
  <si>
    <t>0243784415</t>
  </si>
  <si>
    <t>Pitch/Playground</t>
  </si>
  <si>
    <t>Cash Allowance/motivation Trainings Transport Accommodation/Rent</t>
  </si>
  <si>
    <t>S1067</t>
  </si>
  <si>
    <t>Abigail Ashitey Armah</t>
  </si>
  <si>
    <t>ELJEPA school</t>
  </si>
  <si>
    <t>0243202888</t>
  </si>
  <si>
    <t>0594668975</t>
  </si>
  <si>
    <t>Additional classrooms Classroom renovation Additional toilets Renovate existing toilets Renovate or build canteen Purchase or repair vehicle School signboard Water storage repair/installation Purchase land Wall repair/construction Repair or purchase playground equipment Teachers' Office renovation/construction Library/Laboratory renovation/construction Purchasing teaching materials (e.g. whiteboards, paper)</t>
  </si>
  <si>
    <t>S1068</t>
  </si>
  <si>
    <t>Augustine Kankam</t>
  </si>
  <si>
    <t>Divine Educational Complex</t>
  </si>
  <si>
    <t>0246137629</t>
  </si>
  <si>
    <t>0544423782</t>
  </si>
  <si>
    <t>Additional classrooms Classroom renovation Additional toilets Renovate or build canteen Purchase or repair vehicle Teachers' Office renovation/construction</t>
  </si>
  <si>
    <t>S1069</t>
  </si>
  <si>
    <t>David Owusu</t>
  </si>
  <si>
    <t>Froebel Educational Centre</t>
  </si>
  <si>
    <t>0265228389</t>
  </si>
  <si>
    <t>0165228389</t>
  </si>
  <si>
    <t>Electricity Dining Hall Kitchen Staff Office BoardingHouse/Rooms Library Laboratory Internet Fenced Wall/Gated</t>
  </si>
  <si>
    <t>Staff Loan Trainings Performance Incentives</t>
  </si>
  <si>
    <t>Additional classrooms Additional toilets Renovate existing toilets Dormitory renovation/construction Library/Laboratory renovation/construction Purchasing teaching materials (e.g. whiteboards, paper)</t>
  </si>
  <si>
    <t>S1070</t>
  </si>
  <si>
    <t>Alfred Attah Agyemang</t>
  </si>
  <si>
    <t>Greenwich community school</t>
  </si>
  <si>
    <t>0246289067</t>
  </si>
  <si>
    <t>Extra classes</t>
  </si>
  <si>
    <t>Classroom renovation Renovate or build canteen Purchase or repair vehicle Repair or purchase playground equipment Library/Laboratory renovation/construction Purchasing teaching materials (e.g. whiteboards, paper)</t>
  </si>
  <si>
    <t>S1071</t>
  </si>
  <si>
    <t>Antoinette Achamfuor</t>
  </si>
  <si>
    <t>St. Anne's Kiddie Crèche &amp; Nursery</t>
  </si>
  <si>
    <t>0242187007</t>
  </si>
  <si>
    <t>Electricity Staff Office Fenced Wall/Gated Pitch/Playground</t>
  </si>
  <si>
    <t>Haven't decided yet</t>
  </si>
  <si>
    <t>S1072</t>
  </si>
  <si>
    <t>YAW ATTA OPOKU</t>
  </si>
  <si>
    <t>YOUNG BRILLIANT GENERATION</t>
  </si>
  <si>
    <t>0253362311</t>
  </si>
  <si>
    <t>Additional classrooms Classroom renovation Purchase or repair vehicle School signboard Purchasing teaching materials (e.g. whiteboards, paper)</t>
  </si>
  <si>
    <t>S1073</t>
  </si>
  <si>
    <t>JOANA APENKWA (PhD)</t>
  </si>
  <si>
    <t>KOZYKIDS SCHOOL</t>
  </si>
  <si>
    <t>0501542467</t>
  </si>
  <si>
    <t>Electricity Library Internet Fenced Wall/Gated Pitch/Playground</t>
  </si>
  <si>
    <t>Cash Allowance/motivation Staff Loan Trainings Transport Accommodation/Rent</t>
  </si>
  <si>
    <t>Additional classrooms Additional toilets Renovate or build canteen Dormitory renovation/construction Repair or purchase playground equipment Teachers' Office renovation/construction Library/Laboratory renovation/construction</t>
  </si>
  <si>
    <t>S1074</t>
  </si>
  <si>
    <t>NANA POKUA WIAFE MENSAH</t>
  </si>
  <si>
    <t>KIDS WONDERLAND CRÈCHE</t>
  </si>
  <si>
    <t>0542651983</t>
  </si>
  <si>
    <t>Transport</t>
  </si>
  <si>
    <t>Additional classrooms School signboard Purchase land Repair or purchase playground equipment Others, specify</t>
  </si>
  <si>
    <t>Build a school edifice up to P6 for now</t>
  </si>
  <si>
    <t>I am yet to consider . I want to change some concepts first</t>
  </si>
  <si>
    <t>S1075</t>
  </si>
  <si>
    <t>Emmanuel Eshun</t>
  </si>
  <si>
    <t>Star Of Hope International School</t>
  </si>
  <si>
    <t>0242985192</t>
  </si>
  <si>
    <t>0242985192 / 0501323755</t>
  </si>
  <si>
    <t>Electricity Dining Hall Kitchen Staff Office BoardingHouse/Rooms Fenced Wall/Gated Pitch/Playground</t>
  </si>
  <si>
    <t>Staff Loan Trainings Transport</t>
  </si>
  <si>
    <t>S1076</t>
  </si>
  <si>
    <t>Lucy Dwamena</t>
  </si>
  <si>
    <t>Great Success Academy</t>
  </si>
  <si>
    <t>0241309558</t>
  </si>
  <si>
    <t>0541554980</t>
  </si>
  <si>
    <t>Atwima Kwawoma Private School Association</t>
  </si>
  <si>
    <t>Kitchen Fenced Wall/Gated Pitch/Playground</t>
  </si>
  <si>
    <t>Additional classrooms Additional toilets Repair or purchase playground equipment Purchasing teaching materials (e.g. whiteboards, paper)</t>
  </si>
  <si>
    <t>Low revenue/income</t>
  </si>
  <si>
    <t>S1077</t>
  </si>
  <si>
    <t>SAMUEL APPIAH ASAMOAH</t>
  </si>
  <si>
    <t>PRECIOUS-CHILD ACADEMY</t>
  </si>
  <si>
    <t>0208234372</t>
  </si>
  <si>
    <t>S1078</t>
  </si>
  <si>
    <t>Charity Tuffour</t>
  </si>
  <si>
    <t>Star Kids Preparatory school</t>
  </si>
  <si>
    <t>0244719956</t>
  </si>
  <si>
    <t>Additional classrooms Additional toilets Purchase or repair vehicle Library/Laboratory renovation/construction</t>
  </si>
  <si>
    <t>S1079</t>
  </si>
  <si>
    <t>Okyere Isaac</t>
  </si>
  <si>
    <t>Ayeyi Nhyira Kiddie Care</t>
  </si>
  <si>
    <t>0243121071</t>
  </si>
  <si>
    <t>S1080</t>
  </si>
  <si>
    <t>Anthony Nyamekye</t>
  </si>
  <si>
    <t>Saint Anthony International School</t>
  </si>
  <si>
    <t>0548245195</t>
  </si>
  <si>
    <t>Mechanized well with overhead tank that is piped to to all areas where water is required</t>
  </si>
  <si>
    <t>Cash Allowance/motivation Staff Loan Trainings Performance Incentives Transport Others, specify</t>
  </si>
  <si>
    <t>Free Lunch</t>
  </si>
  <si>
    <t>Migrate to the Ghana Education service</t>
  </si>
  <si>
    <t>Library/Laboratory renovation/construction Others, specify</t>
  </si>
  <si>
    <t>Build a standard football pitch for school and for commercial purposes</t>
  </si>
  <si>
    <t>I want to achieve a structured and stable cashflow</t>
  </si>
  <si>
    <t>S1081</t>
  </si>
  <si>
    <t>David Yorke</t>
  </si>
  <si>
    <t>Brain Power Standard</t>
  </si>
  <si>
    <t>0246107088</t>
  </si>
  <si>
    <t>Kitchen Staff Office</t>
  </si>
  <si>
    <t>Additional classrooms Classroom renovation Renovate existing toilets Renovate or build canteen Purchase or repair vehicle School signboard Purchase land Teachers' Office renovation/construction Purchasing teaching materials (e.g. whiteboards, paper)</t>
  </si>
  <si>
    <t>S1082</t>
  </si>
  <si>
    <t>Reverend Akwasi Domfeh</t>
  </si>
  <si>
    <t>Trinity Baptist School</t>
  </si>
  <si>
    <t>0208122423</t>
  </si>
  <si>
    <t>Electricity Kitchen Library Laboratory Internet</t>
  </si>
  <si>
    <t>Provident Fund Contribution Transport</t>
  </si>
  <si>
    <t>S1083</t>
  </si>
  <si>
    <t>Mavis Kuadzi</t>
  </si>
  <si>
    <t>All To You Preparatory school</t>
  </si>
  <si>
    <t>0244676340</t>
  </si>
  <si>
    <t>Electricity Kitchen BoardingHouse/Rooms Library Fenced Wall/Gated Pitch/Playground</t>
  </si>
  <si>
    <t>Additional classrooms Classroom renovation Purchase or repair vehicle</t>
  </si>
  <si>
    <t>S1084</t>
  </si>
  <si>
    <t>Cobbina Joseph</t>
  </si>
  <si>
    <t>Camzia Academy</t>
  </si>
  <si>
    <t>0244106414</t>
  </si>
  <si>
    <t>Additional classrooms Purchase land Repair or purchase playground equipment Library/Laboratory renovation/construction</t>
  </si>
  <si>
    <t>S1085</t>
  </si>
  <si>
    <t>Mavis Asamoah</t>
  </si>
  <si>
    <t>HDL Day Care</t>
  </si>
  <si>
    <t>0204899848</t>
  </si>
  <si>
    <t>Cash Allowance/motivation Staff Loan Transport</t>
  </si>
  <si>
    <t>Additional classrooms Additional toilets Renovate existing toilets Water storage repair/installation</t>
  </si>
  <si>
    <t>S1086</t>
  </si>
  <si>
    <t>NARTEY GETRUDE</t>
  </si>
  <si>
    <t>GET UNIQUE ACADEMY</t>
  </si>
  <si>
    <t>0591384025</t>
  </si>
  <si>
    <t>Additional classrooms Classroom renovation Renovate or build canteen Water storage repair/installation Wall repair/construction Repair or purchase playground equipment Purchasing teaching materials (e.g. whiteboards, paper)</t>
  </si>
  <si>
    <t>S1087</t>
  </si>
  <si>
    <t>Richard Boadi</t>
  </si>
  <si>
    <t>Greater Works Academy</t>
  </si>
  <si>
    <t>0244471353</t>
  </si>
  <si>
    <t>S1088</t>
  </si>
  <si>
    <t>George Amankwah</t>
  </si>
  <si>
    <t>Modern Educational Centre</t>
  </si>
  <si>
    <t>0249458552</t>
  </si>
  <si>
    <t>Electricity Dining Hall Kitchen Staff Office BoardingHouse/Rooms Laboratory Internet Fenced Wall/Gated Pitch/Playground</t>
  </si>
  <si>
    <t>Dormitory renovation/construction Library/Laboratory renovation/construction</t>
  </si>
  <si>
    <t>S1089</t>
  </si>
  <si>
    <t>Boakye Yiadom Philip</t>
  </si>
  <si>
    <t>Noble Prince International School</t>
  </si>
  <si>
    <t>0244284406</t>
  </si>
  <si>
    <t>Electricity Dining Hall Kitchen Staff Office Laboratory Fenced Wall/Gated Pitch/Playground</t>
  </si>
  <si>
    <t>S1090</t>
  </si>
  <si>
    <t>Doris Diana Appiah</t>
  </si>
  <si>
    <t>GeorgiaHill Montessori School</t>
  </si>
  <si>
    <t>0201710275</t>
  </si>
  <si>
    <t>Electricity Kitchen Staff Office BoardingHouse/Rooms Fenced Wall/Gated Pitch/Playground</t>
  </si>
  <si>
    <t>S1091</t>
  </si>
  <si>
    <t>NSIAH NAOMI</t>
  </si>
  <si>
    <t>ROYAL HANNAH SCHOOL</t>
  </si>
  <si>
    <t>0242727733</t>
  </si>
  <si>
    <t>Electricity Dining Hall Kitchen BoardingHouse/Rooms Library Fenced Wall/Gated Pitch/Playground</t>
  </si>
  <si>
    <t>S1092</t>
  </si>
  <si>
    <t>Mrs. Deborah Naa Densua kameyaro</t>
  </si>
  <si>
    <t>Mt. Perazim School</t>
  </si>
  <si>
    <t>0545226214</t>
  </si>
  <si>
    <t>0207910669</t>
  </si>
  <si>
    <t>Electricity Dining Hall Kitchen Library Internet Fenced Wall/Gated Pitch/Playground</t>
  </si>
  <si>
    <t>-</t>
  </si>
  <si>
    <t>Have no reasons yet.</t>
  </si>
  <si>
    <t>S1093</t>
  </si>
  <si>
    <t>Rev James Budgil</t>
  </si>
  <si>
    <t>New Creation Baptist School</t>
  </si>
  <si>
    <t>0540785026</t>
  </si>
  <si>
    <t>S1094</t>
  </si>
  <si>
    <t>Salomey sosu</t>
  </si>
  <si>
    <t>DE-MAY MONTESSORI</t>
  </si>
  <si>
    <t>0245233442</t>
  </si>
  <si>
    <t>Additional classrooms Repair or purchase playground equipment Library/Laboratory renovation/construction Purchasing teaching materials (e.g. whiteboards, paper)</t>
  </si>
  <si>
    <t>S1095</t>
  </si>
  <si>
    <t>Alice Owusu Ansah</t>
  </si>
  <si>
    <t>Vision link Academy</t>
  </si>
  <si>
    <t>0557779398</t>
  </si>
  <si>
    <t>0557779398 0279614747</t>
  </si>
  <si>
    <t>Additional classrooms Additional toilets Water storage repair/installation</t>
  </si>
  <si>
    <t>S1096</t>
  </si>
  <si>
    <t>Mensah prince charles</t>
  </si>
  <si>
    <t>Augustma educational complex</t>
  </si>
  <si>
    <t>0550898131</t>
  </si>
  <si>
    <t>0530802125</t>
  </si>
  <si>
    <t>Electricity Dining Hall Kitchen Library Laboratory Internet Fenced Wall/Gated Pitch/Playground</t>
  </si>
  <si>
    <t>Additional classrooms Classroom renovation Additional toilets Renovate or build canteen Purchase or repair vehicle Water storage repair/installation Repair or purchase playground equipment Teachers' Office renovation/construction</t>
  </si>
  <si>
    <t>S1097</t>
  </si>
  <si>
    <t>Mr Osei Assibey james</t>
  </si>
  <si>
    <t>Juliet Asantewaa  Memorial school</t>
  </si>
  <si>
    <t>0551213606</t>
  </si>
  <si>
    <t>S1098</t>
  </si>
  <si>
    <t>Abdul Mumuni Adamu</t>
  </si>
  <si>
    <t>Destiny Experimental Academy</t>
  </si>
  <si>
    <t>0558370350</t>
  </si>
  <si>
    <t>Staff Loan Performance Incentives</t>
  </si>
  <si>
    <t>Classroom renovation Renovate existing toilets Renovate or build canteen Purchase or repair vehicle School signboard Wall repair/construction Repair or purchase playground equipment Teachers' Office renovation/construction Library/Laboratory renovation/construction Purchasing teaching materials (e.g. whiteboards, paper)</t>
  </si>
  <si>
    <t>S1099</t>
  </si>
  <si>
    <t>Isaac Osei</t>
  </si>
  <si>
    <t>Aim High Educational complex</t>
  </si>
  <si>
    <t>0241383747</t>
  </si>
  <si>
    <t>0248692023</t>
  </si>
  <si>
    <t>S1100</t>
  </si>
  <si>
    <t>Francis Aboagye</t>
  </si>
  <si>
    <t>Fransta Kiddy Care</t>
  </si>
  <si>
    <t>0509566168</t>
  </si>
  <si>
    <t>Additional classrooms School signboard Repair or purchase playground equipment Teachers' Office renovation/construction Library/Laboratory renovation/construction</t>
  </si>
  <si>
    <t>S1101</t>
  </si>
  <si>
    <t>Gladys Wiafe</t>
  </si>
  <si>
    <t>Jesus Never Fails Educational Academy</t>
  </si>
  <si>
    <t>0541176846</t>
  </si>
  <si>
    <t>Additional classrooms Classroom renovation Additional toilets Renovate or build canteen Water storage repair/installation Purchase land Teachers' Office renovation/construction Library/Laboratory renovation/construction</t>
  </si>
  <si>
    <t>S1102</t>
  </si>
  <si>
    <t>Ebenezer Owusu</t>
  </si>
  <si>
    <t>Daniel's Victory School</t>
  </si>
  <si>
    <t>0244863839</t>
  </si>
  <si>
    <t>Annex</t>
  </si>
  <si>
    <t>Additional classrooms Classroom renovation Purchasing teaching materials (e.g. whiteboards, paper)</t>
  </si>
  <si>
    <t>S1103</t>
  </si>
  <si>
    <t>Isaac Adjei</t>
  </si>
  <si>
    <t>Supreme Messiah School</t>
  </si>
  <si>
    <t>0244929379</t>
  </si>
  <si>
    <t>Additional classrooms Classroom renovation Additional toilets Renovate existing toilets Renovate or build canteen Purchase or repair vehicle School signboard Water storage repair/installation</t>
  </si>
  <si>
    <t>S1104</t>
  </si>
  <si>
    <t>Boadu  Yaw</t>
  </si>
  <si>
    <t>Benediction  international school</t>
  </si>
  <si>
    <t>0243615214</t>
  </si>
  <si>
    <t>Kitchen Staff Office Fenced Wall/Gated</t>
  </si>
  <si>
    <t>Performance Incentives</t>
  </si>
  <si>
    <t>S1105</t>
  </si>
  <si>
    <t>Nicholas Aning</t>
  </si>
  <si>
    <t>Mount Zion preparatory/JHS</t>
  </si>
  <si>
    <t>0243227624</t>
  </si>
  <si>
    <t>S1106</t>
  </si>
  <si>
    <t>Kate Berko</t>
  </si>
  <si>
    <t>Hour of hope international school</t>
  </si>
  <si>
    <t>0247419359</t>
  </si>
  <si>
    <t>S1107</t>
  </si>
  <si>
    <t>Mrs Mercy Whyte</t>
  </si>
  <si>
    <t>DE-JOINT CHRISTIAN ACADEMY</t>
  </si>
  <si>
    <t>0245973964</t>
  </si>
  <si>
    <t>Electricity Dining Hall Kitchen Staff Office Laboratory Fenced Wall/Gated</t>
  </si>
  <si>
    <t>Administrator</t>
  </si>
  <si>
    <t>S1108</t>
  </si>
  <si>
    <t>FAUSTINA BOATENG</t>
  </si>
  <si>
    <t>LUCAS B MODEL SCHOOL</t>
  </si>
  <si>
    <t>0542025315</t>
  </si>
  <si>
    <t>YES</t>
  </si>
  <si>
    <t>Additional classrooms Classroom renovation Renovate existing toilets Renovate or build canteen Purchase or repair vehicle School signboard Water storage repair/installation Purchase land Wall repair/construction Repair or purchase playground equipment Teachers' Office renovation/construction Library/Laboratory renovation/construction Purchasing teaching materials (e.g. whiteboards, paper)</t>
  </si>
  <si>
    <t>S1109</t>
  </si>
  <si>
    <t>LA-USS</t>
  </si>
  <si>
    <t>NEW NATAL INTERNATIONAL</t>
  </si>
  <si>
    <t>0534102857</t>
  </si>
  <si>
    <t>Additional classrooms Classroom renovation Repair or purchase playground equipment Teachers' Office renovation/construction Library/Laboratory renovation/construction Purchasing teaching materials (e.g. whiteboards, paper)</t>
  </si>
  <si>
    <t>S1110</t>
  </si>
  <si>
    <t>Juliana Opoku Ampofo</t>
  </si>
  <si>
    <t>Levite's City  Academy</t>
  </si>
  <si>
    <t>0532745135</t>
  </si>
  <si>
    <t>0241369167</t>
  </si>
  <si>
    <t>Staff Loan</t>
  </si>
  <si>
    <t>S1111</t>
  </si>
  <si>
    <t>EMMANUEL KWAKU NIAH</t>
  </si>
  <si>
    <t>GREAT LEADERS EDUCATIONAL COMPLEX</t>
  </si>
  <si>
    <t>0264382053</t>
  </si>
  <si>
    <t>0241123121</t>
  </si>
  <si>
    <t>Some computers available but no computer lab for practicals .</t>
  </si>
  <si>
    <t>Additional toilets Repair or purchase playground equipment Teachers' Office renovation/construction Library/Laboratory renovation/construction Others, specify</t>
  </si>
  <si>
    <t>Putting up a befitting computer lab</t>
  </si>
  <si>
    <t>S1112</t>
  </si>
  <si>
    <t>ELDAD ANDOH MENSAH</t>
  </si>
  <si>
    <t>ELDIA MONTESSORI</t>
  </si>
  <si>
    <t>0264383231</t>
  </si>
  <si>
    <t>0546224156</t>
  </si>
  <si>
    <t>BOREHOLE</t>
  </si>
  <si>
    <t>Additional classrooms Library/Laboratory renovation/construction</t>
  </si>
  <si>
    <t>S1113</t>
  </si>
  <si>
    <t>Mary Baah Nuako</t>
  </si>
  <si>
    <t>Faith Life Community School</t>
  </si>
  <si>
    <t>0244136983</t>
  </si>
  <si>
    <t>S1114</t>
  </si>
  <si>
    <t>Lloyd Berko</t>
  </si>
  <si>
    <t>Kinder Circle School</t>
  </si>
  <si>
    <t>0554428211 , 0244460837</t>
  </si>
  <si>
    <t>0554428211</t>
  </si>
  <si>
    <t>Classroom renovation Repair or purchase playground equipment Library/Laboratory renovation/construction</t>
  </si>
  <si>
    <t>S1115</t>
  </si>
  <si>
    <t>Martha Osei</t>
  </si>
  <si>
    <t>New Shining Star Academy</t>
  </si>
  <si>
    <t>0248805345</t>
  </si>
  <si>
    <t>Additional classrooms Additional toilets Renovate or build canteen Purchase or repair vehicle School signboard Water storage repair/installation Purchase land Repair or purchase playground equipment Teachers' Office renovation/construction Library/Laboratory renovation/construction Purchasing teaching materials (e.g. whiteboards, paper) Others, specify</t>
  </si>
  <si>
    <t>Dinning Hall</t>
  </si>
  <si>
    <t>S1116</t>
  </si>
  <si>
    <t>Jane Osei Sasu</t>
  </si>
  <si>
    <t>Golden Daffodil Lyceum</t>
  </si>
  <si>
    <t>0244681705</t>
  </si>
  <si>
    <t>0272181585</t>
  </si>
  <si>
    <t>Additional classrooms Purchase or repair vehicle Purchase land</t>
  </si>
  <si>
    <t>S1117</t>
  </si>
  <si>
    <t>Philipa tetteh</t>
  </si>
  <si>
    <t>Messianic educational complex</t>
  </si>
  <si>
    <t>O240728836</t>
  </si>
  <si>
    <t>I9</t>
  </si>
  <si>
    <t>S1118</t>
  </si>
  <si>
    <t>Gabriel Nyorkey</t>
  </si>
  <si>
    <t>Unique King's Kids Preparatory School</t>
  </si>
  <si>
    <t>0244426822/0208962540</t>
  </si>
  <si>
    <t>0244426822</t>
  </si>
  <si>
    <t>Travelled overseas</t>
  </si>
  <si>
    <t>Will use personal savings</t>
  </si>
  <si>
    <t>S1119</t>
  </si>
  <si>
    <t>Theodora Owusu Ansah</t>
  </si>
  <si>
    <t>Fredora's Academy</t>
  </si>
  <si>
    <t>0244218924</t>
  </si>
  <si>
    <t>0543141397</t>
  </si>
  <si>
    <t>Purchase or repair vehicle Teachers' Office renovation/construction Library/Laboratory renovation/construction Purchasing teaching materials (e.g. whiteboards, paper)</t>
  </si>
  <si>
    <t>S1120</t>
  </si>
  <si>
    <t>Dora Afua Serwaah</t>
  </si>
  <si>
    <t>Crystal Paradise Educational Complex</t>
  </si>
  <si>
    <t>0246754953</t>
  </si>
  <si>
    <t>S1121</t>
  </si>
  <si>
    <t>Mr Alfred Agyemang-Duah</t>
  </si>
  <si>
    <t>We Care Academy</t>
  </si>
  <si>
    <t>0548428077</t>
  </si>
  <si>
    <t>Electricity Dining Hall Kitchen Staff Office Internet Fenced Wall/Gated Others, specify</t>
  </si>
  <si>
    <t>S1122</t>
  </si>
  <si>
    <t>ADU Yeboah Elizabeth</t>
  </si>
  <si>
    <t>Great Academy International School</t>
  </si>
  <si>
    <t>0548415045</t>
  </si>
  <si>
    <t>Classroom renovation Additional toilets Renovate or build canteen Purchase or repair vehicle Water storage repair/installation Wall repair/construction Purchasing teaching materials (e.g. whiteboards, paper)</t>
  </si>
  <si>
    <t>S1123</t>
  </si>
  <si>
    <t>Millicent Kwarteng</t>
  </si>
  <si>
    <t xml:space="preserve">The Hour of Faith International School </t>
  </si>
  <si>
    <t>0244974434 / 0506205705</t>
  </si>
  <si>
    <t>0244974434  / 0506205705</t>
  </si>
  <si>
    <t>Electricity Kitchen Staff Office BoardingHouse/Rooms Library Internet Fenced Wall/Gated Pitch/Playground</t>
  </si>
  <si>
    <t>Classroom renovation Additional toilets Renovate or build canteen Purchase or repair vehicle Dormitory renovation/construction Wall repair/construction Repair or purchase playground equipment</t>
  </si>
  <si>
    <t>S1124</t>
  </si>
  <si>
    <t>Dominic Akanzuba</t>
  </si>
  <si>
    <t>Quality Educational Complex -Mfensi</t>
  </si>
  <si>
    <t>0243480200</t>
  </si>
  <si>
    <t>Cash Allowance/motivation Staff Loan Performance Incentives Transport</t>
  </si>
  <si>
    <t>Classroom renovation Renovate existing toilets</t>
  </si>
  <si>
    <t>S1125</t>
  </si>
  <si>
    <t>Evelyn Boyefio</t>
  </si>
  <si>
    <t>Grandma’s House Academy</t>
  </si>
  <si>
    <t>0244734871</t>
  </si>
  <si>
    <t>Additional classrooms Additional toilets Renovate or build canteen Teachers' Office renovation/construction Library/Laboratory renovation/construction</t>
  </si>
  <si>
    <t>S1126</t>
  </si>
  <si>
    <t>Wirekoh Getrude</t>
  </si>
  <si>
    <t>Royal Heights Montessori School</t>
  </si>
  <si>
    <t>0244988078</t>
  </si>
  <si>
    <t>Can't afford</t>
  </si>
  <si>
    <t>S1127</t>
  </si>
  <si>
    <t>Emmanuel Asante</t>
  </si>
  <si>
    <t>Wonderful Jesus International School</t>
  </si>
  <si>
    <t>0550550093</t>
  </si>
  <si>
    <t>0532879721</t>
  </si>
  <si>
    <t>Additional classrooms Classroom renovation Renovate existing toilets School signboard Purchasing teaching materials (e.g. whiteboards, paper)</t>
  </si>
  <si>
    <t>We are owning some amount at your service</t>
  </si>
  <si>
    <t>S1128</t>
  </si>
  <si>
    <t>Sarah Baah-Acheamfour</t>
  </si>
  <si>
    <t>Aseda Nhyira International school</t>
  </si>
  <si>
    <t>0244712729</t>
  </si>
  <si>
    <t>S1129</t>
  </si>
  <si>
    <t>Emmanuella Donkor</t>
  </si>
  <si>
    <t>EMOK’s kiddie care</t>
  </si>
  <si>
    <t>0240827006</t>
  </si>
  <si>
    <t>S1130</t>
  </si>
  <si>
    <t>Millicent Boachie</t>
  </si>
  <si>
    <t>God's Time is the best international school</t>
  </si>
  <si>
    <t>0244402027</t>
  </si>
  <si>
    <t>0246402889</t>
  </si>
  <si>
    <t>Cash Allowance/motivation Staff Loan Provident Fund Contribution Performance Incentives</t>
  </si>
  <si>
    <t>Additional classrooms Classroom renovation Purchase or repair vehicle Repair or purchase playground equipment Purchasing teaching materials (e.g. whiteboards, paper)</t>
  </si>
  <si>
    <t>S1131</t>
  </si>
  <si>
    <t>John Yeboah</t>
  </si>
  <si>
    <t>Spotlight Academy</t>
  </si>
  <si>
    <t>0242380405</t>
  </si>
  <si>
    <t>Additional classrooms Classroom renovation Wall repair/construction Purchasing teaching materials (e.g. whiteboards, paper) Others, specify</t>
  </si>
  <si>
    <t>Academic Rebranding and Restructuring</t>
  </si>
  <si>
    <t>S1132</t>
  </si>
  <si>
    <t>DANIEL OWUSU</t>
  </si>
  <si>
    <t>GREAT IDAHOSA MODEL SCHOOL</t>
  </si>
  <si>
    <t>0243255129</t>
  </si>
  <si>
    <t>Additional classrooms Classroom renovation Additional toilets Renovate existing toilets Renovate or build canteen Purchase or repair vehicle Water storage repair/installation Repair or purchase playground equipment Purchasing teaching materials (e.g. whiteboards, paper)</t>
  </si>
  <si>
    <t>S1133</t>
  </si>
  <si>
    <t>Alfred Arko Korsah</t>
  </si>
  <si>
    <t>Maxwell Rabb Preparatory School</t>
  </si>
  <si>
    <t>0244966020</t>
  </si>
  <si>
    <t>00</t>
  </si>
  <si>
    <t>3</t>
  </si>
  <si>
    <t>2</t>
  </si>
  <si>
    <t>5</t>
  </si>
  <si>
    <t>Additional classrooms Additional toilets School signboard Teachers' Office renovation/construction Purchasing teaching materials (e.g. whiteboards, paper)</t>
  </si>
  <si>
    <t>S1134</t>
  </si>
  <si>
    <t>Yvonne Safo Frimpong</t>
  </si>
  <si>
    <t>Oak Hills School</t>
  </si>
  <si>
    <t>0540385664</t>
  </si>
  <si>
    <t>Pipe-Onsite Pipe-Offsite</t>
  </si>
  <si>
    <t>Expand the school</t>
  </si>
  <si>
    <t>S1135</t>
  </si>
  <si>
    <t>Charles Adu Boahen</t>
  </si>
  <si>
    <t>Justice Int school</t>
  </si>
  <si>
    <t>0560671144</t>
  </si>
  <si>
    <t>0246931194</t>
  </si>
  <si>
    <t>S1136</t>
  </si>
  <si>
    <t>Janet Opoku</t>
  </si>
  <si>
    <t>Majesty Educational Complex</t>
  </si>
  <si>
    <t>0549067749</t>
  </si>
  <si>
    <t>Additional toilets</t>
  </si>
  <si>
    <t>S1137</t>
  </si>
  <si>
    <t>FRANK OWUSU-BOAKYE</t>
  </si>
  <si>
    <t>AMAZING FUTURE SCHOLARS ACADEMY</t>
  </si>
  <si>
    <t>0542709266</t>
  </si>
  <si>
    <t>Electricity Dining Hall Kitchen Laboratory Fenced Wall/Gated Pitch/Playground</t>
  </si>
  <si>
    <t>Cash Allowance/motivation Performance Incentives Transport Others, specify</t>
  </si>
  <si>
    <t>Food allowance</t>
  </si>
  <si>
    <t>S1138</t>
  </si>
  <si>
    <t>JOSEPH KOFI AGYEMANG</t>
  </si>
  <si>
    <t>0553366700</t>
  </si>
  <si>
    <t>06</t>
  </si>
  <si>
    <t>08</t>
  </si>
  <si>
    <t>16</t>
  </si>
  <si>
    <t>S1139</t>
  </si>
  <si>
    <t>Christian Ikenna Okereafor</t>
  </si>
  <si>
    <t>Crismond Academy</t>
  </si>
  <si>
    <t>0531344763</t>
  </si>
  <si>
    <t>+23435119628</t>
  </si>
  <si>
    <t>8</t>
  </si>
  <si>
    <t>6</t>
  </si>
  <si>
    <t>14</t>
  </si>
  <si>
    <t>10</t>
  </si>
  <si>
    <t>38</t>
  </si>
  <si>
    <t>Electricity Dining Hall Kitchen Staff Office BoardingHouse/Rooms Library Internet Fenced Wall/Gated Pitch/Playground</t>
  </si>
  <si>
    <t>Additional classrooms Renovate or build canteen Repair or purchase playground equipment Library/Laboratory renovation/construction Purchasing teaching materials (e.g. whiteboards, paper)</t>
  </si>
  <si>
    <t>S1140</t>
  </si>
  <si>
    <t>GEORGE ADOMAKO-KUMI</t>
  </si>
  <si>
    <t>SOLID ROCK EDUCATIONAL COMPLEX</t>
  </si>
  <si>
    <t>0244140774</t>
  </si>
  <si>
    <t>7</t>
  </si>
  <si>
    <t>15</t>
  </si>
  <si>
    <t>13</t>
  </si>
  <si>
    <t>Cash Allowance/motivation Staff Loan Performance Incentives Transport Accommodation/Rent</t>
  </si>
  <si>
    <t>S1141</t>
  </si>
  <si>
    <t>ANTHONY OWUSU</t>
  </si>
  <si>
    <t>OK ACADEMY</t>
  </si>
  <si>
    <t>0244896174</t>
  </si>
  <si>
    <t>11</t>
  </si>
  <si>
    <t>1</t>
  </si>
  <si>
    <t>4</t>
  </si>
  <si>
    <t>Additional classrooms Classroom renovation Renovate existing toilets Renovate or build canteen Purchase or repair vehicle Dormitory renovation/construction Wall repair/construction Library/Laboratory renovation/construction Purchasing teaching materials (e.g. whiteboards, paper)</t>
  </si>
  <si>
    <t>S1142</t>
  </si>
  <si>
    <t>Sophia Odoom</t>
  </si>
  <si>
    <t>Arhinster Valley International school</t>
  </si>
  <si>
    <t>0244685314</t>
  </si>
  <si>
    <t>Additional classrooms Additional toilets School signboard Library/Laboratory renovation/construction Purchasing teaching materials (e.g. whiteboards, paper)</t>
  </si>
  <si>
    <t>S1143</t>
  </si>
  <si>
    <t>AGANA SAMUEL SAMPANA</t>
  </si>
  <si>
    <t>PREMIER MISSION ACADEMY</t>
  </si>
  <si>
    <t>0245181566</t>
  </si>
  <si>
    <t>0</t>
  </si>
  <si>
    <t>Pipe-Offsite Not Available</t>
  </si>
  <si>
    <t>Kitchen Staff Office Fenced Wall/Gated Pitch/Playground</t>
  </si>
  <si>
    <t>Additional classrooms Water storage repair/installation Wall repair/construction Library/Laboratory renovation/construction</t>
  </si>
  <si>
    <t>S1144</t>
  </si>
  <si>
    <t>Vida Boakye</t>
  </si>
  <si>
    <t>Almighty educational complex</t>
  </si>
  <si>
    <t>0244415912</t>
  </si>
  <si>
    <t>Additional classrooms Renovate or build canteen Purchase or repair vehicle Repair or purchase playground equipment</t>
  </si>
  <si>
    <t>S1145</t>
  </si>
  <si>
    <t>George Barfi</t>
  </si>
  <si>
    <t>Winners Joy Educational Complex</t>
  </si>
  <si>
    <t>0242674161</t>
  </si>
  <si>
    <t>winnersjoypublications@gmail.com</t>
  </si>
  <si>
    <t>S1146</t>
  </si>
  <si>
    <t>Rev Seth Mensah</t>
  </si>
  <si>
    <t>Soul Angels Montessori</t>
  </si>
  <si>
    <t>0244792150</t>
  </si>
  <si>
    <t>Electricity Dining Hall Kitchen Staff Office Internet Fenced Wall/Gated</t>
  </si>
  <si>
    <t>S1147</t>
  </si>
  <si>
    <t>Stella Agyei Ampem</t>
  </si>
  <si>
    <t>St Alfred Montessori</t>
  </si>
  <si>
    <t>0244751406</t>
  </si>
  <si>
    <t>Additional classrooms Classroom renovation Purchase or repair vehicle Library/Laboratory renovation/construction</t>
  </si>
  <si>
    <t>S1148</t>
  </si>
  <si>
    <t>Mavis Opoku Nyarko</t>
  </si>
  <si>
    <t>Belge Hopeland Educational Complex</t>
  </si>
  <si>
    <t>0247570952</t>
  </si>
  <si>
    <t>Electricity Kitchen Staff Office BoardingHouse/Rooms Laboratory Fenced Wall/Gated Pitch/Playground</t>
  </si>
  <si>
    <t>Relocation</t>
  </si>
  <si>
    <t>Additional classrooms Renovate existing toilets Library/Laboratory renovation/construction</t>
  </si>
  <si>
    <t>S1149</t>
  </si>
  <si>
    <t>Bishop David Manu</t>
  </si>
  <si>
    <t>Powerhouse Montessori School</t>
  </si>
  <si>
    <t>0243920235</t>
  </si>
  <si>
    <t>Travelling</t>
  </si>
  <si>
    <t>The school board</t>
  </si>
  <si>
    <t>S1150</t>
  </si>
  <si>
    <t>Gabriel Enyan</t>
  </si>
  <si>
    <t>Nazareth Montessori Edu. Complex</t>
  </si>
  <si>
    <t>0242251862</t>
  </si>
  <si>
    <t>TAPPSA</t>
  </si>
  <si>
    <t>Nothing</t>
  </si>
  <si>
    <t>S1151</t>
  </si>
  <si>
    <t>Gladys Acheampong</t>
  </si>
  <si>
    <t>Uniglad learning center</t>
  </si>
  <si>
    <t>0548846643</t>
  </si>
  <si>
    <t>Weekly incentive</t>
  </si>
  <si>
    <t>Additional classrooms Classroom renovation Renovate existing toilets Renovate or build canteen Water storage repair/installation Wall repair/construction Repair or purchase playground equipment Library/Laboratory renovation/construction</t>
  </si>
  <si>
    <t>S1152</t>
  </si>
  <si>
    <t>Kwame Owusu Boafo</t>
  </si>
  <si>
    <t>Christ College</t>
  </si>
  <si>
    <t>0547077205</t>
  </si>
  <si>
    <t>Electricity Dining Hall Kitchen Staff Office BoardingHouse/Rooms Library Laboratory Internet Pitch/Playground</t>
  </si>
  <si>
    <t>Additional classrooms Classroom renovation Renovate existing toilets Purchase or repair vehicle Dormitory renovation/construction Wall repair/construction Repair or purchase playground equipment Purchasing teaching materials (e.g. whiteboards, paper)</t>
  </si>
  <si>
    <t>S1153</t>
  </si>
  <si>
    <t>Eunice Biney</t>
  </si>
  <si>
    <t>Brilliant Brain school</t>
  </si>
  <si>
    <t>0245956922</t>
  </si>
  <si>
    <t>S1154</t>
  </si>
  <si>
    <t>Irene Adubiri Gyimah</t>
  </si>
  <si>
    <t>New Ave Maria Preparatory school</t>
  </si>
  <si>
    <t>0244240634</t>
  </si>
  <si>
    <t>Cash Allowance/motivation Staff Loan Trainings Transport Others, specify</t>
  </si>
  <si>
    <t>Uniform</t>
  </si>
  <si>
    <t>S1155</t>
  </si>
  <si>
    <t>Elizabeth Twumasi Ankrah</t>
  </si>
  <si>
    <t>Bellview int school</t>
  </si>
  <si>
    <t>0591929442</t>
  </si>
  <si>
    <t>Additional classrooms Classroom renovation Renovate or build canteen</t>
  </si>
  <si>
    <t>S1156</t>
  </si>
  <si>
    <t>Amoah Anthony</t>
  </si>
  <si>
    <t>Ideas Academy</t>
  </si>
  <si>
    <t>0246145855</t>
  </si>
  <si>
    <t>S1157</t>
  </si>
  <si>
    <t>Acquah Hagan Enoch</t>
  </si>
  <si>
    <t>Acquafield Montessori School</t>
  </si>
  <si>
    <t>0248095665</t>
  </si>
  <si>
    <t>Health</t>
  </si>
  <si>
    <t>Dismissal</t>
  </si>
  <si>
    <t>Considering with other stakeholders</t>
  </si>
  <si>
    <t>S1158</t>
  </si>
  <si>
    <t>Michael Raad</t>
  </si>
  <si>
    <t>King Jesus Educational Complex</t>
  </si>
  <si>
    <t>0244561374</t>
  </si>
  <si>
    <t>Water storage repair/installation Purchase land</t>
  </si>
  <si>
    <t>S1159</t>
  </si>
  <si>
    <t>Josephine Danso</t>
  </si>
  <si>
    <t>Hidden Treasures Academy</t>
  </si>
  <si>
    <t>0242862457</t>
  </si>
  <si>
    <t>Cash Allowance/motivation Staff Loan Provident Fund Contribution Performance Incentives Accommodation/Rent</t>
  </si>
  <si>
    <t>Renovate or build canteen Purchase or repair vehicle Repair or purchase playground equipment Library/Laboratory renovation/construction</t>
  </si>
  <si>
    <t>S1160</t>
  </si>
  <si>
    <t>Harriet Yeboah Afari</t>
  </si>
  <si>
    <t>Maggies Standard School</t>
  </si>
  <si>
    <t>0244563437</t>
  </si>
  <si>
    <t>S1161</t>
  </si>
  <si>
    <t>Daniel Frimpong Andoh</t>
  </si>
  <si>
    <t>Morgan Bridge School</t>
  </si>
  <si>
    <t>0544812068</t>
  </si>
  <si>
    <t>Low cash flow system</t>
  </si>
  <si>
    <t>S1162</t>
  </si>
  <si>
    <t>Charlotte Okayere Appiah-kubi</t>
  </si>
  <si>
    <t>Lord's Heart Educational Complex</t>
  </si>
  <si>
    <t>0556850532</t>
  </si>
  <si>
    <t>Electricity Kitchen Staff Office Library Laboratory Fenced Wall/Gated Pitch/Playground</t>
  </si>
  <si>
    <t>S1163</t>
  </si>
  <si>
    <t>Anna Acquah</t>
  </si>
  <si>
    <t>Ann Vision Preparatory School</t>
  </si>
  <si>
    <t>0242664809</t>
  </si>
  <si>
    <t>Classroom renovation Renovate existing toilets Library/Laboratory renovation/construction</t>
  </si>
  <si>
    <t>S1164</t>
  </si>
  <si>
    <t>Kessie Joseph</t>
  </si>
  <si>
    <t>Pearl Educational Complex</t>
  </si>
  <si>
    <t>0247734501</t>
  </si>
  <si>
    <t>Renovate existing toilets Purchase or repair vehicle</t>
  </si>
  <si>
    <t>S1165</t>
  </si>
  <si>
    <t>Johnson Ofori Amanfo</t>
  </si>
  <si>
    <t>Manforia Int School</t>
  </si>
  <si>
    <t>0247709971</t>
  </si>
  <si>
    <t>Electricity Kitchen Staff Office Laboratory Internet Pitch/Playground</t>
  </si>
  <si>
    <t>Additional classrooms Purchase land Repair or purchase playground equipment</t>
  </si>
  <si>
    <t>S1166</t>
  </si>
  <si>
    <t>Amos</t>
  </si>
  <si>
    <t>Abesscott Grammar school</t>
  </si>
  <si>
    <t>0244504410</t>
  </si>
  <si>
    <t>Additional classrooms Purchase or repair vehicle Water storage repair/installation Purchase land</t>
  </si>
  <si>
    <t>S1167</t>
  </si>
  <si>
    <t>Margaret Adutwumwaa Kaakyire</t>
  </si>
  <si>
    <t>Kadus Stem Academy</t>
  </si>
  <si>
    <t>0242966443</t>
  </si>
  <si>
    <t>S1168</t>
  </si>
  <si>
    <t>Emmanuel Akwasi Ninson</t>
  </si>
  <si>
    <t>Emmanuel-Excellence Educational Complex</t>
  </si>
  <si>
    <t>0248846565</t>
  </si>
  <si>
    <t>Cash Allowance/motivation Trainings Transport Others, specify</t>
  </si>
  <si>
    <t>Feeding allowance</t>
  </si>
  <si>
    <t>Additional classrooms Classroom renovation Purchase or repair vehicle Teachers' Office renovation/construction Purchasing teaching materials (e.g. whiteboards, paper)</t>
  </si>
  <si>
    <t>S1169</t>
  </si>
  <si>
    <t>Maud Amissah</t>
  </si>
  <si>
    <t>Hensa Academy</t>
  </si>
  <si>
    <t>0249279235</t>
  </si>
  <si>
    <t>S1170</t>
  </si>
  <si>
    <t>Paul Arhin Donkor</t>
  </si>
  <si>
    <t>St. Paul Int kwapra ltd</t>
  </si>
  <si>
    <t>0244673756</t>
  </si>
  <si>
    <t>Additional classrooms Classroom renovation Additional toilets Renovate existing toilets Dormitory renovation/construction Water storage repair/installation Purchasing teaching materials (e.g. whiteboards, paper)</t>
  </si>
  <si>
    <t>S1171</t>
  </si>
  <si>
    <t>Yaw Frimpong</t>
  </si>
  <si>
    <t>Aura Academy</t>
  </si>
  <si>
    <t>0277825807</t>
  </si>
  <si>
    <t>Accountant</t>
  </si>
  <si>
    <t>S1172</t>
  </si>
  <si>
    <t>Victoria Osei Hwedie</t>
  </si>
  <si>
    <t>New Image Community School</t>
  </si>
  <si>
    <t>0244939206</t>
  </si>
  <si>
    <t>Later</t>
  </si>
  <si>
    <t>S1173</t>
  </si>
  <si>
    <t>Ben Antwi Agyei Boateng</t>
  </si>
  <si>
    <t>Brightlingsea Academy</t>
  </si>
  <si>
    <t>0245868467</t>
  </si>
  <si>
    <t>We don't need a loan for now.</t>
  </si>
  <si>
    <t>S1174</t>
  </si>
  <si>
    <t>Judith Boakye Danquah</t>
  </si>
  <si>
    <t>John Banks Academy</t>
  </si>
  <si>
    <t>0248977227</t>
  </si>
  <si>
    <t>Electricity Dining Hall Kitchen Staff Office Fenced Wall/Gated</t>
  </si>
  <si>
    <t>S1175</t>
  </si>
  <si>
    <t>Hannah Opoku Antwi</t>
  </si>
  <si>
    <t>Moreag Montessori School</t>
  </si>
  <si>
    <t>0244223028</t>
  </si>
  <si>
    <t>S1176</t>
  </si>
  <si>
    <t>Mary Donkor</t>
  </si>
  <si>
    <t>Great Love Educational Complex</t>
  </si>
  <si>
    <t>0547136805</t>
  </si>
  <si>
    <t>Cash Allowance/motivation Provident Fund Contribution Transport</t>
  </si>
  <si>
    <t>Not at this moment</t>
  </si>
  <si>
    <t>S1177</t>
  </si>
  <si>
    <t>Blandina Amo-Kyereh</t>
  </si>
  <si>
    <t>St. Georges Learning Centre</t>
  </si>
  <si>
    <t>0243286848</t>
  </si>
  <si>
    <t>Additional classrooms Classroom renovation Purchase or repair vehicle Purchase land Wall repair/construction Repair or purchase playground equipment</t>
  </si>
  <si>
    <t>S1178</t>
  </si>
  <si>
    <t>Akosua Foriwaa</t>
  </si>
  <si>
    <t>Prince of Peace Academy</t>
  </si>
  <si>
    <t>0244414955</t>
  </si>
  <si>
    <t>Electricity Dining Hall Kitchen Staff Office Fenced Wall/Gated Pitch/Playground</t>
  </si>
  <si>
    <t>S1179</t>
  </si>
  <si>
    <t>Emmanuel Kpordzaye</t>
  </si>
  <si>
    <t>Further International School Ltd</t>
  </si>
  <si>
    <t>0540628392</t>
  </si>
  <si>
    <t>Additional classrooms Classroom renovation Additional toilets Repair or purchase playground equipment</t>
  </si>
  <si>
    <t>S1180</t>
  </si>
  <si>
    <t>Fati Osman</t>
  </si>
  <si>
    <t>Kids Palace Academy</t>
  </si>
  <si>
    <t>0249425746</t>
  </si>
  <si>
    <t>S1181</t>
  </si>
  <si>
    <t>Theophilus Opoku Sarbeng</t>
  </si>
  <si>
    <t>Mary Fofie Memorial International School</t>
  </si>
  <si>
    <t>0544245727</t>
  </si>
  <si>
    <t>0208889033</t>
  </si>
  <si>
    <t>S1182</t>
  </si>
  <si>
    <t>Philemon Atta Gyamfi</t>
  </si>
  <si>
    <t>Abuakwa Adventist Preparatory School</t>
  </si>
  <si>
    <t>0246368804</t>
  </si>
  <si>
    <t>Classroom renovation Purchasing teaching materials (e.g. whiteboards, paper)</t>
  </si>
  <si>
    <t>S1183</t>
  </si>
  <si>
    <t>Isaac Amoah</t>
  </si>
  <si>
    <t>Dage Community School</t>
  </si>
  <si>
    <t>0244010643</t>
  </si>
  <si>
    <t>Additional classrooms Purchase land Wall repair/construction</t>
  </si>
  <si>
    <t>S1184</t>
  </si>
  <si>
    <t>Imaculator Osei Tutu Ofori</t>
  </si>
  <si>
    <t>Marie-Vine School</t>
  </si>
  <si>
    <t>0247846232</t>
  </si>
  <si>
    <t>0208183670</t>
  </si>
  <si>
    <t>Electricity Kitchen Laboratory Internet</t>
  </si>
  <si>
    <t>No ready yet</t>
  </si>
  <si>
    <t>S1185</t>
  </si>
  <si>
    <t>Kofi Anning</t>
  </si>
  <si>
    <t>Divine Preparatory School</t>
  </si>
  <si>
    <t>0248759545</t>
  </si>
  <si>
    <t>0277825588</t>
  </si>
  <si>
    <t>Electricity Kitchen Staff Office Library Fenced Wall/Gated</t>
  </si>
  <si>
    <t>Repair or purchase playground equipment</t>
  </si>
  <si>
    <t>S1186</t>
  </si>
  <si>
    <t>Catherine Archer</t>
  </si>
  <si>
    <t>Blue Print Academy</t>
  </si>
  <si>
    <t>0208095836</t>
  </si>
  <si>
    <t>0544970707</t>
  </si>
  <si>
    <t>Electricity Dining Hall Kitchen Staff Office Pitch/Playground</t>
  </si>
  <si>
    <t>Already paying a loan.</t>
  </si>
  <si>
    <t>S1187</t>
  </si>
  <si>
    <t>Rosina Oppong</t>
  </si>
  <si>
    <t>Ridge Valley Hybrid School</t>
  </si>
  <si>
    <t>0244758923</t>
  </si>
  <si>
    <t>S1188</t>
  </si>
  <si>
    <t>David Kwaku Darkwah</t>
  </si>
  <si>
    <t>Grace Second Home International School</t>
  </si>
  <si>
    <t>0548685925</t>
  </si>
  <si>
    <t>S1189</t>
  </si>
  <si>
    <t>Amoah Richard</t>
  </si>
  <si>
    <t>Amorich International School</t>
  </si>
  <si>
    <t>0554038874</t>
  </si>
  <si>
    <t>0208185532</t>
  </si>
  <si>
    <t>Renovate existing toilets Water storage repair/installation</t>
  </si>
  <si>
    <t>S1190</t>
  </si>
  <si>
    <t>Martha Opoku Kwarko</t>
  </si>
  <si>
    <t>Promising Kids Educational Centre</t>
  </si>
  <si>
    <t>0246397039</t>
  </si>
  <si>
    <t>S1191</t>
  </si>
  <si>
    <t>Mabel Savi</t>
  </si>
  <si>
    <t>Eldad Educational Complex</t>
  </si>
  <si>
    <t>0596531538</t>
  </si>
  <si>
    <t>0550354234</t>
  </si>
  <si>
    <t>S1192</t>
  </si>
  <si>
    <t>Kwabena Sarpong</t>
  </si>
  <si>
    <t>Abuakwa Church of Christ Experimental School</t>
  </si>
  <si>
    <t>0545173468</t>
  </si>
  <si>
    <t>Electricity Staff Office Library Internet Fenced Wall/Gated</t>
  </si>
  <si>
    <t>S1193</t>
  </si>
  <si>
    <t>Asare Broni Thomas</t>
  </si>
  <si>
    <t>Prince and Princess Academy</t>
  </si>
  <si>
    <t>0245187970</t>
  </si>
  <si>
    <t>ROPAG</t>
  </si>
  <si>
    <t>S1194</t>
  </si>
  <si>
    <t>Sarah Antwi</t>
  </si>
  <si>
    <t>Bethel Montessori school</t>
  </si>
  <si>
    <t>female</t>
  </si>
  <si>
    <t>0245353178</t>
  </si>
  <si>
    <t>00447425721302</t>
  </si>
  <si>
    <t>yes</t>
  </si>
  <si>
    <t>sole_proprietor</t>
  </si>
  <si>
    <t>no</t>
  </si>
  <si>
    <t>yearly</t>
  </si>
  <si>
    <t>concrete</t>
  </si>
  <si>
    <t>both_staffs_and_students</t>
  </si>
  <si>
    <t>pipe_onsite</t>
  </si>
  <si>
    <t>electricity kitchen staff_office internet fenced_wall_gated pitch_playground</t>
  </si>
  <si>
    <t>17</t>
  </si>
  <si>
    <t>cash_allowance_motivation staff_loan</t>
  </si>
  <si>
    <t>diploma</t>
  </si>
  <si>
    <t>got_other_employment</t>
  </si>
  <si>
    <t>20</t>
  </si>
  <si>
    <t>12</t>
  </si>
  <si>
    <t>school_proprietor</t>
  </si>
  <si>
    <t>not_applicable</t>
  </si>
  <si>
    <t>additional_classrooms renovate_existing_toilets purchase_or_repair_vehicle library_laboratory_renovation_constructi</t>
  </si>
  <si>
    <t>e8266f00-4aac-483e-870a-c42873e7d2d8</t>
  </si>
  <si>
    <t>submitted_via_web</t>
  </si>
  <si>
    <t>vFgxHpU9ZKq5XAZu6SsCcB</t>
  </si>
  <si>
    <t>S1195</t>
  </si>
  <si>
    <t>Anastasia Yeboah</t>
  </si>
  <si>
    <t>Blessed Family Montessori School</t>
  </si>
  <si>
    <t>0201850067</t>
  </si>
  <si>
    <t>Nasia</t>
  </si>
  <si>
    <t>monthly</t>
  </si>
  <si>
    <t>termly</t>
  </si>
  <si>
    <t>not_available</t>
  </si>
  <si>
    <t>masters</t>
  </si>
  <si>
    <t>to_further_their_education</t>
  </si>
  <si>
    <t>480</t>
  </si>
  <si>
    <t>additional_classrooms purchase_or_repair_vehicle purchase_land repair_or_purchase_playground_equipment</t>
  </si>
  <si>
    <t>4813f9b5-67cf-4d35-a098-17a1b791a3e9</t>
  </si>
  <si>
    <t>S1196</t>
  </si>
  <si>
    <t>Thomas Baafi &amp; Eva Baafi</t>
  </si>
  <si>
    <t>Favoured Scholars Academy</t>
  </si>
  <si>
    <t>male</t>
  </si>
  <si>
    <t>0540211458</t>
  </si>
  <si>
    <t>0533627411</t>
  </si>
  <si>
    <t>llc_partnership</t>
  </si>
  <si>
    <t>others__specify</t>
  </si>
  <si>
    <t>Mechanised borehole</t>
  </si>
  <si>
    <t>electricity kitchen fenced_wall_gated</t>
  </si>
  <si>
    <t>cash_allowance_motivation trainings transport</t>
  </si>
  <si>
    <t>bachelors</t>
  </si>
  <si>
    <t>low_remuneration_salary</t>
  </si>
  <si>
    <t>purchase_or_repair_vehicle purchase_land</t>
  </si>
  <si>
    <t>4f7bcb32-0140-401f-90fb-80c2495cac33</t>
  </si>
  <si>
    <t>S1197</t>
  </si>
  <si>
    <t>Sagoe Maame Efua</t>
  </si>
  <si>
    <t>Floreat South Hills Educational Complex</t>
  </si>
  <si>
    <t>0243874679</t>
  </si>
  <si>
    <t>don_t_know</t>
  </si>
  <si>
    <t>electricity dining_hall kitchen fenced_wall_gated</t>
  </si>
  <si>
    <t>cash_allowance_motivation trainings performance_incentives</t>
  </si>
  <si>
    <t>670</t>
  </si>
  <si>
    <t>additional_classrooms</t>
  </si>
  <si>
    <t>2fde5566-4996-426f-9763-b5b6e3924931</t>
  </si>
  <si>
    <t>S1198</t>
  </si>
  <si>
    <t>Frank Kwadwo Djan &amp; Nana Begyina Mensah</t>
  </si>
  <si>
    <t>Glory Valley School</t>
  </si>
  <si>
    <t>0536141603</t>
  </si>
  <si>
    <t>0594237305</t>
  </si>
  <si>
    <t>electricity fenced_wall_gated</t>
  </si>
  <si>
    <t>cash_allowance_motivation</t>
  </si>
  <si>
    <t>300</t>
  </si>
  <si>
    <t>additional_classrooms purchase_or_repair_vehicle purchase_land</t>
  </si>
  <si>
    <t>cb9813e5-d230-457c-9506-ba29d17788ef</t>
  </si>
  <si>
    <t>S1199</t>
  </si>
  <si>
    <t>Stephen Lamboh</t>
  </si>
  <si>
    <t>Godblessed - living waters exp. School</t>
  </si>
  <si>
    <t>0246345225</t>
  </si>
  <si>
    <t>well_onsite</t>
  </si>
  <si>
    <t>electricity kitchen staff_office library laboratory fenced_wall_gated</t>
  </si>
  <si>
    <t>18</t>
  </si>
  <si>
    <t>23</t>
  </si>
  <si>
    <t>cash_allowance_motivation staff_loan trainings performance_incentives</t>
  </si>
  <si>
    <t>8.5</t>
  </si>
  <si>
    <t>5.5</t>
  </si>
  <si>
    <t>external_auditors</t>
  </si>
  <si>
    <t>classroom_renovation renovate_existing_toilets purchase_or_repair_vehicle dormitory_renovation_construction library_laboratory_renovation_constructi</t>
  </si>
  <si>
    <t>8704a1a8-bc81-4816-bac0-c65bc1e083ba</t>
  </si>
  <si>
    <t>S1200</t>
  </si>
  <si>
    <t>Akosua Ahenewaa</t>
  </si>
  <si>
    <t>Honda Academy</t>
  </si>
  <si>
    <t>0240599289</t>
  </si>
  <si>
    <t>pipe_onsite well_onsite</t>
  </si>
  <si>
    <t>electricity kitchen library fenced_wall_gated pitch_playground</t>
  </si>
  <si>
    <t>9</t>
  </si>
  <si>
    <t>trainings</t>
  </si>
  <si>
    <t>500</t>
  </si>
  <si>
    <t>50</t>
  </si>
  <si>
    <t>Already paying loan</t>
  </si>
  <si>
    <t>a54c9be6-53f0-4a0c-b7bf-972584c9962a</t>
  </si>
  <si>
    <t>S1201</t>
  </si>
  <si>
    <t>Kwame Asuah</t>
  </si>
  <si>
    <t>Kingdom Souls Educational Centre</t>
  </si>
  <si>
    <t>0246122020</t>
  </si>
  <si>
    <t>0543369623</t>
  </si>
  <si>
    <t>electricity kitchen pitch_playground</t>
  </si>
  <si>
    <t>shs_leaver</t>
  </si>
  <si>
    <t>additional_classrooms purchase_or_repair_vehicle</t>
  </si>
  <si>
    <t>e05e7a93-8bd5-450e-91d2-7197047d9b3d</t>
  </si>
  <si>
    <t>S1202</t>
  </si>
  <si>
    <t>Yaw Nuamah Mensah</t>
  </si>
  <si>
    <t>Little Wonder Daycare</t>
  </si>
  <si>
    <t>0243381948</t>
  </si>
  <si>
    <t>0533210160</t>
  </si>
  <si>
    <t>only_school_owner_leader</t>
  </si>
  <si>
    <t>Distance to the workplace</t>
  </si>
  <si>
    <t>200</t>
  </si>
  <si>
    <t>none</t>
  </si>
  <si>
    <t>69496acb-f187-4d91-b99c-1931ee86025f</t>
  </si>
  <si>
    <t>S1203</t>
  </si>
  <si>
    <t>Faustina Apepare</t>
  </si>
  <si>
    <t>Rockies Praise Academy</t>
  </si>
  <si>
    <t>0244407149</t>
  </si>
  <si>
    <t>pipe_offsite others__specify</t>
  </si>
  <si>
    <t>Well ongoing</t>
  </si>
  <si>
    <t>570</t>
  </si>
  <si>
    <t>600</t>
  </si>
  <si>
    <t>additional_classrooms none</t>
  </si>
  <si>
    <t>Past experience</t>
  </si>
  <si>
    <t>1c626a87-55f2-48ff-b580-33b9995b5dfa</t>
  </si>
  <si>
    <t>S1204</t>
  </si>
  <si>
    <t>Buabeng Comfort</t>
  </si>
  <si>
    <t>Royal Comfort</t>
  </si>
  <si>
    <t>02436891871</t>
  </si>
  <si>
    <t>electricity internet</t>
  </si>
  <si>
    <t>120</t>
  </si>
  <si>
    <t>additional_classrooms classroom_renovation library_laboratory_renovation_constructi purchasing_teaching_materials__e_g__whit</t>
  </si>
  <si>
    <t>34c54322-2b59-41ec-b27a-5fe8c802f4fa</t>
  </si>
  <si>
    <t>S1205</t>
  </si>
  <si>
    <t>Afua Serwaa</t>
  </si>
  <si>
    <t>Swift Academy</t>
  </si>
  <si>
    <t>0208372049</t>
  </si>
  <si>
    <t>0559223289</t>
  </si>
  <si>
    <t>electricity kitchen boardinghouse_rooms laboratory internet fenced_wall_gated pitch_playground</t>
  </si>
  <si>
    <t>cash_allowance_motivation staff_loan trainings accommodation_rent</t>
  </si>
  <si>
    <t>post_secondary_cert_a</t>
  </si>
  <si>
    <t>22</t>
  </si>
  <si>
    <t>classroom_renovation renovate_or_build_canteen purchase_or_repair_vehicle water_storage_repair_installation repair_or_purchase_playground_equipment library_laboratory_renovation_constructi</t>
  </si>
  <si>
    <t>0ce20b57-b9b6-4b55-b0a9-8d730d6a7cf3</t>
  </si>
  <si>
    <t>Loan/Account ID</t>
  </si>
  <si>
    <t>Branch Code</t>
  </si>
  <si>
    <t>School_ID</t>
  </si>
  <si>
    <t>School_Name</t>
  </si>
  <si>
    <t>Loan Cycles</t>
  </si>
  <si>
    <t>Latest LoanDate</t>
  </si>
  <si>
    <t>DisbAmt</t>
  </si>
  <si>
    <t>Purpose</t>
  </si>
  <si>
    <t>GH0010030</t>
  </si>
  <si>
    <t>Abuakwa</t>
  </si>
  <si>
    <t>Amazing Power Academy 1</t>
  </si>
  <si>
    <t>Emmanuel Owusu Amoako</t>
  </si>
  <si>
    <t>Angelius School 1</t>
  </si>
  <si>
    <t>Rudolf Sidney Atadika</t>
  </si>
  <si>
    <t>LD1618600015</t>
  </si>
  <si>
    <t>S0026</t>
  </si>
  <si>
    <t>Big Apple International School 1</t>
  </si>
  <si>
    <t>Big Apple International School</t>
  </si>
  <si>
    <t>LD1425800076</t>
  </si>
  <si>
    <t>S0048</t>
  </si>
  <si>
    <t>Christ Kids Academy 1</t>
  </si>
  <si>
    <t>Christ Kids Academy</t>
  </si>
  <si>
    <t>LD1606900108</t>
  </si>
  <si>
    <t>Christ Kids Academy 2</t>
  </si>
  <si>
    <t>LD1724200002</t>
  </si>
  <si>
    <t>Christ Kids Academy 3</t>
  </si>
  <si>
    <t>LD1502100037</t>
  </si>
  <si>
    <t>S0057</t>
  </si>
  <si>
    <t>Christian Soldiers Academy 1</t>
  </si>
  <si>
    <t>Christian Soldiers A</t>
  </si>
  <si>
    <t>LD1535100042</t>
  </si>
  <si>
    <t>Christian Soldiers Academy 2</t>
  </si>
  <si>
    <t>WC</t>
  </si>
  <si>
    <t>LD1710300048</t>
  </si>
  <si>
    <t>S0501</t>
  </si>
  <si>
    <t>Corpus Christi Infants School 1</t>
  </si>
  <si>
    <t>Corpus Christi Infants School</t>
  </si>
  <si>
    <t>Corpus Christi Infants School 2</t>
  </si>
  <si>
    <t>Essel-Cudjoe Francisca</t>
  </si>
  <si>
    <t>LD1708700030</t>
  </si>
  <si>
    <t>S0502</t>
  </si>
  <si>
    <t>Diamond Link Academy 1</t>
  </si>
  <si>
    <t>Diamond Link Academy</t>
  </si>
  <si>
    <t>LD1717200045</t>
  </si>
  <si>
    <t>S0499</t>
  </si>
  <si>
    <t>Ebenezer International School 1</t>
  </si>
  <si>
    <t>Ebenezer International School</t>
  </si>
  <si>
    <t>Ellen White Education Complex 1</t>
  </si>
  <si>
    <t>Amoah Godfred</t>
  </si>
  <si>
    <t>Ellen White Education Complex 2</t>
  </si>
  <si>
    <t>Ellen White Education Complex 3</t>
  </si>
  <si>
    <t>Ellen White Education Complex 4</t>
  </si>
  <si>
    <t>EL-Soteria Academy 1</t>
  </si>
  <si>
    <t>Felicia Banahene</t>
  </si>
  <si>
    <t>EL-Soteria Academy 2</t>
  </si>
  <si>
    <t>EL-Soteria Academy 3</t>
  </si>
  <si>
    <t>LD1608900032</t>
  </si>
  <si>
    <t>S0527</t>
  </si>
  <si>
    <t>God First International School 1</t>
  </si>
  <si>
    <t>God First International Sch-Abuakwa</t>
  </si>
  <si>
    <t>GH0010026</t>
  </si>
  <si>
    <t>Golden Pen International Sch 1</t>
  </si>
  <si>
    <t>Great Academy Intl School 1</t>
  </si>
  <si>
    <t>Elizabeth Adu Yeboah</t>
  </si>
  <si>
    <t>Great Academy Intl School 2</t>
  </si>
  <si>
    <t>Great Academy Intl School 3</t>
  </si>
  <si>
    <t>Great Idahosa Model School 1</t>
  </si>
  <si>
    <t>Daniel Owusu</t>
  </si>
  <si>
    <t>Great Idahosa Model School 2</t>
  </si>
  <si>
    <t>LD1425800075</t>
  </si>
  <si>
    <t>S0138</t>
  </si>
  <si>
    <t>In Him Is Life International School 1</t>
  </si>
  <si>
    <t>Monica Osei Frimpong</t>
  </si>
  <si>
    <t>In Him Is Life International School 2</t>
  </si>
  <si>
    <t>In Him Is Life International School 3</t>
  </si>
  <si>
    <t>Kadus Sterm Academy 1</t>
  </si>
  <si>
    <t>LD1615400066</t>
  </si>
  <si>
    <t>S0507</t>
  </si>
  <si>
    <t>Kings &amp; Queens International School 1</t>
  </si>
  <si>
    <t>Kings &amp; Queens International School</t>
  </si>
  <si>
    <t>S0280</t>
  </si>
  <si>
    <t>Kwame Boamah Memorial School 1</t>
  </si>
  <si>
    <t>Owusu Boamahu Winfred</t>
  </si>
  <si>
    <t>Kwame Boamah Memorial School 2</t>
  </si>
  <si>
    <t>LD1616000037</t>
  </si>
  <si>
    <t>S0509</t>
  </si>
  <si>
    <t>Laboyd Academy 1</t>
  </si>
  <si>
    <t>Laboyd Academy</t>
  </si>
  <si>
    <t>LD1613800040</t>
  </si>
  <si>
    <t>S0510</t>
  </si>
  <si>
    <t>Living Jesus Academy 1</t>
  </si>
  <si>
    <t>Isaac Kwabena Frempong</t>
  </si>
  <si>
    <t>Living Jesus Academy 2</t>
  </si>
  <si>
    <t>Living Jesus Academy 3</t>
  </si>
  <si>
    <t>LD1613400064</t>
  </si>
  <si>
    <t>S0511</t>
  </si>
  <si>
    <t>Madonna Educational Complex 1</t>
  </si>
  <si>
    <t>Madonna Educational</t>
  </si>
  <si>
    <t>Maranatha Assemblies of God Academy 1</t>
  </si>
  <si>
    <t>Charles Akwasi Frimpong</t>
  </si>
  <si>
    <t>Maranatha Assemblies of God Academy 2</t>
  </si>
  <si>
    <t>Maranatha Assemblies of God Academy 3</t>
  </si>
  <si>
    <t>Mary-Fofie Memorial Int'l School 1</t>
  </si>
  <si>
    <t>LD1431000140</t>
  </si>
  <si>
    <t>S0178</t>
  </si>
  <si>
    <t>Millenium Educational Centre 1</t>
  </si>
  <si>
    <t>Millenium Educational Centre</t>
  </si>
  <si>
    <t>LD1721200062</t>
  </si>
  <si>
    <t>Millenium Educational Centre 2</t>
  </si>
  <si>
    <t>LD1422500082</t>
  </si>
  <si>
    <t>S0184</t>
  </si>
  <si>
    <t>Mothers Heart Educational Centre 1</t>
  </si>
  <si>
    <t>Mother'S Heart Edu Complex</t>
  </si>
  <si>
    <t>Pearl Education Complex 1</t>
  </si>
  <si>
    <t>Joseph Kessie</t>
  </si>
  <si>
    <t>Precious City Academy Limited 1</t>
  </si>
  <si>
    <t>Albert Nkrumah</t>
  </si>
  <si>
    <t>Precious City Academy Limited 2</t>
  </si>
  <si>
    <t>Precious City Academy Limited 3</t>
  </si>
  <si>
    <t>Precious City Academy Limited 4</t>
  </si>
  <si>
    <t>Prince of Peace Academy 1</t>
  </si>
  <si>
    <t>Princess Marie International  Sch 1</t>
  </si>
  <si>
    <t>Nana Ernest Aidoo</t>
  </si>
  <si>
    <t>Quality Educational Complex 1</t>
  </si>
  <si>
    <t>Quality Educational Complex 2</t>
  </si>
  <si>
    <t>LD1411300090</t>
  </si>
  <si>
    <t>S0288</t>
  </si>
  <si>
    <t>Reverence Academy 1</t>
  </si>
  <si>
    <t>Stephen Kwabena Adjei</t>
  </si>
  <si>
    <t>LD1534200083</t>
  </si>
  <si>
    <t>Reverence Academy 2</t>
  </si>
  <si>
    <t>LD1617600065</t>
  </si>
  <si>
    <t>Reverence Academy 3</t>
  </si>
  <si>
    <t>LD1709700063</t>
  </si>
  <si>
    <t>Reverence Academy 4</t>
  </si>
  <si>
    <t>Royal Educational Complex 1</t>
  </si>
  <si>
    <t>Benjamin Amankwaah</t>
  </si>
  <si>
    <t>Royal Educational Complex 2</t>
  </si>
  <si>
    <t>Royal Educational Complex 3</t>
  </si>
  <si>
    <t>Royal Educational Complex 4</t>
  </si>
  <si>
    <t>Royal Educational Complex 5</t>
  </si>
  <si>
    <t>School of Great Mercy Ltd 1</t>
  </si>
  <si>
    <t>Mercy Keteku Duah</t>
  </si>
  <si>
    <t>School of Great Mercy Ltd 2</t>
  </si>
  <si>
    <t>School of Great Mercy Ltd 3</t>
  </si>
  <si>
    <t>Seek Jesus First Edu. Centre 1</t>
  </si>
  <si>
    <t>Ebenezer Asare</t>
  </si>
  <si>
    <t>Seek Jesus First Edu. Centre 2</t>
  </si>
  <si>
    <t>Seek Jesus First Edu. Centre 3</t>
  </si>
  <si>
    <t>LD1324800003</t>
  </si>
  <si>
    <t>S0258</t>
  </si>
  <si>
    <t>St Michael Academy 1</t>
  </si>
  <si>
    <t>Michael Owusu</t>
  </si>
  <si>
    <t>LD1336500034</t>
  </si>
  <si>
    <t>St Michael Academy 2</t>
  </si>
  <si>
    <t>LD1419100043</t>
  </si>
  <si>
    <t>St Michael Academy 3</t>
  </si>
  <si>
    <t>LD1532400097</t>
  </si>
  <si>
    <t>St Michael Academy 4</t>
  </si>
  <si>
    <t>LD1622500038</t>
  </si>
  <si>
    <t>St Michael Academy 5</t>
  </si>
  <si>
    <t>LD1722300062</t>
  </si>
  <si>
    <t>St Michael Academy 6</t>
  </si>
  <si>
    <t>St Michael Academy 7</t>
  </si>
  <si>
    <t>St Michael Academy 8</t>
  </si>
  <si>
    <t>LD1402100044</t>
  </si>
  <si>
    <t>S0274</t>
  </si>
  <si>
    <t>The Saints International School 1</t>
  </si>
  <si>
    <t>Isaac Kyere</t>
  </si>
  <si>
    <t>LD1511300114</t>
  </si>
  <si>
    <t>The Saints International School 2</t>
  </si>
  <si>
    <t>LD1609700013</t>
  </si>
  <si>
    <t>The Saints International School 3</t>
  </si>
  <si>
    <t>LD1820000043</t>
  </si>
  <si>
    <t>The Saints International School 4</t>
  </si>
  <si>
    <t>The Saints International School 5</t>
  </si>
  <si>
    <t>The Saints International School 6</t>
  </si>
  <si>
    <t>The Saints International School 7</t>
  </si>
  <si>
    <t>The Saints International School 8</t>
  </si>
  <si>
    <t>True Love Intl School 1</t>
  </si>
  <si>
    <t>Dennis Antwi</t>
  </si>
  <si>
    <t>True Love Intl School 2</t>
  </si>
  <si>
    <t>True Love Intl School 3</t>
  </si>
  <si>
    <t>True Love Intl School 4</t>
  </si>
  <si>
    <t>Unique Haven Angels School 1</t>
  </si>
  <si>
    <t>Alber Asamoah Frimpong/Patrick Amuzu</t>
  </si>
  <si>
    <t>LD1331800097</t>
  </si>
  <si>
    <t>S0455</t>
  </si>
  <si>
    <t>Victory Of Christ Int. School 1</t>
  </si>
  <si>
    <t xml:space="preserve">Aryeetey Susana Akwele </t>
  </si>
  <si>
    <t>LD1436400008</t>
  </si>
  <si>
    <t>Victory Of Christ Int. School 2</t>
  </si>
  <si>
    <t>LD1623000005</t>
  </si>
  <si>
    <t>Victory Of Christ Int. School 3</t>
  </si>
  <si>
    <t>Victory Of Christ Int. School 4</t>
  </si>
  <si>
    <t>GH0010002</t>
  </si>
  <si>
    <t>Adum</t>
  </si>
  <si>
    <t>Abrafi Memorial School Ltd 1</t>
  </si>
  <si>
    <t>Buah Joseph Kofi</t>
  </si>
  <si>
    <t>Adonia Angels Academy Ltd 1</t>
  </si>
  <si>
    <t>Adonia Nyarko Amoah</t>
  </si>
  <si>
    <t>Adonia Angels Academy Ltd 2</t>
  </si>
  <si>
    <t>Adonia Angels Academy Ltd 3</t>
  </si>
  <si>
    <t>Aim High Educational Complex 1</t>
  </si>
  <si>
    <t>LD1627100025</t>
  </si>
  <si>
    <t>S0529</t>
  </si>
  <si>
    <t>Akadol Standard School 1</t>
  </si>
  <si>
    <t>Akadol Standard Scho</t>
  </si>
  <si>
    <t>LD1430800048</t>
  </si>
  <si>
    <t>S0013</t>
  </si>
  <si>
    <t>Alpha And Omega Educational Complex 1</t>
  </si>
  <si>
    <t>Alpha And Omega Educational Complex</t>
  </si>
  <si>
    <t>Amazing Grace Internatinal 1</t>
  </si>
  <si>
    <t>Amazing Grace Internatinal</t>
  </si>
  <si>
    <t>Amazing Grace Internatinal 2</t>
  </si>
  <si>
    <t>Anointed Jesus Grace Academy 1</t>
  </si>
  <si>
    <t>Joseph Addai Nimo</t>
  </si>
  <si>
    <t>Anointed Jesus Grace Academy 2</t>
  </si>
  <si>
    <t>Antosie Edu. Complex/Day Care Centre 1</t>
  </si>
  <si>
    <t>Anthony Osei</t>
  </si>
  <si>
    <t>Antosie Edu. Complex/Day Care Centre 2</t>
  </si>
  <si>
    <t>Antosie Edu. Complex/Day Care Centre 3</t>
  </si>
  <si>
    <t>Antosie Edu. Complex/Day Care Centre 4</t>
  </si>
  <si>
    <t>Antosie Edu. Complex/Day Care Centre 5</t>
  </si>
  <si>
    <t>Antosie Edu. Complex/Day Care Centre 6</t>
  </si>
  <si>
    <t>Antosie Edu. Complex/Day Care Centre 7</t>
  </si>
  <si>
    <t>Antosie Edu. Complex/Day Care Centre 8</t>
  </si>
  <si>
    <t>Apgyei Hybrid School 1</t>
  </si>
  <si>
    <t>Sarah Nyarko Mensah</t>
  </si>
  <si>
    <t>Aspire Royals Academy Ltd 1</t>
  </si>
  <si>
    <t>Rita Amankwah Frema</t>
  </si>
  <si>
    <t>Aspire Royals Academy Ltd 2</t>
  </si>
  <si>
    <t>Aspire Royals Academy Ltd 3</t>
  </si>
  <si>
    <t>Atwima Royal Kids Academy 1</t>
  </si>
  <si>
    <t>Hannah Baffour Awuah</t>
  </si>
  <si>
    <t>Atwima Royal Kids Academy 2</t>
  </si>
  <si>
    <t>S0292</t>
  </si>
  <si>
    <t>Baah Memorial School 1</t>
  </si>
  <si>
    <t>Ahwirenbea Baah Lily</t>
  </si>
  <si>
    <t>Baah Memorial School 10</t>
  </si>
  <si>
    <t>Baah Memorial School 11</t>
  </si>
  <si>
    <t>Baah Memorial School 12</t>
  </si>
  <si>
    <t>Baah Memorial School 13</t>
  </si>
  <si>
    <t>Baah Memorial School 14</t>
  </si>
  <si>
    <t>Baah Memorial School 15</t>
  </si>
  <si>
    <t>Baah Memorial School 16</t>
  </si>
  <si>
    <t>Baah Memorial School 2</t>
  </si>
  <si>
    <t>Baah Memorial School 3</t>
  </si>
  <si>
    <t>Baah Memorial School 4</t>
  </si>
  <si>
    <t>Baah Memorial School 5</t>
  </si>
  <si>
    <t>LD1512000054</t>
  </si>
  <si>
    <t>Baah Memorial School 6</t>
  </si>
  <si>
    <t>LD1602200083</t>
  </si>
  <si>
    <t>Baah Memorial School 7</t>
  </si>
  <si>
    <t>LD1629400002</t>
  </si>
  <si>
    <t>Baah Memorial School 8</t>
  </si>
  <si>
    <t>Baah Memorial School 9</t>
  </si>
  <si>
    <t>LD1423400018</t>
  </si>
  <si>
    <t>S0022</t>
  </si>
  <si>
    <t>Beit-Or Preparatory School 1</t>
  </si>
  <si>
    <t>Beit - Or Preparator</t>
  </si>
  <si>
    <t>LD1611300072</t>
  </si>
  <si>
    <t>S0031</t>
  </si>
  <si>
    <t>Boakye Memorial International School 1</t>
  </si>
  <si>
    <t>Boakye Memorial Inte</t>
  </si>
  <si>
    <t>Boakye Memorial International School 2</t>
  </si>
  <si>
    <t>Boakye Memorial Inter. School Ltd</t>
  </si>
  <si>
    <t>LD1422500024</t>
  </si>
  <si>
    <t>S0032</t>
  </si>
  <si>
    <t>Boateng Memorial School 1</t>
  </si>
  <si>
    <t>Ernest Adjei Boateng</t>
  </si>
  <si>
    <t>LD1534200049</t>
  </si>
  <si>
    <t>Boateng Memorial School 2</t>
  </si>
  <si>
    <t>LD1721500030</t>
  </si>
  <si>
    <t>Boateng Memorial School 3</t>
  </si>
  <si>
    <t>Boateng Memorial School 4</t>
  </si>
  <si>
    <t>Boateng Memorial School 5</t>
  </si>
  <si>
    <t>Boateng Memorial School 6</t>
  </si>
  <si>
    <t>Boateng Memorial School 7</t>
  </si>
  <si>
    <t>LD1533700054</t>
  </si>
  <si>
    <t>S0034</t>
  </si>
  <si>
    <t>Brain Power Standard School 1</t>
  </si>
  <si>
    <t>Brain Power Standard School</t>
  </si>
  <si>
    <t>S0755</t>
  </si>
  <si>
    <t>Caroclaire Academy 1</t>
  </si>
  <si>
    <t>Daniel Kwame Attakorah</t>
  </si>
  <si>
    <t>Caroclaire Academy 2</t>
  </si>
  <si>
    <t>Christ Is The Answer 1</t>
  </si>
  <si>
    <t>Christ Is The Answer</t>
  </si>
  <si>
    <t>Collins Preparatory Sch 1</t>
  </si>
  <si>
    <t>Emmanuel Cobbinah</t>
  </si>
  <si>
    <t>S0324</t>
  </si>
  <si>
    <t>Creative Galaxy Academy 1</t>
  </si>
  <si>
    <t>Creative Galaxy Acad</t>
  </si>
  <si>
    <t>Creative Galaxy Academy 2</t>
  </si>
  <si>
    <t>Creative Galaxy Academy 3</t>
  </si>
  <si>
    <t>LD1515600006</t>
  </si>
  <si>
    <t>Creative Galaxy Academy 4</t>
  </si>
  <si>
    <t>DABS Angels Community School 1</t>
  </si>
  <si>
    <t>Augustine Boakye</t>
  </si>
  <si>
    <t>De Addo's Montessori School 1</t>
  </si>
  <si>
    <t>Rose Kweiba Addo</t>
  </si>
  <si>
    <t>De Addo's Montessori School 2</t>
  </si>
  <si>
    <t>De Addo's Montessori School 3</t>
  </si>
  <si>
    <t>De Addo's Montessori School 4</t>
  </si>
  <si>
    <t>De Addo's Montessori School 5</t>
  </si>
  <si>
    <t>De-Joint Christian Academy 1</t>
  </si>
  <si>
    <t>Mercy Whyte</t>
  </si>
  <si>
    <t>DE-MAY Montessori School 1</t>
  </si>
  <si>
    <t>Salomey Sosu</t>
  </si>
  <si>
    <t>DE-MAY Montessori School 2</t>
  </si>
  <si>
    <t>DE-MAY Montessori School 3</t>
  </si>
  <si>
    <t>Destiny Experimental Academy 1</t>
  </si>
  <si>
    <t>Abdul-Mumuni Adamu</t>
  </si>
  <si>
    <t>Diamond Star Montessori School 1</t>
  </si>
  <si>
    <t>Richard Kusi</t>
  </si>
  <si>
    <t>LD1502800083</t>
  </si>
  <si>
    <t>S0070</t>
  </si>
  <si>
    <t>Divine Emmanuel Academy 1</t>
  </si>
  <si>
    <t>Divine Emmanuel Acad</t>
  </si>
  <si>
    <t>LD1817300089</t>
  </si>
  <si>
    <t>Divine Emmanuel Academy 2</t>
  </si>
  <si>
    <t>Divine Emmanuel Academy</t>
  </si>
  <si>
    <t>Divine Patience Academy 1</t>
  </si>
  <si>
    <t>Bless Kwabena Boafo</t>
  </si>
  <si>
    <t>Divine Patience Academy 2</t>
  </si>
  <si>
    <t>Divine Patience Academy 3</t>
  </si>
  <si>
    <t>Divine Power Academy 1</t>
  </si>
  <si>
    <t>John Boateng</t>
  </si>
  <si>
    <t>Divine Power Academy 2</t>
  </si>
  <si>
    <t>Divine Power Academy 3</t>
  </si>
  <si>
    <t>Dorsh International 1</t>
  </si>
  <si>
    <t xml:space="preserve">Dorsh International </t>
  </si>
  <si>
    <t>LD1428800018</t>
  </si>
  <si>
    <t>S0074</t>
  </si>
  <si>
    <t>Doxa Royal Educational Complex 1</t>
  </si>
  <si>
    <t>Benedicta Boakye</t>
  </si>
  <si>
    <t>Doxa Royal Educational Complex 2</t>
  </si>
  <si>
    <t>Doxa Royal Educational Complex 3</t>
  </si>
  <si>
    <t>Doxa Royal Educational Complex 4</t>
  </si>
  <si>
    <t>Education Is Life Academy 1</t>
  </si>
  <si>
    <t>Education Is Life Academy</t>
  </si>
  <si>
    <t>LD1614100059</t>
  </si>
  <si>
    <t>S0086</t>
  </si>
  <si>
    <t>Ellen G. White Preparatory &amp; Jhs 1</t>
  </si>
  <si>
    <t>Robert Osei Asibey</t>
  </si>
  <si>
    <t>LD1704600010</t>
  </si>
  <si>
    <t>Ellen G. White Preparatory &amp; Jhs 2</t>
  </si>
  <si>
    <t>LD1728500117</t>
  </si>
  <si>
    <t>Ellen G. White Preparatory &amp; Jhs 3</t>
  </si>
  <si>
    <t>LD1801500040</t>
  </si>
  <si>
    <t>Ellen G. White Preparatory &amp; Jhs 4</t>
  </si>
  <si>
    <t>LD1824100104</t>
  </si>
  <si>
    <t>Ellen G. White Preparatory &amp; Jhs 5</t>
  </si>
  <si>
    <t>Ellen G. White Preparatory &amp; Jhs 6</t>
  </si>
  <si>
    <t>Ellen G. White Preparatory &amp; Jhs 7</t>
  </si>
  <si>
    <t>Ellen G. White Preparatory &amp; Jhs 8</t>
  </si>
  <si>
    <t>Ellen G. White Preparatory &amp; Jhs 9</t>
  </si>
  <si>
    <t>Elohim International 1</t>
  </si>
  <si>
    <t xml:space="preserve">Elohim International </t>
  </si>
  <si>
    <t>Emmanuel-Excellence Edu Comp 1</t>
  </si>
  <si>
    <t>Ercom School of Excellence 1</t>
  </si>
  <si>
    <t>Eric Sarfo</t>
  </si>
  <si>
    <t>Ercom School of Excellence 2</t>
  </si>
  <si>
    <t>Flodick Paradise Learning Centre Ltd 1</t>
  </si>
  <si>
    <t>Florence Nsiah</t>
  </si>
  <si>
    <t>Fransta Kiddy Care 1</t>
  </si>
  <si>
    <t>Fransta Kiddy Care 2</t>
  </si>
  <si>
    <t>LD1430900076</t>
  </si>
  <si>
    <t>S0094</t>
  </si>
  <si>
    <t>Friver Early Childhood Centre 1</t>
  </si>
  <si>
    <t>Friver Early Childhood Centre</t>
  </si>
  <si>
    <t>LD1507900071</t>
  </si>
  <si>
    <t>Friver Early Childhood Centre 2</t>
  </si>
  <si>
    <t>Get Unique Academy 1</t>
  </si>
  <si>
    <t>Getrude Nartey</t>
  </si>
  <si>
    <t>Get Unique Academy 2</t>
  </si>
  <si>
    <t>S0298</t>
  </si>
  <si>
    <t>God First Intl School - Tweapease 1</t>
  </si>
  <si>
    <t>God First International School</t>
  </si>
  <si>
    <t>LD1426100079</t>
  </si>
  <si>
    <t>S0104</t>
  </si>
  <si>
    <t>God First Prep/JHS 1</t>
  </si>
  <si>
    <t>LD1611800035</t>
  </si>
  <si>
    <t>God First Prep/JHS 2</t>
  </si>
  <si>
    <t>LD1632300095</t>
  </si>
  <si>
    <t>God First Prep/JHS 3</t>
  </si>
  <si>
    <t>Godblessed Living Waters Sch 1</t>
  </si>
  <si>
    <t>Stephen Seidu Lamboh</t>
  </si>
  <si>
    <t>God's Grace International 1</t>
  </si>
  <si>
    <t>Kwadwo Asante-Krobea</t>
  </si>
  <si>
    <t>God's Grace International 2</t>
  </si>
  <si>
    <t>LD1519800077</t>
  </si>
  <si>
    <t>S0108</t>
  </si>
  <si>
    <t>God'S Way Academy 1</t>
  </si>
  <si>
    <t>God'S Way Academy</t>
  </si>
  <si>
    <t>God'S Way Academy 10</t>
  </si>
  <si>
    <t>Fiadzoe Getrude</t>
  </si>
  <si>
    <t>God'S Way Academy 11</t>
  </si>
  <si>
    <t>LD1527900039</t>
  </si>
  <si>
    <t>God'S Way Academy 2</t>
  </si>
  <si>
    <t>LD1611800081</t>
  </si>
  <si>
    <t>God'S Way Academy 3</t>
  </si>
  <si>
    <t>LD1617300003</t>
  </si>
  <si>
    <t>God'S Way Academy 4</t>
  </si>
  <si>
    <t>LD1633500119</t>
  </si>
  <si>
    <t>God'S Way Academy 5</t>
  </si>
  <si>
    <t>LD1821200048</t>
  </si>
  <si>
    <t>God'S Way Academy 6</t>
  </si>
  <si>
    <t>God'S Way Academy 7</t>
  </si>
  <si>
    <t>God'S Way Academy 8</t>
  </si>
  <si>
    <t>God'S Way Academy 9</t>
  </si>
  <si>
    <t>Golden Key Academy 1</t>
  </si>
  <si>
    <t>George Kwaku Appiah</t>
  </si>
  <si>
    <t>S0752</t>
  </si>
  <si>
    <t>Good Foundation Intl. 1</t>
  </si>
  <si>
    <t>Emmanuel Kwabena Asare</t>
  </si>
  <si>
    <t>Grace Ebenezer School 1</t>
  </si>
  <si>
    <t>Emmanuel Marfo Gyamfi</t>
  </si>
  <si>
    <t>S0659</t>
  </si>
  <si>
    <t>Happyland School 1</t>
  </si>
  <si>
    <t>Dorcas &amp; Randolf Forson</t>
  </si>
  <si>
    <t>Happyland School 2</t>
  </si>
  <si>
    <t>Happyland School 3</t>
  </si>
  <si>
    <t>Havil Hybrain School Complex 1</t>
  </si>
  <si>
    <t>Patricia Mensah</t>
  </si>
  <si>
    <t>Haylee Montessori School 1</t>
  </si>
  <si>
    <t>John Hayford Duah-Darkwah</t>
  </si>
  <si>
    <t>Heavenly Peace Academy 1</t>
  </si>
  <si>
    <t>Appiah Emmanuel Dankwah</t>
  </si>
  <si>
    <t>Holy City International 1</t>
  </si>
  <si>
    <t>Holy City International</t>
  </si>
  <si>
    <t>Holy Mount Zion Model School Ltd 1</t>
  </si>
  <si>
    <t>Mawuli Kosi Hotor</t>
  </si>
  <si>
    <t>Holy Mount Zion Model School Ltd 2</t>
  </si>
  <si>
    <t>Holy Mount Zion Model School Ltd 3</t>
  </si>
  <si>
    <t>Holy Mount Zion Model School Ltd 4</t>
  </si>
  <si>
    <t>Holy Mount Zion Model School Ltd 5</t>
  </si>
  <si>
    <t>LD1323100064</t>
  </si>
  <si>
    <t>S0431</t>
  </si>
  <si>
    <t>Hope For Ghana Educational Complex 1</t>
  </si>
  <si>
    <t>Hope For Ghana Edu Complex</t>
  </si>
  <si>
    <t>LD1532100019</t>
  </si>
  <si>
    <t>S0531</t>
  </si>
  <si>
    <t>Humble Treat Academy 1</t>
  </si>
  <si>
    <t>Perina Twum</t>
  </si>
  <si>
    <t>LD1611000025</t>
  </si>
  <si>
    <t>Humble Treat Academy 2</t>
  </si>
  <si>
    <t>LD1636500008</t>
  </si>
  <si>
    <t>Humble Treat Academy 3</t>
  </si>
  <si>
    <t>LD1706900039</t>
  </si>
  <si>
    <t>Humble Treat Academy 4</t>
  </si>
  <si>
    <t>LD1717800005</t>
  </si>
  <si>
    <t>Humble Treat Academy 5</t>
  </si>
  <si>
    <t>LD1735600039</t>
  </si>
  <si>
    <t>Humble Treat Academy 6</t>
  </si>
  <si>
    <t>LD1817000076</t>
  </si>
  <si>
    <t>Humble Treat Academy 7</t>
  </si>
  <si>
    <t>Humble Treat Academy 8</t>
  </si>
  <si>
    <t>Hybrid Stepping Stone Christian Ltd 1</t>
  </si>
  <si>
    <t>Prof. Nana Ewusi-Mensah</t>
  </si>
  <si>
    <t>Ike-Lin Living Waters Academy 1</t>
  </si>
  <si>
    <t>Asumadu Sakyi Isaac</t>
  </si>
  <si>
    <t>Ike-Lin Living Waters Academy 2</t>
  </si>
  <si>
    <t>Ike-Lin Living Waters Academy 3</t>
  </si>
  <si>
    <t>Integrity Montessori School 1</t>
  </si>
  <si>
    <t>Tawiah Agyemang</t>
  </si>
  <si>
    <t>Integrity Montessori School 2</t>
  </si>
  <si>
    <t>Integrity Montessori School 3</t>
  </si>
  <si>
    <t>Integrity Montessori School 4</t>
  </si>
  <si>
    <t>Integrity Montessori School 5</t>
  </si>
  <si>
    <t>Jaden's Cradle Montessori 1</t>
  </si>
  <si>
    <t>Bernice Sumaila</t>
  </si>
  <si>
    <t>LD1412800038</t>
  </si>
  <si>
    <t>S0140</t>
  </si>
  <si>
    <t>Jehovah Nissi Academy 1</t>
  </si>
  <si>
    <t>Joyce Dagba</t>
  </si>
  <si>
    <t>LD1532300046</t>
  </si>
  <si>
    <t>Jehovah Nissi Academy 2</t>
  </si>
  <si>
    <t>Jehovah Nissi Academy 3</t>
  </si>
  <si>
    <t>Jensla School Complex 1</t>
  </si>
  <si>
    <t>Solomon Salalipaak Suuk</t>
  </si>
  <si>
    <t>JP Glorious Educational Complex 1</t>
  </si>
  <si>
    <t>Joseph Paintsil &amp; Paulina Paintsil</t>
  </si>
  <si>
    <t>JP Glorious Educational Complex 2</t>
  </si>
  <si>
    <t>JP Glorious Educational Complex 3</t>
  </si>
  <si>
    <t>LD1504200075</t>
  </si>
  <si>
    <t>S0148</t>
  </si>
  <si>
    <t>Judave International School 1</t>
  </si>
  <si>
    <t>Judave International School</t>
  </si>
  <si>
    <t>Juliet Asantewaa Memorial sch 1</t>
  </si>
  <si>
    <t>James Osei Assibey</t>
  </si>
  <si>
    <t>Kids Pride Academy 1</t>
  </si>
  <si>
    <t>Osei Tutu Agyemang</t>
  </si>
  <si>
    <t>Kids Pride Academy 2</t>
  </si>
  <si>
    <t>Kids Pride Academy 3</t>
  </si>
  <si>
    <t>LD1721400002</t>
  </si>
  <si>
    <t>S0675</t>
  </si>
  <si>
    <t>Leesbon Educational Center 1</t>
  </si>
  <si>
    <t>Lydia &amp; Edmund Debrah</t>
  </si>
  <si>
    <t>Leesbon Educational Center 2</t>
  </si>
  <si>
    <t>Leesbon Educational Center 3</t>
  </si>
  <si>
    <t>Leesbon Educational Center 4</t>
  </si>
  <si>
    <t>Leesbon Educational Center 5</t>
  </si>
  <si>
    <t>Liz International Montessori Ltd 1</t>
  </si>
  <si>
    <t>Barbara Oteng Antwi</t>
  </si>
  <si>
    <t>Lucas B Model School 1</t>
  </si>
  <si>
    <t>Faustina Boateng</t>
  </si>
  <si>
    <t>Lucas B Model School 2</t>
  </si>
  <si>
    <t>Lucas B Model School 3</t>
  </si>
  <si>
    <t>LD1323100054</t>
  </si>
  <si>
    <t>S0435</t>
  </si>
  <si>
    <t>Manuel International School 1</t>
  </si>
  <si>
    <t>Manuel Intl School</t>
  </si>
  <si>
    <t>LD1423300018</t>
  </si>
  <si>
    <t>Manuel International School 2</t>
  </si>
  <si>
    <t>LD1410000042</t>
  </si>
  <si>
    <t>S0220</t>
  </si>
  <si>
    <t>Margaret Pokuaa Educational Complex 1</t>
  </si>
  <si>
    <t>Margaret Pokuaa</t>
  </si>
  <si>
    <t>LD1623000017</t>
  </si>
  <si>
    <t>Margaret Pokuaa Educational Complex 2</t>
  </si>
  <si>
    <t>Margaret Pokuaa Educational Complex 3</t>
  </si>
  <si>
    <t>Margaret Pokuaa Educational Complex 4</t>
  </si>
  <si>
    <t>Mary Gold Montessori School 1</t>
  </si>
  <si>
    <t>Thomas Osei-tutu</t>
  </si>
  <si>
    <t>LD1529300024</t>
  </si>
  <si>
    <t>S0172</t>
  </si>
  <si>
    <t>Matnanzi God Is Able Int School 1</t>
  </si>
  <si>
    <t>Matnanzi God Is Able</t>
  </si>
  <si>
    <t>LD1633400064</t>
  </si>
  <si>
    <t>Matnanzi God Is Able Int School 2</t>
  </si>
  <si>
    <t>LD1533400078</t>
  </si>
  <si>
    <t>S0174</t>
  </si>
  <si>
    <t>Mercy Angels International School 1</t>
  </si>
  <si>
    <t>Mercy Angels Intl</t>
  </si>
  <si>
    <t>Mercy Angels International School 2</t>
  </si>
  <si>
    <t>Ofori Atta Mercy</t>
  </si>
  <si>
    <t>Mercy Angels International School 3</t>
  </si>
  <si>
    <t>Ofori Atta , Mercy</t>
  </si>
  <si>
    <t>Modern Bridge Montessori School 1</t>
  </si>
  <si>
    <t>Ishaq Yakubu</t>
  </si>
  <si>
    <t>Modern Bridge Montessori School 2</t>
  </si>
  <si>
    <t>LD1404900022</t>
  </si>
  <si>
    <t>S0183</t>
  </si>
  <si>
    <t>Most High Model School 1</t>
  </si>
  <si>
    <t>Most High Model School</t>
  </si>
  <si>
    <t>LD1432300155</t>
  </si>
  <si>
    <t>Most High Model School 2</t>
  </si>
  <si>
    <t>LD1525200044</t>
  </si>
  <si>
    <t>Most High Model School 3</t>
  </si>
  <si>
    <t>Nayaak Blessed School 1</t>
  </si>
  <si>
    <t>Tyson Agyeman Ababio</t>
  </si>
  <si>
    <t>Nayaak Blessed School 2</t>
  </si>
  <si>
    <t>LD1502800088</t>
  </si>
  <si>
    <t>S0194</t>
  </si>
  <si>
    <t>New Harvard International School 1</t>
  </si>
  <si>
    <t>New Harvard International School</t>
  </si>
  <si>
    <t>LD1532200070</t>
  </si>
  <si>
    <t>New Harvard International School 2</t>
  </si>
  <si>
    <t>LD1503300030</t>
  </si>
  <si>
    <t>S0196</t>
  </si>
  <si>
    <t>New Life Christian Academy 1</t>
  </si>
  <si>
    <t>New Life Christian Academy</t>
  </si>
  <si>
    <t>LD1508500135</t>
  </si>
  <si>
    <t>New Life Christian Academy 2</t>
  </si>
  <si>
    <t>LD1608200008</t>
  </si>
  <si>
    <t>New Life Christian Academy 3</t>
  </si>
  <si>
    <t>LD1615900047</t>
  </si>
  <si>
    <t>New Life Christian Academy 4</t>
  </si>
  <si>
    <t>LD1623000055</t>
  </si>
  <si>
    <t>New Life Christian Academy 5</t>
  </si>
  <si>
    <t>LD1703100061</t>
  </si>
  <si>
    <t>New Life Christian Academy 6</t>
  </si>
  <si>
    <t>LD1727100009</t>
  </si>
  <si>
    <t>New Life Christian Academy 7</t>
  </si>
  <si>
    <t>New Natal International School 1</t>
  </si>
  <si>
    <t>LA-USS Ibrahim Zachariya</t>
  </si>
  <si>
    <t>New Natal International School 2</t>
  </si>
  <si>
    <t>New Shining Star Academy 1</t>
  </si>
  <si>
    <t>New Shining Star Academy 2</t>
  </si>
  <si>
    <t>Nich Excel Community School 1</t>
  </si>
  <si>
    <t>Ernest Kwarteng</t>
  </si>
  <si>
    <t>Nich Excel Community School 2</t>
  </si>
  <si>
    <t>Nich Excel Community School 3</t>
  </si>
  <si>
    <t>Nich Excel Community School 4</t>
  </si>
  <si>
    <t>Nich Excel Community School 5</t>
  </si>
  <si>
    <t>Nich Excel Community School 6</t>
  </si>
  <si>
    <t>Nich Excel Community School 7</t>
  </si>
  <si>
    <t>LD1614500084</t>
  </si>
  <si>
    <t>S0536</t>
  </si>
  <si>
    <t>Noble Blessing Academy 1</t>
  </si>
  <si>
    <t>Noble Blessing Acade</t>
  </si>
  <si>
    <t>Nurtured Royals Community Sch 1</t>
  </si>
  <si>
    <t>Jackline Oppong Yeboah</t>
  </si>
  <si>
    <t>Nurtured Royals Community Sch 2</t>
  </si>
  <si>
    <t>Nurtured Royals Community Sch 3</t>
  </si>
  <si>
    <t>Nurtured Royals Community Sch 4</t>
  </si>
  <si>
    <t>Nurtured Royals Community Sch 5</t>
  </si>
  <si>
    <t>Oak Hills School 1</t>
  </si>
  <si>
    <t>Yvonne Frimpong-Sarfo</t>
  </si>
  <si>
    <t>Oak Hills School 2</t>
  </si>
  <si>
    <t>Oak Hills School 3</t>
  </si>
  <si>
    <t>Ohenewaa Education Complex 1</t>
  </si>
  <si>
    <t>Felix Kwakye Akowuah</t>
  </si>
  <si>
    <t>Ohenewaa Education Complex 2</t>
  </si>
  <si>
    <t>Ohenewaa Education Complex 3</t>
  </si>
  <si>
    <t>Ohenewaa Education Complex 4</t>
  </si>
  <si>
    <t>LD1402200039</t>
  </si>
  <si>
    <t>S0437</t>
  </si>
  <si>
    <t>Orgina Preparatory School- 1</t>
  </si>
  <si>
    <t>Orgina Preparatory</t>
  </si>
  <si>
    <t>S0332</t>
  </si>
  <si>
    <t>Peace Land International School 1</t>
  </si>
  <si>
    <t>Peaceland Preparatory</t>
  </si>
  <si>
    <t>Peace Land International School 2</t>
  </si>
  <si>
    <t>LD1326800049</t>
  </si>
  <si>
    <t>Peace Land International School 3</t>
  </si>
  <si>
    <t>Peace on Earth Academy 1</t>
  </si>
  <si>
    <t>Simon Aloonga</t>
  </si>
  <si>
    <t>Peace on Earth Academy 2</t>
  </si>
  <si>
    <t>Pella Model School Ltd 1</t>
  </si>
  <si>
    <t>Timothy Gyebi</t>
  </si>
  <si>
    <t>Pella Model School Ltd 2</t>
  </si>
  <si>
    <t>Pella Model School Ltd 3</t>
  </si>
  <si>
    <t>Pella Model School Ltd 4</t>
  </si>
  <si>
    <t>Peniel Vascity Edu. Complex 1</t>
  </si>
  <si>
    <t>Rev. Ezekiel Kwadwo Boadu</t>
  </si>
  <si>
    <t>Peniel Vascity Edu. Complex 2</t>
  </si>
  <si>
    <t>Peniel Vascity Edu. Complex 3</t>
  </si>
  <si>
    <t>Peniel Vascity Edu. Complex 4</t>
  </si>
  <si>
    <t>Peniel Vascity Edu. Complex 5</t>
  </si>
  <si>
    <t>Pentecostal Model School 1</t>
  </si>
  <si>
    <t>Eric Boachie</t>
  </si>
  <si>
    <t>Pentecostal Model School 2</t>
  </si>
  <si>
    <t>Pentecostal Model School 3</t>
  </si>
  <si>
    <t>Pentecostal Model School 4</t>
  </si>
  <si>
    <t>Perfect Land Academy 1</t>
  </si>
  <si>
    <t>Elizabeth Wilson-Sey</t>
  </si>
  <si>
    <t>Pope John Paul Intl school 1</t>
  </si>
  <si>
    <t>Christantus Vuure</t>
  </si>
  <si>
    <t>Precious Gift Educational Complex 1</t>
  </si>
  <si>
    <t>Appiah Kubi Obed</t>
  </si>
  <si>
    <t>Precious Gift Educational Complex 2</t>
  </si>
  <si>
    <t>Precious Gift Educational Complex 3</t>
  </si>
  <si>
    <t>Precious Gift Educational Complex 4</t>
  </si>
  <si>
    <t>Precious Gift Educational Complex 5</t>
  </si>
  <si>
    <t>Prince of Zion Academy Ltd 1</t>
  </si>
  <si>
    <t>Kwame Boanti</t>
  </si>
  <si>
    <t>Prince of Zion Academy Ltd 2</t>
  </si>
  <si>
    <t>Princewill Academy 1</t>
  </si>
  <si>
    <t>Andrew Evans Alayun</t>
  </si>
  <si>
    <t>S0333</t>
  </si>
  <si>
    <t>Queen Esther Academy 1</t>
  </si>
  <si>
    <t>The Hill Top Queen Esther Acad</t>
  </si>
  <si>
    <t>LD1402800019</t>
  </si>
  <si>
    <t>Queen Esther Academy 2</t>
  </si>
  <si>
    <t>LD1530900054</t>
  </si>
  <si>
    <t>Queen Esther Academy 3</t>
  </si>
  <si>
    <t>LD1733800002</t>
  </si>
  <si>
    <t>Queen Esther Academy 4</t>
  </si>
  <si>
    <t>The Hill Top Queen Esther Academy</t>
  </si>
  <si>
    <t>LD1607400031</t>
  </si>
  <si>
    <t>S0229</t>
  </si>
  <si>
    <t>Rabbi Academy 1</t>
  </si>
  <si>
    <t>Angela Butler</t>
  </si>
  <si>
    <t>LD1720000040</t>
  </si>
  <si>
    <t>Rabbi Academy 2</t>
  </si>
  <si>
    <t>Rabbi Academy 3</t>
  </si>
  <si>
    <t>Rabbi Academy 4</t>
  </si>
  <si>
    <t>Rabbi Academy 5</t>
  </si>
  <si>
    <t>LD1630000092</t>
  </si>
  <si>
    <t>S0538</t>
  </si>
  <si>
    <t>Real Life Educational Centre 1</t>
  </si>
  <si>
    <t>Real Life Educational Centre</t>
  </si>
  <si>
    <t>LD1725000039</t>
  </si>
  <si>
    <t>Real Life Educational Centre 2</t>
  </si>
  <si>
    <t>Red Hill Academy 1</t>
  </si>
  <si>
    <t>Edward Kofi Nti</t>
  </si>
  <si>
    <t>Red Hill Academy 2</t>
  </si>
  <si>
    <t>Romesco International 1</t>
  </si>
  <si>
    <t>Romesco International</t>
  </si>
  <si>
    <t>Rose Adu Memorial Sch Complex 1</t>
  </si>
  <si>
    <t>Robert Adu Asabere</t>
  </si>
  <si>
    <t>Royal Jessar School Ltd 1</t>
  </si>
  <si>
    <t>Royal Life Montessori 1</t>
  </si>
  <si>
    <t>Opoku Mensah Abroampah</t>
  </si>
  <si>
    <t>Royal Life Montessori 2</t>
  </si>
  <si>
    <t>Royal Masters Academy 1</t>
  </si>
  <si>
    <t>Joseph Agyemang</t>
  </si>
  <si>
    <t>Rupa Brighter Kids Academy 1</t>
  </si>
  <si>
    <t>LD1611200053</t>
  </si>
  <si>
    <t>S0539</t>
  </si>
  <si>
    <t>Seat Of Wisdom School 1</t>
  </si>
  <si>
    <t>Jude Boateng</t>
  </si>
  <si>
    <t>LD1802500041</t>
  </si>
  <si>
    <t>Seat Of Wisdom School 2</t>
  </si>
  <si>
    <t>Seat Of Wisdom School 3</t>
  </si>
  <si>
    <t>Seat Of Wisdom School 4</t>
  </si>
  <si>
    <t>Seat Of Wisdom School 5</t>
  </si>
  <si>
    <t>Seat Of Wisdom School 6</t>
  </si>
  <si>
    <t>LD1725600007</t>
  </si>
  <si>
    <t>S0250</t>
  </si>
  <si>
    <t>Solid Foundation Academy 1</t>
  </si>
  <si>
    <t>Solid Foundation Academy</t>
  </si>
  <si>
    <t>Special Light Intl School 1</t>
  </si>
  <si>
    <t>Eugene Thompson Opare Addo</t>
  </si>
  <si>
    <t>Special Light Intl School 2</t>
  </si>
  <si>
    <t>Special Light Intl School 3</t>
  </si>
  <si>
    <t>LD1435200005</t>
  </si>
  <si>
    <t>S0255</t>
  </si>
  <si>
    <t>St Isaac International School 1</t>
  </si>
  <si>
    <t>St Isaac International School</t>
  </si>
  <si>
    <t>LD1526800081</t>
  </si>
  <si>
    <t>St Isaac International School 2</t>
  </si>
  <si>
    <t>St Julius Academy 1</t>
  </si>
  <si>
    <t>St Julius Academy</t>
  </si>
  <si>
    <t>St. Maries Early Learning Centre 1</t>
  </si>
  <si>
    <t>Regina Oduro</t>
  </si>
  <si>
    <t>St. Maries Early Learning Centre 2</t>
  </si>
  <si>
    <t>St. Maries Early Learning Centre 3</t>
  </si>
  <si>
    <t>St. Maries Early Learning Centre 4</t>
  </si>
  <si>
    <t>St. Xystus Model School 1</t>
  </si>
  <si>
    <t>Lawrence Tuffour</t>
  </si>
  <si>
    <t>Star Kids Preparatory School 1</t>
  </si>
  <si>
    <t>Stevejoy Bethel Academy 1</t>
  </si>
  <si>
    <t>Joyce Nsiah</t>
  </si>
  <si>
    <t>LD1434300008</t>
  </si>
  <si>
    <t>S0270</t>
  </si>
  <si>
    <t>Sunny Ville School 1</t>
  </si>
  <si>
    <t>Sunny Ville School</t>
  </si>
  <si>
    <t>LD1614100062</t>
  </si>
  <si>
    <t>Sunny Ville School 2</t>
  </si>
  <si>
    <t>LD1719500027</t>
  </si>
  <si>
    <t>Sunny Ville School 3</t>
  </si>
  <si>
    <t>Sunny Ville School 4</t>
  </si>
  <si>
    <t>Sunny Ville School Limited</t>
  </si>
  <si>
    <t>LD1621000044</t>
  </si>
  <si>
    <t>S0271</t>
  </si>
  <si>
    <t>Sunrise International School 1</t>
  </si>
  <si>
    <t>Sunrise International School</t>
  </si>
  <si>
    <t>Sunset Mount Sschool Ltd 1</t>
  </si>
  <si>
    <t>Gladys Boamah-Duku</t>
  </si>
  <si>
    <t>Sunset Mount Sschool Ltd 2</t>
  </si>
  <si>
    <t>Sunset Mount Sschool Ltd 3</t>
  </si>
  <si>
    <t>Sweet Grace School Complex 1</t>
  </si>
  <si>
    <t>Sweet Grace School Complex 2</t>
  </si>
  <si>
    <t>Swift Academy 1</t>
  </si>
  <si>
    <t>Afia Serwaa</t>
  </si>
  <si>
    <t>The Plumb &amp; Wallach Christian Sch 1</t>
  </si>
  <si>
    <t>Rev. Joel Asare Kyemanteng</t>
  </si>
  <si>
    <t>Three Brothers Educational Comp 1</t>
  </si>
  <si>
    <t>Anthony Fourdjor</t>
  </si>
  <si>
    <t>Three Brothers Educational Comp 2</t>
  </si>
  <si>
    <t>Total Child Academy 1</t>
  </si>
  <si>
    <t>Total Child Academy</t>
  </si>
  <si>
    <t>Trede Adventist Prep. School 1</t>
  </si>
  <si>
    <t>Stephen Oduro</t>
  </si>
  <si>
    <t>Trede Adventist Prep. School 2</t>
  </si>
  <si>
    <t>Trede Adventist Prep. School 3</t>
  </si>
  <si>
    <t>Trede Adventist Prep. School 4</t>
  </si>
  <si>
    <t>Trede Adventist Prep. School 5</t>
  </si>
  <si>
    <t>Trinity Care International 1</t>
  </si>
  <si>
    <t>Trinity Care International</t>
  </si>
  <si>
    <t>UBIS Academy 1</t>
  </si>
  <si>
    <t>Vision Link 1</t>
  </si>
  <si>
    <t xml:space="preserve">Vision Link </t>
  </si>
  <si>
    <t>Vision Link 2</t>
  </si>
  <si>
    <t>Winners Joy Edu. Complex 1</t>
  </si>
  <si>
    <t>Yahweh Praise Academy 1</t>
  </si>
  <si>
    <t>Raymond Owusu Senior</t>
  </si>
  <si>
    <t>Yahweh Praise Academy 2</t>
  </si>
  <si>
    <t>Yahweh Praise Academy 3</t>
  </si>
  <si>
    <t>Yoland Educational Comp. 1</t>
  </si>
  <si>
    <t>Yolanda Larbi Kyerewaa</t>
  </si>
  <si>
    <t>Zara Educational Complex 1</t>
  </si>
  <si>
    <t>Hakeem Haruna Hamisu</t>
  </si>
  <si>
    <t>Zara Educational Complex 2</t>
  </si>
  <si>
    <t>Zara Educational Complex 3</t>
  </si>
  <si>
    <t>GH0010011</t>
  </si>
  <si>
    <t>Atebubu</t>
  </si>
  <si>
    <t>Amazing Grace International School 1</t>
  </si>
  <si>
    <t>Asamoah Emmanuel Hayford</t>
  </si>
  <si>
    <t>Anointing Grace School 1</t>
  </si>
  <si>
    <t>Kyeraa Efua Grace</t>
  </si>
  <si>
    <t>Ejura Beloved New Era Intl. Sch 1</t>
  </si>
  <si>
    <t>Peter Philip</t>
  </si>
  <si>
    <t>Ejura Beloved New Era Intl. Sch 2</t>
  </si>
  <si>
    <t>Ejura Beloved New Era Intl. Sch 3</t>
  </si>
  <si>
    <t>Excel Preparatory School 1</t>
  </si>
  <si>
    <t>Bawa Dafum</t>
  </si>
  <si>
    <t>Excel Preparatory School 2</t>
  </si>
  <si>
    <t>Excel Preparatory School 3</t>
  </si>
  <si>
    <t>Mighty Ebenezer Preparatory 1</t>
  </si>
  <si>
    <t>Mighty Ebenezer Preparatory</t>
  </si>
  <si>
    <t>GH0010044</t>
  </si>
  <si>
    <t>Berekum</t>
  </si>
  <si>
    <t>S0632</t>
  </si>
  <si>
    <t>Berekum Paradise School 1</t>
  </si>
  <si>
    <t>Paradise School</t>
  </si>
  <si>
    <t>S0666</t>
  </si>
  <si>
    <t>Divine Care Scholars 1</t>
  </si>
  <si>
    <t>Mensah Ofori Vivian</t>
  </si>
  <si>
    <t>Divine Care Scholars 2</t>
  </si>
  <si>
    <t>S0619</t>
  </si>
  <si>
    <t>Divine Rhema Educational Complex 1</t>
  </si>
  <si>
    <t>Abdulai Alhaji</t>
  </si>
  <si>
    <t>Divine Rhema Educational Complex 2</t>
  </si>
  <si>
    <t>Divine Rhema Educational Complex 3</t>
  </si>
  <si>
    <t>Divine Rhema Educational Complex 4</t>
  </si>
  <si>
    <t>Divine Rhema Educational Complex 5</t>
  </si>
  <si>
    <t>Dreamers International Sch 1</t>
  </si>
  <si>
    <t>Ofori Akwan Frank</t>
  </si>
  <si>
    <t>Dreamers International Sch 2</t>
  </si>
  <si>
    <t>Dreamers International Sch 3</t>
  </si>
  <si>
    <t>Dreamers International Sch 4</t>
  </si>
  <si>
    <t>Glorious King Preparatory &amp; JHS 1</t>
  </si>
  <si>
    <t>Emmanuel Oppong Kusi</t>
  </si>
  <si>
    <t>S0635</t>
  </si>
  <si>
    <t>God'S Way Academy - Berekum 1</t>
  </si>
  <si>
    <t>Osei Kyeremaa, Ernestina</t>
  </si>
  <si>
    <t>God'S Way Academy - Berekum 2</t>
  </si>
  <si>
    <t>God'S Way Academy - Berekum 3</t>
  </si>
  <si>
    <t>Grace Creche &amp; Preparatory Sch 1</t>
  </si>
  <si>
    <t>Ps. Badu  Gyekye Kwame</t>
  </si>
  <si>
    <t>S0627</t>
  </si>
  <si>
    <t>Highgate Educational Complex 1</t>
  </si>
  <si>
    <t>Augustine Attah Ofosu</t>
  </si>
  <si>
    <t>Highgate Educational Complex 2</t>
  </si>
  <si>
    <t>Highgate Educational Complex (now Augustine's Agape Sch of Excellence) 3</t>
  </si>
  <si>
    <t>Jamdede Christ The King Academy 1</t>
  </si>
  <si>
    <t>Nuama Boateng</t>
  </si>
  <si>
    <t>Jesus Preparatory 1</t>
  </si>
  <si>
    <t>Jesus Preparatory</t>
  </si>
  <si>
    <t>LD1421000087</t>
  </si>
  <si>
    <t>S0160</t>
  </si>
  <si>
    <t>Life Of Holiness Prep And Jhs 1</t>
  </si>
  <si>
    <t>Life Of Holiness Pre</t>
  </si>
  <si>
    <t>LD1630100096</t>
  </si>
  <si>
    <t>Life Of Holiness Prep And Jhs 2</t>
  </si>
  <si>
    <t>Life Of Holiness Prep And Jhs</t>
  </si>
  <si>
    <t>LD1811400003</t>
  </si>
  <si>
    <t>Life Of Holiness Prep And Jhs 3</t>
  </si>
  <si>
    <t>LD1813800002</t>
  </si>
  <si>
    <t>S0676</t>
  </si>
  <si>
    <t>Light International School 1</t>
  </si>
  <si>
    <t>Acquah Ebenezer Jnr</t>
  </si>
  <si>
    <t>Light International School 2</t>
  </si>
  <si>
    <t>Light International School 3</t>
  </si>
  <si>
    <t>Light International School 4</t>
  </si>
  <si>
    <t>Peace International - Jinijini 1</t>
  </si>
  <si>
    <t>Peace International - Jinijini</t>
  </si>
  <si>
    <t>LD1421900007</t>
  </si>
  <si>
    <t>S0240</t>
  </si>
  <si>
    <t>Sabwill Educational Complex 1</t>
  </si>
  <si>
    <t>Sabwill Educational</t>
  </si>
  <si>
    <t>LD1811400004</t>
  </si>
  <si>
    <t>Sabwill Educational Complex 2</t>
  </si>
  <si>
    <t>Sabwill Educational Complex</t>
  </si>
  <si>
    <t>Sikanko Living Grace Intl School 1</t>
  </si>
  <si>
    <t>Ankomah Simon</t>
  </si>
  <si>
    <t>S0629</t>
  </si>
  <si>
    <t>Stopover World Preparatory School 1</t>
  </si>
  <si>
    <t>Kyere Korang Prince</t>
  </si>
  <si>
    <t>Stopover World Preparatory School 2</t>
  </si>
  <si>
    <t>Stopover World Preparatory School 3</t>
  </si>
  <si>
    <t>S0636</t>
  </si>
  <si>
    <t>Tonyin Preparatory School 1</t>
  </si>
  <si>
    <t>Bravo, Tony</t>
  </si>
  <si>
    <t>Tonyin Preparatory School 2</t>
  </si>
  <si>
    <t>Tonyin Preparatory School 3</t>
  </si>
  <si>
    <t>S0638</t>
  </si>
  <si>
    <t>Unbreakable Faith Academy 1</t>
  </si>
  <si>
    <t>Unbreakable Faith Academy</t>
  </si>
  <si>
    <t>Victory Vision International 1</t>
  </si>
  <si>
    <t>Victory Vision</t>
  </si>
  <si>
    <t>LD1733400118</t>
  </si>
  <si>
    <t>S0620</t>
  </si>
  <si>
    <t>Yahweh Educational Complex 1</t>
  </si>
  <si>
    <t>Yeboah Ruth &amp; Gyabaa</t>
  </si>
  <si>
    <t>LD1810900003</t>
  </si>
  <si>
    <t>Yahweh Educational Complex 2</t>
  </si>
  <si>
    <t>Yahweh Educational Complex 3</t>
  </si>
  <si>
    <t>Yahweh Educational Complex 4</t>
  </si>
  <si>
    <t>Yahweh Educational Complex 5</t>
  </si>
  <si>
    <t>LD1426700007</t>
  </si>
  <si>
    <t>GH0010031</t>
  </si>
  <si>
    <t>Bibiani</t>
  </si>
  <si>
    <t>S0133</t>
  </si>
  <si>
    <t>Holiness Preparatory And Jhs 1</t>
  </si>
  <si>
    <t>Holiness Preparatory</t>
  </si>
  <si>
    <t>LD1607600026</t>
  </si>
  <si>
    <t>Holiness Preparatory And Jhs 2</t>
  </si>
  <si>
    <t>LD1813600072</t>
  </si>
  <si>
    <t>Holiness Preparatory And Jhs 3</t>
  </si>
  <si>
    <t>Holiness Preparatory And Jhs</t>
  </si>
  <si>
    <t>LD1808700112</t>
  </si>
  <si>
    <t>Holiness Preparatory And Jhs 4</t>
  </si>
  <si>
    <t>Holiness Preparatory And Jhs 5</t>
  </si>
  <si>
    <t>LD1515200074</t>
  </si>
  <si>
    <t>S0149</t>
  </si>
  <si>
    <t>Kan Do It Standard School 1</t>
  </si>
  <si>
    <t>Donkor Kennedy</t>
  </si>
  <si>
    <t>Kan Do It Standard School 10</t>
  </si>
  <si>
    <t>LD1533100005</t>
  </si>
  <si>
    <t>Kan Do It Standard School 2</t>
  </si>
  <si>
    <t>LD1716300074</t>
  </si>
  <si>
    <t>Kan Do It Standard School 3</t>
  </si>
  <si>
    <t>LD1722200066</t>
  </si>
  <si>
    <t>Kan Do It Standard School 4</t>
  </si>
  <si>
    <t>LD1731400036</t>
  </si>
  <si>
    <t>Kan Do It Standard School 5</t>
  </si>
  <si>
    <t>Kan Do It Standard School 6</t>
  </si>
  <si>
    <t>Kan Do It Standard School 7</t>
  </si>
  <si>
    <t>Kan Do It Standard School 8</t>
  </si>
  <si>
    <t>Kan Do It Standard School 9</t>
  </si>
  <si>
    <t>GH0010015</t>
  </si>
  <si>
    <t>Bolga</t>
  </si>
  <si>
    <t>Anapo Academy 1</t>
  </si>
  <si>
    <t>Anapo Academy</t>
  </si>
  <si>
    <t>Bongo Zion Intl 1</t>
  </si>
  <si>
    <t>Bongo Zion Intl</t>
  </si>
  <si>
    <t>Daana Academy 1</t>
  </si>
  <si>
    <t>Daana Academy</t>
  </si>
  <si>
    <t>Daana Academy 2</t>
  </si>
  <si>
    <t>Daana Academy 3</t>
  </si>
  <si>
    <t>Good Friends International 1</t>
  </si>
  <si>
    <t>Good Friends International</t>
  </si>
  <si>
    <t>S0359</t>
  </si>
  <si>
    <t>Great Vision Academy 1</t>
  </si>
  <si>
    <t>Adams Akurumolga</t>
  </si>
  <si>
    <t>Great Vision Academy 2</t>
  </si>
  <si>
    <t>Great Vision Academy 3</t>
  </si>
  <si>
    <t>LD1601300041</t>
  </si>
  <si>
    <t>Great Vision Academy 4</t>
  </si>
  <si>
    <t>Great Vision Academy 5</t>
  </si>
  <si>
    <t>Joy Preparatory 1</t>
  </si>
  <si>
    <t>Joy Preparatory</t>
  </si>
  <si>
    <t>S0361</t>
  </si>
  <si>
    <t>Lawdong International School 1</t>
  </si>
  <si>
    <t>Lawdong Int.Sch( Ata</t>
  </si>
  <si>
    <t>LD1305900202</t>
  </si>
  <si>
    <t>Lawdong International School 2</t>
  </si>
  <si>
    <t>S0362</t>
  </si>
  <si>
    <t>Moonlight International School 1</t>
  </si>
  <si>
    <t>Moonlight Int. Sch(L</t>
  </si>
  <si>
    <t>Moonlight International School 2</t>
  </si>
  <si>
    <t>Moonlight International School 3</t>
  </si>
  <si>
    <t>Moonlight International School 4</t>
  </si>
  <si>
    <t>LD1326800078</t>
  </si>
  <si>
    <t>Moonlight International School 5</t>
  </si>
  <si>
    <t>Success International 1</t>
  </si>
  <si>
    <t>Success International</t>
  </si>
  <si>
    <t>LD1718100121</t>
  </si>
  <si>
    <t>GH0010005</t>
  </si>
  <si>
    <t>Cape Coast</t>
  </si>
  <si>
    <t>S0008</t>
  </si>
  <si>
    <t>Adom Memorial Day Care 1</t>
  </si>
  <si>
    <t>Adom Memorial Day Care</t>
  </si>
  <si>
    <t>LD1708300007</t>
  </si>
  <si>
    <t>S0011</t>
  </si>
  <si>
    <t>Aikins International School 1</t>
  </si>
  <si>
    <t>Aikins International School</t>
  </si>
  <si>
    <t>LD1730300003</t>
  </si>
  <si>
    <t>Aikins International School 2</t>
  </si>
  <si>
    <t>Aikins International School 3</t>
  </si>
  <si>
    <t>Ntsiful Aikins Robert</t>
  </si>
  <si>
    <t>Aikins International School 4</t>
  </si>
  <si>
    <t>Aikins International School 5</t>
  </si>
  <si>
    <t>Aikins International School 6</t>
  </si>
  <si>
    <t>Aikins International School 7</t>
  </si>
  <si>
    <t>Aikins International School 8</t>
  </si>
  <si>
    <t>LD1611600005</t>
  </si>
  <si>
    <t>S0012</t>
  </si>
  <si>
    <t>Alice Elite Academy 1</t>
  </si>
  <si>
    <t>Alice Amankrah</t>
  </si>
  <si>
    <t>Alice Elite Academy 2</t>
  </si>
  <si>
    <t>LD1635800082</t>
  </si>
  <si>
    <t>S0556</t>
  </si>
  <si>
    <t>Annette Preparatory School 1</t>
  </si>
  <si>
    <t>Annette Preparatory School</t>
  </si>
  <si>
    <t>LD1726800014</t>
  </si>
  <si>
    <t>Annette Preparatory School 2</t>
  </si>
  <si>
    <t>LD1811300031</t>
  </si>
  <si>
    <t>Annette Preparatory School 3</t>
  </si>
  <si>
    <t>Annette Preparatory School 4</t>
  </si>
  <si>
    <t>Nyarkoh Joseph Kwesi</t>
  </si>
  <si>
    <t>Annette Preparatory School 5</t>
  </si>
  <si>
    <t>Annette Preparatory School 6</t>
  </si>
  <si>
    <t>Annette Preparatory School 7</t>
  </si>
  <si>
    <t>LD1627000014</t>
  </si>
  <si>
    <t>S0550</t>
  </si>
  <si>
    <t>Anointing Grace Redeemer Prep &amp; Jhs 1</t>
  </si>
  <si>
    <t>Anointing Grace Redeemer Prep &amp; Jhs</t>
  </si>
  <si>
    <t>LD1717900001</t>
  </si>
  <si>
    <t>Anointing Grace Redeemer Prep &amp; Jhs 2</t>
  </si>
  <si>
    <t>Asebu Oxford Academy Ltd 1</t>
  </si>
  <si>
    <t>Moses Kofi Ola Akande</t>
  </si>
  <si>
    <t>Asebu Oxford Academy Ltd 2</t>
  </si>
  <si>
    <t>Asebu Oxford Academy Ltd 3</t>
  </si>
  <si>
    <t>LD1624900072</t>
  </si>
  <si>
    <t>S0033</t>
  </si>
  <si>
    <t>Boss International School 1</t>
  </si>
  <si>
    <t>Boss International School</t>
  </si>
  <si>
    <t>LD1708600004</t>
  </si>
  <si>
    <t>Boss International School 2</t>
  </si>
  <si>
    <t>LD1617600053</t>
  </si>
  <si>
    <t>S0053</t>
  </si>
  <si>
    <t>Christ The King Intl School - Assin Bereku 1</t>
  </si>
  <si>
    <t>Christ The King Intl School - Assin Bereku</t>
  </si>
  <si>
    <t>LD1822200008</t>
  </si>
  <si>
    <t>S0075</t>
  </si>
  <si>
    <t>Dream City Academy 1</t>
  </si>
  <si>
    <t>Dream City Academy</t>
  </si>
  <si>
    <t>LD1604600109</t>
  </si>
  <si>
    <t>S0080</t>
  </si>
  <si>
    <t>Ecole Francaise School 1</t>
  </si>
  <si>
    <t>Ama Atta Sagoe</t>
  </si>
  <si>
    <t>LD1824200022</t>
  </si>
  <si>
    <t>Ecole Francaise School 2</t>
  </si>
  <si>
    <t>Ecole Francaise School 3</t>
  </si>
  <si>
    <t>LD1520300015</t>
  </si>
  <si>
    <t>S0083</t>
  </si>
  <si>
    <t>Ekon Joy Preparatory School 1</t>
  </si>
  <si>
    <t>Ekon Joy Preparatory School</t>
  </si>
  <si>
    <t>LD1636500024</t>
  </si>
  <si>
    <t>Ekon Joy Preparatory School 2</t>
  </si>
  <si>
    <t>LD1802400018</t>
  </si>
  <si>
    <t>Ekon Joy Preparatory School 3</t>
  </si>
  <si>
    <t>LD1608900012</t>
  </si>
  <si>
    <t>S0088</t>
  </si>
  <si>
    <t>Emmanuel Memorial Academy 1</t>
  </si>
  <si>
    <t>Emmanuel Memorial Academy</t>
  </si>
  <si>
    <t>LD1729100011</t>
  </si>
  <si>
    <t>Emmanuel Memorial Academy 2</t>
  </si>
  <si>
    <t>Entsua-Mensah Preparatory Sch 1</t>
  </si>
  <si>
    <t>Patrick E. Entsua-Mensah</t>
  </si>
  <si>
    <t>Entsua-Mensah Preparatory Sch 2</t>
  </si>
  <si>
    <t>LD1633500116</t>
  </si>
  <si>
    <t>S0105</t>
  </si>
  <si>
    <t>God Is Good Educational Centre 1</t>
  </si>
  <si>
    <t>God Is Good Educational Centre</t>
  </si>
  <si>
    <t>LD1720500033</t>
  </si>
  <si>
    <t>God Is Good Educational Centre 2</t>
  </si>
  <si>
    <t>LD1635800077</t>
  </si>
  <si>
    <t>S0555</t>
  </si>
  <si>
    <t>His Kind Mercy Schools 1</t>
  </si>
  <si>
    <t>His Kind Mercy Schools</t>
  </si>
  <si>
    <t>LD1736100009</t>
  </si>
  <si>
    <t>His Kind Mercy Schools 2</t>
  </si>
  <si>
    <t>LD1816900093</t>
  </si>
  <si>
    <t>His Kind Mercy Schools 3</t>
  </si>
  <si>
    <t>His Kind Mercy Schools 4</t>
  </si>
  <si>
    <t>His Kind Mercy School</t>
  </si>
  <si>
    <t>LD1624900041</t>
  </si>
  <si>
    <t>S0135</t>
  </si>
  <si>
    <t>Holy Family Academy 1</t>
  </si>
  <si>
    <t>Holy Family Academy</t>
  </si>
  <si>
    <t>LD1604900019</t>
  </si>
  <si>
    <t>S0202</t>
  </si>
  <si>
    <t>New World International School 1</t>
  </si>
  <si>
    <t>New World International School</t>
  </si>
  <si>
    <t>LD1628800020</t>
  </si>
  <si>
    <t>New World International School 2</t>
  </si>
  <si>
    <t>LD1728900018</t>
  </si>
  <si>
    <t>S0566</t>
  </si>
  <si>
    <t>Oxford Preparatory School-Kissi 1</t>
  </si>
  <si>
    <t>Oxford Preparatory School-Kissi</t>
  </si>
  <si>
    <t>LD1636500025</t>
  </si>
  <si>
    <t>S0561</t>
  </si>
  <si>
    <t>Peace Complex School 1</t>
  </si>
  <si>
    <t>Dadzie Isaac</t>
  </si>
  <si>
    <t>LD1726100002</t>
  </si>
  <si>
    <t>Peace Complex School 2</t>
  </si>
  <si>
    <t>LD1821800027</t>
  </si>
  <si>
    <t>Peace Complex School 3</t>
  </si>
  <si>
    <t>Peace Complex School 4</t>
  </si>
  <si>
    <t>Peace Complex School 5</t>
  </si>
  <si>
    <t>Peace Complex School 6</t>
  </si>
  <si>
    <t>Peace Complex School 7</t>
  </si>
  <si>
    <t>LD1728600111</t>
  </si>
  <si>
    <t>S0216</t>
  </si>
  <si>
    <t>Pecom Maranatha International School 1</t>
  </si>
  <si>
    <t>Peterkin Afful</t>
  </si>
  <si>
    <t>LD1732400006</t>
  </si>
  <si>
    <t>Pecom Maranatha International School 2</t>
  </si>
  <si>
    <t>Pecom Maranatha International School 3</t>
  </si>
  <si>
    <t>Pecom Maranatha International School 4</t>
  </si>
  <si>
    <t>LD1611600002</t>
  </si>
  <si>
    <t>S0243</t>
  </si>
  <si>
    <t>Saviour Grammar School 1</t>
  </si>
  <si>
    <t>Saviour Grammar School</t>
  </si>
  <si>
    <t>LD1622500035</t>
  </si>
  <si>
    <t>S0264</t>
  </si>
  <si>
    <t>Star of Good Hope Prep 1</t>
  </si>
  <si>
    <t>Star Of Good Hope Preparatory School</t>
  </si>
  <si>
    <t>LD1734700025</t>
  </si>
  <si>
    <t>Star of Good Hope Prep 2</t>
  </si>
  <si>
    <t>GH0010023</t>
  </si>
  <si>
    <t>Central Mkt</t>
  </si>
  <si>
    <t>Lucky Child Day Care 1</t>
  </si>
  <si>
    <t xml:space="preserve">Lucky Child Day Care </t>
  </si>
  <si>
    <t>Lucky Child Day Care 2</t>
  </si>
  <si>
    <t>LD1621500008</t>
  </si>
  <si>
    <t>Ellis Avenue</t>
  </si>
  <si>
    <t>S0004</t>
  </si>
  <si>
    <t>A+ Hybrid Montessori School 1</t>
  </si>
  <si>
    <t>A+ Hybrid Montessori School</t>
  </si>
  <si>
    <t>Almighty Educational Complex 1</t>
  </si>
  <si>
    <t>Amazing Future Scholars Academy 1</t>
  </si>
  <si>
    <t>Frank Owusu-Boakye</t>
  </si>
  <si>
    <t>Amazing Future Scholars Academy 2</t>
  </si>
  <si>
    <t>Augustma Educational Complex 1</t>
  </si>
  <si>
    <t>Prince Charles Mensah</t>
  </si>
  <si>
    <t>Bright Beginning School 1</t>
  </si>
  <si>
    <t>Emelia Osei</t>
  </si>
  <si>
    <t>Brilliant Brain School 1</t>
  </si>
  <si>
    <t>Bubbly Academy Ltd. 1</t>
  </si>
  <si>
    <t>Francisca Obeng Pediator</t>
  </si>
  <si>
    <t>Divine Peace School 1</t>
  </si>
  <si>
    <t>Rev. Johnny Torgbo</t>
  </si>
  <si>
    <t>Ebegrace Zion School 1</t>
  </si>
  <si>
    <t>Ebegrace Zion School 2</t>
  </si>
  <si>
    <t>Ebegrace Zion School 3</t>
  </si>
  <si>
    <t>Fredora's Academy 1</t>
  </si>
  <si>
    <t>Grandma's House Academy</t>
  </si>
  <si>
    <t>Huggy Royal Academy 1</t>
  </si>
  <si>
    <t>Huggy Royal Academy 2</t>
  </si>
  <si>
    <t>Ideas Academy 1</t>
  </si>
  <si>
    <t>Anthony Amoah</t>
  </si>
  <si>
    <t>Justice International School 1</t>
  </si>
  <si>
    <t>KAAS Montessori School 1</t>
  </si>
  <si>
    <t>KAAS Montessori School 2</t>
  </si>
  <si>
    <t>KAAS Montessori School 3</t>
  </si>
  <si>
    <t>KAAS Montessori School 4</t>
  </si>
  <si>
    <t>KAAS Montessori School 5</t>
  </si>
  <si>
    <t>KAAS Montessori School 6</t>
  </si>
  <si>
    <t>Messiah Montessori School 1</t>
  </si>
  <si>
    <t>Maxwell Adu Baffoe</t>
  </si>
  <si>
    <t>New Ave Maria Preparatory Sch 1</t>
  </si>
  <si>
    <t>Irene Adubiri-Gyimah</t>
  </si>
  <si>
    <t>Paradise Unique Edu Complex 1</t>
  </si>
  <si>
    <t>Agyemang Badu</t>
  </si>
  <si>
    <t>LD1724300019</t>
  </si>
  <si>
    <t>S0232</t>
  </si>
  <si>
    <t>Remsa Pre School 1</t>
  </si>
  <si>
    <t>Remsa Pre School</t>
  </si>
  <si>
    <t>Royal Wisdom School 1</t>
  </si>
  <si>
    <t>Peter Appiah</t>
  </si>
  <si>
    <t>Soul Angels Montessori Sch 1</t>
  </si>
  <si>
    <t>Rev. Blessing Mensah</t>
  </si>
  <si>
    <t>Supreme Messiah School 1</t>
  </si>
  <si>
    <t>Supreme Messiah School 2</t>
  </si>
  <si>
    <t>Supreme Messiah School 3</t>
  </si>
  <si>
    <t>Wonderful Jesus International Sch 1</t>
  </si>
  <si>
    <t>GH0010025</t>
  </si>
  <si>
    <t>Goaso</t>
  </si>
  <si>
    <t>S0660</t>
  </si>
  <si>
    <t>Anointed Educational Complex 1</t>
  </si>
  <si>
    <t>Anointed Education Comlex</t>
  </si>
  <si>
    <t>Asunafo Edu Complex 1</t>
  </si>
  <si>
    <t>Asunafo Edu Complex</t>
  </si>
  <si>
    <t>Ayomso Hope Prep 1</t>
  </si>
  <si>
    <t>Ayomso Hope Prepartory</t>
  </si>
  <si>
    <t>Deeper Life Basic School - MIM 1</t>
  </si>
  <si>
    <t>Samuel Obeng</t>
  </si>
  <si>
    <t>Deeper Life Basic School - MIM 2</t>
  </si>
  <si>
    <t>Deeper Life Basic School - MIM 3</t>
  </si>
  <si>
    <t>GH0010024</t>
  </si>
  <si>
    <t>S0390</t>
  </si>
  <si>
    <t>Evergreen Preparatory 1</t>
  </si>
  <si>
    <t>Mim Evergreen Preaptory Sch</t>
  </si>
  <si>
    <t>LD1629300012</t>
  </si>
  <si>
    <t>Evergreen Preparatory 2</t>
  </si>
  <si>
    <t>Mim Evergreen Prep</t>
  </si>
  <si>
    <t>Evergreen Preparatory 3</t>
  </si>
  <si>
    <t>Gateway Experimental Academy 1</t>
  </si>
  <si>
    <t>Edward Ayaaba</t>
  </si>
  <si>
    <t>Gateway Experimental Academy 2</t>
  </si>
  <si>
    <t>Gateway Experimental Academy 3</t>
  </si>
  <si>
    <t>Gateway Experimental Academy 4</t>
  </si>
  <si>
    <t>Harvard International 1</t>
  </si>
  <si>
    <t>Harvard International</t>
  </si>
  <si>
    <t>Holy Child Preparatory 1</t>
  </si>
  <si>
    <t>Holy Child Preparatory</t>
  </si>
  <si>
    <t>Holy Trinity Divine Education Com 1</t>
  </si>
  <si>
    <t>Kwame Akuoku</t>
  </si>
  <si>
    <t>Holy Trinity Divine Education Com 2</t>
  </si>
  <si>
    <t>Hopeland Intl 1</t>
  </si>
  <si>
    <t>Hopeland Intl</t>
  </si>
  <si>
    <t>Marvelous Grace of God Basic sch 1</t>
  </si>
  <si>
    <t>Daniel Sarpong</t>
  </si>
  <si>
    <t>MoIbrahim Academy 1</t>
  </si>
  <si>
    <t>Mohamed Ibrahim</t>
  </si>
  <si>
    <t>Royals Intl 1</t>
  </si>
  <si>
    <t>Royals Intl</t>
  </si>
  <si>
    <t>Sweet Mother Edu Complex 1</t>
  </si>
  <si>
    <t>Sweet Mother Edu Complex</t>
  </si>
  <si>
    <t>Victory Preparatory 1</t>
  </si>
  <si>
    <t>Frank Boadu</t>
  </si>
  <si>
    <t>Victory Preparatory 2</t>
  </si>
  <si>
    <t>LD1410100091</t>
  </si>
  <si>
    <t>GH0010036</t>
  </si>
  <si>
    <t>Konongo</t>
  </si>
  <si>
    <t>S0029</t>
  </si>
  <si>
    <t>Blessed Christian Academy 1</t>
  </si>
  <si>
    <t>Elisha Owoseni</t>
  </si>
  <si>
    <t>LD1427300053</t>
  </si>
  <si>
    <t>Blessed Christian Academy 2</t>
  </si>
  <si>
    <t>LD1716400002</t>
  </si>
  <si>
    <t>Blessed Christian Academy 3</t>
  </si>
  <si>
    <t>Blessed Christian Academy 4</t>
  </si>
  <si>
    <t>Blessed Christian Academy 5</t>
  </si>
  <si>
    <t>Blessed Christian Academy 6</t>
  </si>
  <si>
    <t>Blessed Christian Academy 7</t>
  </si>
  <si>
    <t>Blessed Christian Academy 8</t>
  </si>
  <si>
    <t>LD1432800110</t>
  </si>
  <si>
    <t>S0085</t>
  </si>
  <si>
    <t>Elites Comprehensive School 1</t>
  </si>
  <si>
    <t>Elites Comprehensive School</t>
  </si>
  <si>
    <t>LD1410400066</t>
  </si>
  <si>
    <t>S0120</t>
  </si>
  <si>
    <t>Great Joy International School 1</t>
  </si>
  <si>
    <t>Great Joy International School</t>
  </si>
  <si>
    <t>Great Owass Edu Complex 1</t>
  </si>
  <si>
    <t>Great Owass Edu Complex</t>
  </si>
  <si>
    <t>LD1435100142</t>
  </si>
  <si>
    <t>S0139</t>
  </si>
  <si>
    <t>Janerf Montessori School 1</t>
  </si>
  <si>
    <t>Janerf Montessori School</t>
  </si>
  <si>
    <t>LD1406900054</t>
  </si>
  <si>
    <t>S0157</t>
  </si>
  <si>
    <t>Liberty Academy 1</t>
  </si>
  <si>
    <t>Liberty Academy Sch.</t>
  </si>
  <si>
    <t>LD1423400036</t>
  </si>
  <si>
    <t>Liberty Academy 2</t>
  </si>
  <si>
    <t>LD1511900126</t>
  </si>
  <si>
    <t>Liberty Academy 3</t>
  </si>
  <si>
    <t>LD1413600104</t>
  </si>
  <si>
    <t>S0186</t>
  </si>
  <si>
    <t>Mount Calvary School 1</t>
  </si>
  <si>
    <t>Mount Calvary Sch. E</t>
  </si>
  <si>
    <t>LD1432200023</t>
  </si>
  <si>
    <t>Mount Calvary School 2</t>
  </si>
  <si>
    <t>S0331</t>
  </si>
  <si>
    <t>Paa Willie International School 1</t>
  </si>
  <si>
    <t>Paa Willie Intl School</t>
  </si>
  <si>
    <t>Paa Willie International School 2</t>
  </si>
  <si>
    <t>LD1321100050</t>
  </si>
  <si>
    <t>Paa Willie International School 3</t>
  </si>
  <si>
    <t>LD1616800043</t>
  </si>
  <si>
    <t>Paa Willie International School 4</t>
  </si>
  <si>
    <t>LD1819800043</t>
  </si>
  <si>
    <t>Paa Willie International School 5</t>
  </si>
  <si>
    <t>Paa Willie International School</t>
  </si>
  <si>
    <t>LD1415400025</t>
  </si>
  <si>
    <t>S0211</t>
  </si>
  <si>
    <t>Paradise International School 1</t>
  </si>
  <si>
    <t>Paradise Int. - Kwab</t>
  </si>
  <si>
    <t>LD1432900097</t>
  </si>
  <si>
    <t>Paradise International School 2</t>
  </si>
  <si>
    <t>Paradise International School 3</t>
  </si>
  <si>
    <t>Paradise International School</t>
  </si>
  <si>
    <t>LD1703200113</t>
  </si>
  <si>
    <t>GH0010020</t>
  </si>
  <si>
    <t>Mankessim</t>
  </si>
  <si>
    <t>S0460</t>
  </si>
  <si>
    <t>Arkstar Educational Complex 1</t>
  </si>
  <si>
    <t>Arkstar Educational Complex</t>
  </si>
  <si>
    <t>LD1435000097</t>
  </si>
  <si>
    <t>S0020</t>
  </si>
  <si>
    <t>Ba-El Shaddai Preparatory School 1</t>
  </si>
  <si>
    <t>Ba-El Shaddai Preparatory School</t>
  </si>
  <si>
    <t>LD1515500007</t>
  </si>
  <si>
    <t>Ba-El Shaddai Preparatory School 2</t>
  </si>
  <si>
    <t>LD1712300025</t>
  </si>
  <si>
    <t>Ba-El Shaddai Preparatory School 3</t>
  </si>
  <si>
    <t>LD1808000020</t>
  </si>
  <si>
    <t>Ba-El Shaddai Preparatory School 4</t>
  </si>
  <si>
    <t>Ba-El Shaddai Preparatory School 5</t>
  </si>
  <si>
    <t>Ba-El-Shadai Prepretory School</t>
  </si>
  <si>
    <t>Calvary Praise Preparatory 1</t>
  </si>
  <si>
    <t>Alberta Sampson</t>
  </si>
  <si>
    <t>Calvary Praise Preparatory 2</t>
  </si>
  <si>
    <t>Calvary Praise Preparatory 3</t>
  </si>
  <si>
    <t>Calvary Praise Preparatory 4</t>
  </si>
  <si>
    <t>LD1511800024</t>
  </si>
  <si>
    <t>S0059</t>
  </si>
  <si>
    <t>Closefields School 1</t>
  </si>
  <si>
    <t>Mr. N. K. Asamoah</t>
  </si>
  <si>
    <t>LD1710000029</t>
  </si>
  <si>
    <t>Closefields School 2</t>
  </si>
  <si>
    <t>LD1736300005</t>
  </si>
  <si>
    <t>Closefields School 3</t>
  </si>
  <si>
    <t>LD1812400051</t>
  </si>
  <si>
    <t>Closefields School 4</t>
  </si>
  <si>
    <t>Closefields School 5</t>
  </si>
  <si>
    <t>Closefields School 6</t>
  </si>
  <si>
    <t>Closefields School 7</t>
  </si>
  <si>
    <t>LD1516200097</t>
  </si>
  <si>
    <t>S0066</t>
  </si>
  <si>
    <t>Dependable Academy 1</t>
  </si>
  <si>
    <t>Dependable Academy</t>
  </si>
  <si>
    <t>LD1718100112</t>
  </si>
  <si>
    <t>Dependable Academy 2</t>
  </si>
  <si>
    <t>LD1733100015</t>
  </si>
  <si>
    <t>S0087</t>
  </si>
  <si>
    <t>Emmanuel Light Academy 1</t>
  </si>
  <si>
    <t>Emmanuel Ehuntam</t>
  </si>
  <si>
    <t>LD1817300087</t>
  </si>
  <si>
    <t>Emmanuel Light Academy 2</t>
  </si>
  <si>
    <t>Emmanuel Light Academy 3</t>
  </si>
  <si>
    <t>Emmanuel Light Academy 4</t>
  </si>
  <si>
    <t>Fortress International Sch 1</t>
  </si>
  <si>
    <t>Rebecca Oduro</t>
  </si>
  <si>
    <t>LD1426200073</t>
  </si>
  <si>
    <t>S0109</t>
  </si>
  <si>
    <t>Godsent School Complex 1</t>
  </si>
  <si>
    <t>LD1511800015</t>
  </si>
  <si>
    <t>S0124</t>
  </si>
  <si>
    <t>H&amp;E Educational Centre 1</t>
  </si>
  <si>
    <t>H&amp;E Educational Centre</t>
  </si>
  <si>
    <t>King Jackson Prep School 1</t>
  </si>
  <si>
    <t>Ebenezer Amoesi Jackson</t>
  </si>
  <si>
    <t>King Jackson Prep School 2</t>
  </si>
  <si>
    <t>LD1408700055</t>
  </si>
  <si>
    <t>S0192</t>
  </si>
  <si>
    <t>New Galilee School Complex 1</t>
  </si>
  <si>
    <t>Emmanuel K. Acquah</t>
  </si>
  <si>
    <t>LD1735600064</t>
  </si>
  <si>
    <t>New Galilee School Complex 2</t>
  </si>
  <si>
    <t>LD1817300114</t>
  </si>
  <si>
    <t>New Galilee School Complex 3</t>
  </si>
  <si>
    <t>New Galilee School Complex 4</t>
  </si>
  <si>
    <t>LD1513400054</t>
  </si>
  <si>
    <t>S0200</t>
  </si>
  <si>
    <t>New Vision Academy 1</t>
  </si>
  <si>
    <t>New Vision Academy</t>
  </si>
  <si>
    <t>LD1523300011</t>
  </si>
  <si>
    <t>New Vision Academy 2</t>
  </si>
  <si>
    <t>LD1824200043</t>
  </si>
  <si>
    <t>S0206</t>
  </si>
  <si>
    <t>Only Jesus Can Save Int School 1</t>
  </si>
  <si>
    <t>Moses Archer</t>
  </si>
  <si>
    <t>Only Jesus Can Save Int School 2</t>
  </si>
  <si>
    <t>LD1724200003</t>
  </si>
  <si>
    <t>S0231</t>
  </si>
  <si>
    <t>Real Topgrade International School 1</t>
  </si>
  <si>
    <t>Real Topgrade International School</t>
  </si>
  <si>
    <t>Royal Power New Karrossel Academy 1</t>
  </si>
  <si>
    <t>Rev Lawrence Nana Kojo Asamoah</t>
  </si>
  <si>
    <t>LD1521200029</t>
  </si>
  <si>
    <t>S0239</t>
  </si>
  <si>
    <t>Sabs Smerbu Memorial Preparatory School 1</t>
  </si>
  <si>
    <t>Sabs Smerbu Memorial</t>
  </si>
  <si>
    <t>LD1724300020</t>
  </si>
  <si>
    <t>Sabs Smerbu Memorial Preparatory School 2</t>
  </si>
  <si>
    <t>Sabs Smerbu Memorial Preparatory School</t>
  </si>
  <si>
    <t>Samphils Education Complex 1</t>
  </si>
  <si>
    <t>Philomena Sam</t>
  </si>
  <si>
    <t>Standard Preparatory &amp; JHS 1</t>
  </si>
  <si>
    <t>Anthony Akwasie</t>
  </si>
  <si>
    <t>LD1616800036</t>
  </si>
  <si>
    <t>S0267</t>
  </si>
  <si>
    <t>Straight Way Mission School 1</t>
  </si>
  <si>
    <t>Odoom Debrah Elijah</t>
  </si>
  <si>
    <t>LD1710300064</t>
  </si>
  <si>
    <t>Straight Way Mission School 2</t>
  </si>
  <si>
    <t>LD1801800031</t>
  </si>
  <si>
    <t>Straight Way Mission School 3</t>
  </si>
  <si>
    <t>Straight Way Mission School 4</t>
  </si>
  <si>
    <t>Straight Way Mission School 5</t>
  </si>
  <si>
    <t>LD1419900011</t>
  </si>
  <si>
    <t>S0278</t>
  </si>
  <si>
    <t>Unique Academy 1</t>
  </si>
  <si>
    <t>Unique Academy</t>
  </si>
  <si>
    <t>LD1324500020</t>
  </si>
  <si>
    <t>GH0010045</t>
  </si>
  <si>
    <t>Mataheko</t>
  </si>
  <si>
    <t>S0002</t>
  </si>
  <si>
    <t>3Gs Royal School 1</t>
  </si>
  <si>
    <t>3Gs Royal School Ltd</t>
  </si>
  <si>
    <t>LD1421800035</t>
  </si>
  <si>
    <t>3Gs Royal School 2</t>
  </si>
  <si>
    <t>Albert's School 1</t>
  </si>
  <si>
    <t>Albert Ansong</t>
  </si>
  <si>
    <t>LD1331800138</t>
  </si>
  <si>
    <t>S0037</t>
  </si>
  <si>
    <t>Brilliant Way Intl School 1</t>
  </si>
  <si>
    <t>Brilliant Way Int Sc</t>
  </si>
  <si>
    <t>LD1607400030</t>
  </si>
  <si>
    <t>Brilliant Way Intl School 2</t>
  </si>
  <si>
    <t>Christ Ministry Intl school 1</t>
  </si>
  <si>
    <t>Peter Kofi Asiedu</t>
  </si>
  <si>
    <t>LD1411200055</t>
  </si>
  <si>
    <t>S0055</t>
  </si>
  <si>
    <t>Christ The Wisdom Academy 1</t>
  </si>
  <si>
    <t>Christ The Wisdom Academy</t>
  </si>
  <si>
    <t>LD1511200055</t>
  </si>
  <si>
    <t>Christ The Wisdom Academy 2</t>
  </si>
  <si>
    <t>LD1708900020</t>
  </si>
  <si>
    <t>Christ The Wisdom Academy 3</t>
  </si>
  <si>
    <t>LD1815800051</t>
  </si>
  <si>
    <t>Christ The Wisdom Academy 4</t>
  </si>
  <si>
    <t>LD1532700022</t>
  </si>
  <si>
    <t>S0141</t>
  </si>
  <si>
    <t>D.D. Ansah School Complex 1</t>
  </si>
  <si>
    <t>Patrick Amoah</t>
  </si>
  <si>
    <t>LD1732700023</t>
  </si>
  <si>
    <t>D.D. Ansah School Complex 2</t>
  </si>
  <si>
    <t>D.D. Ansah School Complex 3</t>
  </si>
  <si>
    <t>D.D. Ansah School Complex 4</t>
  </si>
  <si>
    <t>LD1629200056</t>
  </si>
  <si>
    <t>S0069</t>
  </si>
  <si>
    <t>Divine Blessed Hands Academy 1</t>
  </si>
  <si>
    <t>Divine Convenant Academy</t>
  </si>
  <si>
    <t>LD1722300022</t>
  </si>
  <si>
    <t>Divine Blessed Hands Academy 2</t>
  </si>
  <si>
    <t>Divine Blessed Hands Academy 3</t>
  </si>
  <si>
    <t>Divine Blessed Hands Academy 4</t>
  </si>
  <si>
    <t>LD1500600013</t>
  </si>
  <si>
    <t>S0084</t>
  </si>
  <si>
    <t>Elevation Academy 1</t>
  </si>
  <si>
    <t xml:space="preserve">Lucy Atisu </t>
  </si>
  <si>
    <t>LD1815000061</t>
  </si>
  <si>
    <t>Elevation Academy 2</t>
  </si>
  <si>
    <t>Elevation Academy 3</t>
  </si>
  <si>
    <t>FJ Mornachs Educational Center 1</t>
  </si>
  <si>
    <t>Franklyn Asiamah</t>
  </si>
  <si>
    <t>FJ Mornachs Educational Center 2</t>
  </si>
  <si>
    <t>FJ Mornachs Educational Center 3</t>
  </si>
  <si>
    <t>Fountain of Wisdom Academy 1</t>
  </si>
  <si>
    <t>Priscilla Addo</t>
  </si>
  <si>
    <t>Fountain of Wisdom Academy 2</t>
  </si>
  <si>
    <t>Fountain of Wisdom Academy 3</t>
  </si>
  <si>
    <t>Fountain of Wisdom Academy 4</t>
  </si>
  <si>
    <t>Glorious Grace Intl School 1</t>
  </si>
  <si>
    <t>Emmanuel August</t>
  </si>
  <si>
    <t>Glorious Grace Intl School 2</t>
  </si>
  <si>
    <t>Glorious Grace Intl School 3</t>
  </si>
  <si>
    <t>LD1512400019</t>
  </si>
  <si>
    <t>S0110</t>
  </si>
  <si>
    <t>Golden Brain Academy 1</t>
  </si>
  <si>
    <t>Golden Brain Academy</t>
  </si>
  <si>
    <t>LD1718100059</t>
  </si>
  <si>
    <t>S0117</t>
  </si>
  <si>
    <t>Grace Preparatory And Jhs 1</t>
  </si>
  <si>
    <t>Abena Darko Abukpo</t>
  </si>
  <si>
    <t>Grace Preparatory And Jhs 2</t>
  </si>
  <si>
    <t>Grace Preparatory And Jhs 3</t>
  </si>
  <si>
    <t>Grace Preparatory And Jhs 4</t>
  </si>
  <si>
    <t>LD1432100095</t>
  </si>
  <si>
    <t>S0132</t>
  </si>
  <si>
    <t>Holac Daycare Centre 1</t>
  </si>
  <si>
    <t>Holac Daycare Centre</t>
  </si>
  <si>
    <t>LD1727600022</t>
  </si>
  <si>
    <t>Holac Daycare Centre 2</t>
  </si>
  <si>
    <t>LD1618200073</t>
  </si>
  <si>
    <t>S0576</t>
  </si>
  <si>
    <t>Jesus Cares For You Academy 1</t>
  </si>
  <si>
    <t>Jesus Cares For You Academy</t>
  </si>
  <si>
    <t>Jesus Cares For You Academy 2</t>
  </si>
  <si>
    <t>LD1720700048</t>
  </si>
  <si>
    <t>S0579</t>
  </si>
  <si>
    <t>Living Glorious Academy 2</t>
  </si>
  <si>
    <t>Living Glorious Academy</t>
  </si>
  <si>
    <t>LD1622300043</t>
  </si>
  <si>
    <t>Living Glorious Academy/Glorious Mettle  1</t>
  </si>
  <si>
    <t>LD1502600003</t>
  </si>
  <si>
    <t>S0164</t>
  </si>
  <si>
    <t>Lord Diplocks Holyfield Academy 1</t>
  </si>
  <si>
    <t>Lord Diplocks Holyfield Academy</t>
  </si>
  <si>
    <t>LD1535500077</t>
  </si>
  <si>
    <t>S0165</t>
  </si>
  <si>
    <t>Lospat School Complex 1</t>
  </si>
  <si>
    <t>Lospat School Complex</t>
  </si>
  <si>
    <t>LD1732700050</t>
  </si>
  <si>
    <t>Lospat School Complex 2</t>
  </si>
  <si>
    <t>LD1424600025</t>
  </si>
  <si>
    <t>S0166</t>
  </si>
  <si>
    <t>Magbold Nursery And Preparatory School 1</t>
  </si>
  <si>
    <t>Magbold Nursery And</t>
  </si>
  <si>
    <t>Mega Height School 1</t>
  </si>
  <si>
    <t>Lawrence Tay</t>
  </si>
  <si>
    <t>LD1512500024</t>
  </si>
  <si>
    <t>S0187</t>
  </si>
  <si>
    <t>Mount Carmel Home School 1</t>
  </si>
  <si>
    <t>Mount Carmel Home Sc</t>
  </si>
  <si>
    <t>LD1718100042</t>
  </si>
  <si>
    <t>Mount Carmel Home School 2</t>
  </si>
  <si>
    <t>Mount Carmel Home School</t>
  </si>
  <si>
    <t>Mount Carmel Home School 3</t>
  </si>
  <si>
    <t>Mount Carmel Home School Limited</t>
  </si>
  <si>
    <t>LD1523900035</t>
  </si>
  <si>
    <t>S0191</t>
  </si>
  <si>
    <t>Nealan Mission School 1</t>
  </si>
  <si>
    <t>Nealan Mission School</t>
  </si>
  <si>
    <t>LD1425900013</t>
  </si>
  <si>
    <t>S0195</t>
  </si>
  <si>
    <t>New Hope Of Glory Academy 1</t>
  </si>
  <si>
    <t>New Hope Of Glory Ac</t>
  </si>
  <si>
    <t>LD1535500088</t>
  </si>
  <si>
    <t>New Hope Of Glory Academy 2</t>
  </si>
  <si>
    <t>LD1629400012</t>
  </si>
  <si>
    <t>S0197</t>
  </si>
  <si>
    <t>New Salem School 1</t>
  </si>
  <si>
    <t>New Salem School</t>
  </si>
  <si>
    <t>LD1530200064</t>
  </si>
  <si>
    <t>S0198</t>
  </si>
  <si>
    <t>New System Academy 1</t>
  </si>
  <si>
    <t>New System Academy</t>
  </si>
  <si>
    <t>Noble Kids Educational Comp. 1</t>
  </si>
  <si>
    <t>Diana Commey</t>
  </si>
  <si>
    <t>LD1722800014</t>
  </si>
  <si>
    <t>S0203</t>
  </si>
  <si>
    <t>Noble Royals International School 1</t>
  </si>
  <si>
    <t>Patrick Asante</t>
  </si>
  <si>
    <t>Noble Royals International School 2</t>
  </si>
  <si>
    <t>LD1526000057</t>
  </si>
  <si>
    <t>S0214</t>
  </si>
  <si>
    <t>Pauline Child Minding Centre 1</t>
  </si>
  <si>
    <t>Pauline Child Minding Centre</t>
  </si>
  <si>
    <t>LD1627900066</t>
  </si>
  <si>
    <t>Pauline Child Minding Centre 2</t>
  </si>
  <si>
    <t>Pauline Child Mindin</t>
  </si>
  <si>
    <t>LD1716700021</t>
  </si>
  <si>
    <t>Pauline Child Minding Centre 3</t>
  </si>
  <si>
    <t>Pauline Child Minding Centre 4</t>
  </si>
  <si>
    <t>Pauline Child Minding Centre 5</t>
  </si>
  <si>
    <t>Pauline Child Minding Centre 6</t>
  </si>
  <si>
    <t>LD1518100085</t>
  </si>
  <si>
    <t>S0217</t>
  </si>
  <si>
    <t>Perfect Leaders Preparatory School 1</t>
  </si>
  <si>
    <t>Perfect Leaders Prep</t>
  </si>
  <si>
    <t>LD1408400006</t>
  </si>
  <si>
    <t>S0218</t>
  </si>
  <si>
    <t>Phiga School 1</t>
  </si>
  <si>
    <t>Magdelene Sackey (Mrs.)</t>
  </si>
  <si>
    <t>LD1510000042</t>
  </si>
  <si>
    <t>Phiga School 2</t>
  </si>
  <si>
    <t>LD1510400049</t>
  </si>
  <si>
    <t>Phiga School 3</t>
  </si>
  <si>
    <t>LD1511900003</t>
  </si>
  <si>
    <t>Phiga School 4</t>
  </si>
  <si>
    <t>LD1609700064</t>
  </si>
  <si>
    <t>Phiga School 5</t>
  </si>
  <si>
    <t>LD1805800054</t>
  </si>
  <si>
    <t>Phiga School 6</t>
  </si>
  <si>
    <t>Phiga School 7</t>
  </si>
  <si>
    <t>Phiga School 8</t>
  </si>
  <si>
    <t>Phiga School 9</t>
  </si>
  <si>
    <t>LD1502700039</t>
  </si>
  <si>
    <t>S0225</t>
  </si>
  <si>
    <t>Priestland Educational Centre 1</t>
  </si>
  <si>
    <t>Lawrence And Georgina</t>
  </si>
  <si>
    <t>LD1519700088</t>
  </si>
  <si>
    <t>Priestland Educational Centre 2</t>
  </si>
  <si>
    <t>LD1620800023</t>
  </si>
  <si>
    <t>Priestland Educational Centre 3</t>
  </si>
  <si>
    <t>LD1623200010</t>
  </si>
  <si>
    <t>Priestland Educational Centre 4</t>
  </si>
  <si>
    <t>LD1714400045</t>
  </si>
  <si>
    <t>Priestland Educational Centre 5</t>
  </si>
  <si>
    <t>LD1817900036</t>
  </si>
  <si>
    <t>Priestland Educational Centre 6</t>
  </si>
  <si>
    <t>Priestland Educational Centre 7</t>
  </si>
  <si>
    <t>Priestland Educational Centre 8</t>
  </si>
  <si>
    <t>Priestland Educational Centre 9</t>
  </si>
  <si>
    <t>LD1621800044</t>
  </si>
  <si>
    <t>S0585</t>
  </si>
  <si>
    <t>Royal Gospel Nursery &amp; Day Care Centre 1</t>
  </si>
  <si>
    <t>Maureen Kumbea Acquaye</t>
  </si>
  <si>
    <t>LD1730400016</t>
  </si>
  <si>
    <t>Royal Gospel Nursery &amp; Day Care Centre 2</t>
  </si>
  <si>
    <t>Royal Gospel Nursery &amp; Day Care Centre 3</t>
  </si>
  <si>
    <t>Royal Gospel Nursery &amp; Day Care Centre 4</t>
  </si>
  <si>
    <t>LD1432400109</t>
  </si>
  <si>
    <t>S0237</t>
  </si>
  <si>
    <t>Royal Gospel Preparatory And Jhs 1</t>
  </si>
  <si>
    <t xml:space="preserve">Joseph Acquaye </t>
  </si>
  <si>
    <t>LD1525400059</t>
  </si>
  <si>
    <t>Royal Gospel Preparatory And Jhs 2</t>
  </si>
  <si>
    <t>LD1729200031</t>
  </si>
  <si>
    <t>Royal Gospel Preparatory And Jhs 3</t>
  </si>
  <si>
    <t>Royal Gospel Preparatory And Jhs 4</t>
  </si>
  <si>
    <t>Royal Gospel Preparatory And Jhs 5</t>
  </si>
  <si>
    <t>LD1609700017</t>
  </si>
  <si>
    <t>S0588</t>
  </si>
  <si>
    <t>Sensels School 1</t>
  </si>
  <si>
    <t>Sensels School</t>
  </si>
  <si>
    <t>LD1724300052</t>
  </si>
  <si>
    <t>Sensels School 2</t>
  </si>
  <si>
    <t>GH0010046</t>
  </si>
  <si>
    <t>Sensels School 3</t>
  </si>
  <si>
    <t>Sensels School 4</t>
  </si>
  <si>
    <t>Abena Ansomaa Tay</t>
  </si>
  <si>
    <t>LD1523700017</t>
  </si>
  <si>
    <t>S0257</t>
  </si>
  <si>
    <t>St Lutterodt Academy 1</t>
  </si>
  <si>
    <t xml:space="preserve">Faustina Mary Lutterodt </t>
  </si>
  <si>
    <t>LD1628500004</t>
  </si>
  <si>
    <t>St Lutterodt Academy 2</t>
  </si>
  <si>
    <t>St Lutterodt Academy 3</t>
  </si>
  <si>
    <t>St Lutterodt Academy 4</t>
  </si>
  <si>
    <t>St Lutterodt Academy 5</t>
  </si>
  <si>
    <t>St Lutterodt Academy 6</t>
  </si>
  <si>
    <t>St Lutterodt Academy 7</t>
  </si>
  <si>
    <t>St. Matilda School 1</t>
  </si>
  <si>
    <t>Peter &amp; Doreen Hinson</t>
  </si>
  <si>
    <t>LD1416000011</t>
  </si>
  <si>
    <t>S0262</t>
  </si>
  <si>
    <t>Star Academy Prep And Jhs 1</t>
  </si>
  <si>
    <t>Star Academy Prepara</t>
  </si>
  <si>
    <t>LD1435300021</t>
  </si>
  <si>
    <t>Star Academy Prep And Jhs 2</t>
  </si>
  <si>
    <t>LD1426000059</t>
  </si>
  <si>
    <t>S0265</t>
  </si>
  <si>
    <t>Stephensons International School 1</t>
  </si>
  <si>
    <t>Stephensons International School</t>
  </si>
  <si>
    <t>LD1531000042</t>
  </si>
  <si>
    <t>Stephensons International School 2</t>
  </si>
  <si>
    <t>LD1505600001</t>
  </si>
  <si>
    <t>S0269</t>
  </si>
  <si>
    <t>Successful Vision Academy 1</t>
  </si>
  <si>
    <t>Adjei Alice</t>
  </si>
  <si>
    <t>LD1627800052</t>
  </si>
  <si>
    <t>Successful Vision Academy 2</t>
  </si>
  <si>
    <t>LD1801000080</t>
  </si>
  <si>
    <t>Successful Vision Academy 3</t>
  </si>
  <si>
    <t>Successful Vision Academy 4</t>
  </si>
  <si>
    <t>Successful Vision Academy 5</t>
  </si>
  <si>
    <t>Successful Vision Academy 6</t>
  </si>
  <si>
    <t>LD1427600038</t>
  </si>
  <si>
    <t>S0273</t>
  </si>
  <si>
    <t>The Queens Child Preparatory And Jhs 1</t>
  </si>
  <si>
    <t>The Queens Child Pre</t>
  </si>
  <si>
    <t>LD1435200043</t>
  </si>
  <si>
    <t>The Queens Child Preparatory And Jhs 2</t>
  </si>
  <si>
    <t>LD1536500014</t>
  </si>
  <si>
    <t>The Queens Child Preparatory And Jhs 3</t>
  </si>
  <si>
    <t>LD1513200059</t>
  </si>
  <si>
    <t>S0276</t>
  </si>
  <si>
    <t>Tilitet Early Childhood Care &amp; Dev'T Centre 1</t>
  </si>
  <si>
    <t>Faustina Akuyea Hammond</t>
  </si>
  <si>
    <t>Tilitet Early Childhood Care &amp; Dev'T Centre 2</t>
  </si>
  <si>
    <t>Tilitet Early Childhood Care &amp; Dev'T Centre 3</t>
  </si>
  <si>
    <t>Tower of Excellence Academy 1</t>
  </si>
  <si>
    <t>Gloria Gyedu</t>
  </si>
  <si>
    <t>Tower of Excellence Academy 2</t>
  </si>
  <si>
    <t>Tower of Excellence Academy 3</t>
  </si>
  <si>
    <t>LD1617900021</t>
  </si>
  <si>
    <t>S0290</t>
  </si>
  <si>
    <t>Wisdom Age Montessori School 1</t>
  </si>
  <si>
    <t>Wisdom Age Montesso</t>
  </si>
  <si>
    <t>LD1709400002</t>
  </si>
  <si>
    <t>Wisdom Age Montessori School 2</t>
  </si>
  <si>
    <t>Wisdom Age Montessori School</t>
  </si>
  <si>
    <t>LD1511300105</t>
  </si>
  <si>
    <t>S0291</t>
  </si>
  <si>
    <t>Zoe European Academy 1</t>
  </si>
  <si>
    <t>Zoe European Academy</t>
  </si>
  <si>
    <t>LD1314400252</t>
  </si>
  <si>
    <t>GH0010008</t>
  </si>
  <si>
    <t>Offinso</t>
  </si>
  <si>
    <t>S0450</t>
  </si>
  <si>
    <t>Emmatess International School 1</t>
  </si>
  <si>
    <t>Emmatters Intl</t>
  </si>
  <si>
    <t>LD1729200069</t>
  </si>
  <si>
    <t>Emmatess International School 2</t>
  </si>
  <si>
    <t>Emmates Int. Sch. -</t>
  </si>
  <si>
    <t>LD1409900028</t>
  </si>
  <si>
    <t>S0451</t>
  </si>
  <si>
    <t>Holy Child International School 1</t>
  </si>
  <si>
    <t>Holy Child Intl</t>
  </si>
  <si>
    <t>Konadu Yiadom Edu Complex 1</t>
  </si>
  <si>
    <t>Konadu Yiadom Edu Complex</t>
  </si>
  <si>
    <t>Konadu Yiadom Edu Complex 2</t>
  </si>
  <si>
    <t>LD1421800018</t>
  </si>
  <si>
    <t>S0156</t>
  </si>
  <si>
    <t>Kratos Preparatory School 1</t>
  </si>
  <si>
    <t>Liticia Antwi-Berkoh</t>
  </si>
  <si>
    <t>LD1525900016</t>
  </si>
  <si>
    <t>Kratos Preparatory School 2</t>
  </si>
  <si>
    <t>LD1702500049</t>
  </si>
  <si>
    <t>Kratos Preparatory School 3</t>
  </si>
  <si>
    <t>Kratos Preparatory School 4</t>
  </si>
  <si>
    <t>Kratos Preparatory School 5</t>
  </si>
  <si>
    <t>Kratos Preparatory School 6</t>
  </si>
  <si>
    <t>LD1409300011</t>
  </si>
  <si>
    <t>S0201</t>
  </si>
  <si>
    <t>New Vision International School 1</t>
  </si>
  <si>
    <t>New Vision International School</t>
  </si>
  <si>
    <t>LD1523800018</t>
  </si>
  <si>
    <t>New Vision International School 2</t>
  </si>
  <si>
    <t>LD1627900059</t>
  </si>
  <si>
    <t>New Vision International School 3</t>
  </si>
  <si>
    <t>LD1734900059</t>
  </si>
  <si>
    <t>New Vision International School 4</t>
  </si>
  <si>
    <t>Owusu Antwi Mary</t>
  </si>
  <si>
    <t>New Vision International School 5</t>
  </si>
  <si>
    <t>New Vision International School 6</t>
  </si>
  <si>
    <t>Overcomers Preparatory 1</t>
  </si>
  <si>
    <t>Overcomers Preparatory</t>
  </si>
  <si>
    <t>Overcomers Preparatory 2</t>
  </si>
  <si>
    <t>LD1308100061</t>
  </si>
  <si>
    <t>S0452</t>
  </si>
  <si>
    <t>Promised Land Foundation Academy 1</t>
  </si>
  <si>
    <t xml:space="preserve">Nderego Donkor Zacchaeus </t>
  </si>
  <si>
    <t>LD1417000008</t>
  </si>
  <si>
    <t>Promised Land Foundation Academy 2</t>
  </si>
  <si>
    <t>LD1518900022</t>
  </si>
  <si>
    <t>Promised Land Foundation Academy 3</t>
  </si>
  <si>
    <t>LD1725600052</t>
  </si>
  <si>
    <t>Promised Land Foundation Academy 4</t>
  </si>
  <si>
    <t>Promised Land Foundation Academy 5</t>
  </si>
  <si>
    <t>Promised Land Foundation Academy 6</t>
  </si>
  <si>
    <t>Promised Land Foundation Academy 7</t>
  </si>
  <si>
    <t>LD1402000086</t>
  </si>
  <si>
    <t>S0234</t>
  </si>
  <si>
    <t>Rock Of Ages Academy 1</t>
  </si>
  <si>
    <t>Kwame Kusi Agyei</t>
  </si>
  <si>
    <t>LD1629500078</t>
  </si>
  <si>
    <t>Rock Of Ages Academy 2</t>
  </si>
  <si>
    <t>Rock Of Ages Academy 3</t>
  </si>
  <si>
    <t>Rock Of Ages Academy 4</t>
  </si>
  <si>
    <t>LD1419700053</t>
  </si>
  <si>
    <t>S0236</t>
  </si>
  <si>
    <t>Roselisha Hope Preparatory School 1</t>
  </si>
  <si>
    <t>Rosemond G. Amponsah</t>
  </si>
  <si>
    <t>LD1619700033</t>
  </si>
  <si>
    <t>Roselisha Hope Preparatory School 2</t>
  </si>
  <si>
    <t>LD1721300057</t>
  </si>
  <si>
    <t>Roselisha Hope Preparatory School 3</t>
  </si>
  <si>
    <t>LD1817200061</t>
  </si>
  <si>
    <t>Roselisha Hope Preparatory School 4</t>
  </si>
  <si>
    <t>Roselisha Hope Preparatory School 5</t>
  </si>
  <si>
    <t>Roselisha Hope Preparatory School 6</t>
  </si>
  <si>
    <t>Roselisha Hope Preparatory School 7</t>
  </si>
  <si>
    <t>LD1405900003</t>
  </si>
  <si>
    <t>S0453</t>
  </si>
  <si>
    <t>Salvation International School 1</t>
  </si>
  <si>
    <t>Salvation Intl</t>
  </si>
  <si>
    <t>LD1404400119</t>
  </si>
  <si>
    <t>S0454</t>
  </si>
  <si>
    <t>Step By Step International School 1</t>
  </si>
  <si>
    <t>Mahama Abdulai Laari</t>
  </si>
  <si>
    <t>Step By Step International School 2</t>
  </si>
  <si>
    <t>S0306</t>
  </si>
  <si>
    <t>Supreme David Educational Complex 1</t>
  </si>
  <si>
    <t>Supreme David Intl</t>
  </si>
  <si>
    <t>Supreme David Educational Complex 2</t>
  </si>
  <si>
    <t>Supreme David Educational Complex 3</t>
  </si>
  <si>
    <t>Supreme David Educational Complex 4</t>
  </si>
  <si>
    <t>LD1324800110</t>
  </si>
  <si>
    <t>Supreme David Educational Complex 5</t>
  </si>
  <si>
    <t>LD1525700017</t>
  </si>
  <si>
    <t>Supreme David Educational Complex 6</t>
  </si>
  <si>
    <t>LD1609100074</t>
  </si>
  <si>
    <t>S0541</t>
  </si>
  <si>
    <t>Third Angel Message Academy 1</t>
  </si>
  <si>
    <t>Third Angels Message</t>
  </si>
  <si>
    <t>LD1519000025</t>
  </si>
  <si>
    <t>S0456</t>
  </si>
  <si>
    <t>Winners Trust Educational Complex 1</t>
  </si>
  <si>
    <t>Winners Trust Educational Complex</t>
  </si>
  <si>
    <t>GH0010039</t>
  </si>
  <si>
    <t>Sefwi Wiawso</t>
  </si>
  <si>
    <t>Advance Sch &amp; Orphanage 1</t>
  </si>
  <si>
    <t>Advance Sch &amp; Orphanage</t>
  </si>
  <si>
    <t>LD1307800055</t>
  </si>
  <si>
    <t>S0401</t>
  </si>
  <si>
    <t>Agyingo Holy Child School 1</t>
  </si>
  <si>
    <t>Agyingo Holy Child S</t>
  </si>
  <si>
    <t>S0367</t>
  </si>
  <si>
    <t>Be-Humble Preparatory And Jhs 1</t>
  </si>
  <si>
    <t>Be Humble Sch Philip</t>
  </si>
  <si>
    <t>Be-Humble Preparatory And Jhs 2</t>
  </si>
  <si>
    <t>LD1412900170</t>
  </si>
  <si>
    <t>Be-Humble Preparatory And Jhs 3</t>
  </si>
  <si>
    <t>Benedict International 1</t>
  </si>
  <si>
    <t xml:space="preserve">Benedict International </t>
  </si>
  <si>
    <t>Cambridge International 1</t>
  </si>
  <si>
    <t>Cambridge International</t>
  </si>
  <si>
    <t>Cambridge International 2</t>
  </si>
  <si>
    <t>Corsa Preparatory 1</t>
  </si>
  <si>
    <t>Corsa Preparatory</t>
  </si>
  <si>
    <t>Corsa Preparatory 2</t>
  </si>
  <si>
    <t>Eljepa School 1</t>
  </si>
  <si>
    <t>Eljepa School 2</t>
  </si>
  <si>
    <t>Essence Preparatory 1</t>
  </si>
  <si>
    <t>Essence Preparatory</t>
  </si>
  <si>
    <t>Essence Preparatory 2</t>
  </si>
  <si>
    <t>God Bless Preparatory 1</t>
  </si>
  <si>
    <t>God Bless Preparatory</t>
  </si>
  <si>
    <t>God Bless Preparatory 2</t>
  </si>
  <si>
    <t>God Is Power Preparatory 1</t>
  </si>
  <si>
    <t>God Is Power Preparatory</t>
  </si>
  <si>
    <t>S0374</t>
  </si>
  <si>
    <t>Goodnews International School 1</t>
  </si>
  <si>
    <t>Eric Ansah Yirenkyi</t>
  </si>
  <si>
    <t>Goodnews International School 2</t>
  </si>
  <si>
    <t>LD1404500068</t>
  </si>
  <si>
    <t>Goodnews International School 3</t>
  </si>
  <si>
    <t>LD1434900166</t>
  </si>
  <si>
    <t>Goodnews International School 4</t>
  </si>
  <si>
    <t>Goodnews International School 5</t>
  </si>
  <si>
    <t>Goodnews International School 6</t>
  </si>
  <si>
    <t>Gyabdas School Complex 1</t>
  </si>
  <si>
    <t>Gyabdas School Complex</t>
  </si>
  <si>
    <t>Gyabdas School Complex 2</t>
  </si>
  <si>
    <t>Happy Home Preparatory 1</t>
  </si>
  <si>
    <t>Happy Home Preparatory</t>
  </si>
  <si>
    <t>Hillary Clinton 1</t>
  </si>
  <si>
    <t>Hillary Clinton</t>
  </si>
  <si>
    <t>Hi-Tech Sch Complex 1</t>
  </si>
  <si>
    <t>Hi-Tech Sch Complex</t>
  </si>
  <si>
    <t>S0378</t>
  </si>
  <si>
    <t>Living Stone Preparatory 1</t>
  </si>
  <si>
    <t>Living Stone Prep Sc</t>
  </si>
  <si>
    <t>LD1317900199</t>
  </si>
  <si>
    <t>S0379</t>
  </si>
  <si>
    <t>Living Stone Preparatory 2</t>
  </si>
  <si>
    <t>LD1411800002</t>
  </si>
  <si>
    <t>Living Stone Preparatory 3</t>
  </si>
  <si>
    <t>Lucky Child Preparatory 1</t>
  </si>
  <si>
    <t>Lucky Child Prep</t>
  </si>
  <si>
    <t>Messiah Academy 1</t>
  </si>
  <si>
    <t>Messiah Academy</t>
  </si>
  <si>
    <t>S0381</t>
  </si>
  <si>
    <t>Mighty Arm Preparatory 1</t>
  </si>
  <si>
    <t>Mighty Arm Prep- Vi</t>
  </si>
  <si>
    <t>Mighty Arm Preparatory 2</t>
  </si>
  <si>
    <t>LD1326100007</t>
  </si>
  <si>
    <t>Mighty Arm Preparatory 3</t>
  </si>
  <si>
    <t>LD1509100044</t>
  </si>
  <si>
    <t>Mighty Arm Preparatory 4</t>
  </si>
  <si>
    <t>LD1307800061</t>
  </si>
  <si>
    <t>GH0010029</t>
  </si>
  <si>
    <t>S0182</t>
  </si>
  <si>
    <t>Morning Star Academy 1</t>
  </si>
  <si>
    <t>Morning Star Academy</t>
  </si>
  <si>
    <t>Nana Agyenin Preparatory 1</t>
  </si>
  <si>
    <t>Nana Agyenin Preparatory</t>
  </si>
  <si>
    <t>New Love Preparatory 1</t>
  </si>
  <si>
    <t>New Love Preparatory</t>
  </si>
  <si>
    <t>Perfect Peace International 1</t>
  </si>
  <si>
    <t>Perfect Peace International</t>
  </si>
  <si>
    <t>Princess Academy 1</t>
  </si>
  <si>
    <t>Princess Academy</t>
  </si>
  <si>
    <t>S0383</t>
  </si>
  <si>
    <t>Progress Preparatory And Jhs 1</t>
  </si>
  <si>
    <t>Antwi Mensah</t>
  </si>
  <si>
    <t>LD1328900027</t>
  </si>
  <si>
    <t>Progress Preparatory And Jhs 2</t>
  </si>
  <si>
    <t>LD1509100040</t>
  </si>
  <si>
    <t>Progress Preparatory And Jhs 3</t>
  </si>
  <si>
    <t>Progress Preparatory And Jhs 4</t>
  </si>
  <si>
    <t>Royal Academy Institute 1</t>
  </si>
  <si>
    <t>Royal Academy Institute</t>
  </si>
  <si>
    <t>Royal Academy Institute 2</t>
  </si>
  <si>
    <t>Supreme Christland Sch Complex 1</t>
  </si>
  <si>
    <t>Supreme Christland Sch Complex</t>
  </si>
  <si>
    <t>LD1404500073</t>
  </si>
  <si>
    <t>S0411</t>
  </si>
  <si>
    <t>Supreme Christland Sch Complex 2</t>
  </si>
  <si>
    <t>Supreme Christland S</t>
  </si>
  <si>
    <t>S0387</t>
  </si>
  <si>
    <t>Yaa Baah Preparatory And Jhs 1</t>
  </si>
  <si>
    <t>Yaa Baah Prep Sch</t>
  </si>
  <si>
    <t>LD1404500071</t>
  </si>
  <si>
    <t>Yaa Baah Preparatory And Jhs 2</t>
  </si>
  <si>
    <t>GH0010013</t>
  </si>
  <si>
    <t>Sunyani</t>
  </si>
  <si>
    <t>Ave Maria School 1</t>
  </si>
  <si>
    <t>Isaac Kofi Badu Adinkra</t>
  </si>
  <si>
    <t>LD1525100031</t>
  </si>
  <si>
    <t>S0047</t>
  </si>
  <si>
    <t>Chris Academy 1</t>
  </si>
  <si>
    <t>Chris Academy</t>
  </si>
  <si>
    <t>LD1813600088</t>
  </si>
  <si>
    <t>Chris Academy 2</t>
  </si>
  <si>
    <t>Chris Academy 3</t>
  </si>
  <si>
    <t>Adu-Kyeremeh Christiana</t>
  </si>
  <si>
    <t>Chris Academy 4</t>
  </si>
  <si>
    <t>Chris Academy 5</t>
  </si>
  <si>
    <t>Darul-Salam Education Centre 1</t>
  </si>
  <si>
    <t>Abdulwahab Yakubu</t>
  </si>
  <si>
    <t>LD1529300037</t>
  </si>
  <si>
    <t>S0475</t>
  </si>
  <si>
    <t>Dejonve International School 1</t>
  </si>
  <si>
    <t>Dejonve Internationa</t>
  </si>
  <si>
    <t>LD1701800044</t>
  </si>
  <si>
    <t>Dejonve International School 2</t>
  </si>
  <si>
    <t>LD1824300052</t>
  </si>
  <si>
    <t>Dejonve International School 3</t>
  </si>
  <si>
    <t>Dejonve International School</t>
  </si>
  <si>
    <t>Dejonve International School 4</t>
  </si>
  <si>
    <t>Emmanuel Foundation 1</t>
  </si>
  <si>
    <t xml:space="preserve">Emmanuel Foundation </t>
  </si>
  <si>
    <t>Emmanuel Foundation 2</t>
  </si>
  <si>
    <t>Emmanuel Foundation 3</t>
  </si>
  <si>
    <t>LD1818000163</t>
  </si>
  <si>
    <t>S0477</t>
  </si>
  <si>
    <t>Global Vision Academy 1</t>
  </si>
  <si>
    <t>Global Vision Academy</t>
  </si>
  <si>
    <t>LD1810700037</t>
  </si>
  <si>
    <t>Global Vision Academy 2</t>
  </si>
  <si>
    <t>Glory Model 1</t>
  </si>
  <si>
    <t>Glory Model</t>
  </si>
  <si>
    <t>LD1621600045</t>
  </si>
  <si>
    <t>S0479</t>
  </si>
  <si>
    <t>Golden Intellectuals School 1</t>
  </si>
  <si>
    <t>Golden Intellectuals School</t>
  </si>
  <si>
    <t>Greenstream Educational Comp. 1</t>
  </si>
  <si>
    <t>Martin Asamoah</t>
  </si>
  <si>
    <t>Greenstream Educational Comp. 2</t>
  </si>
  <si>
    <t>LD1625300048</t>
  </si>
  <si>
    <t>S0480</t>
  </si>
  <si>
    <t>Guggisberg Juveniles International School 1</t>
  </si>
  <si>
    <t>Guggisberg Juveniles</t>
  </si>
  <si>
    <t>Heavenly Royals Preparatory 1</t>
  </si>
  <si>
    <t>John Kwasi Nkrumah</t>
  </si>
  <si>
    <t>Higher Academy 1</t>
  </si>
  <si>
    <t>Higher Academy</t>
  </si>
  <si>
    <t>LD1701100055</t>
  </si>
  <si>
    <t>S0481</t>
  </si>
  <si>
    <t>Hill Top Preparatory School 1</t>
  </si>
  <si>
    <t>Fredrick Adjei</t>
  </si>
  <si>
    <t>LD1721200060</t>
  </si>
  <si>
    <t>Hill Top Preparatory School 2</t>
  </si>
  <si>
    <t>LD1721300077</t>
  </si>
  <si>
    <t>Hill Top Preparatory School 3</t>
  </si>
  <si>
    <t>Hill Top Preparatory School 4</t>
  </si>
  <si>
    <t>LD1622100038</t>
  </si>
  <si>
    <t>S0504</t>
  </si>
  <si>
    <t>Jets Crystal Creche &amp; Nursery 1</t>
  </si>
  <si>
    <t>Jets Crystal Creche &amp; Nursery</t>
  </si>
  <si>
    <t>LD1729800053</t>
  </si>
  <si>
    <t>Jets Crystal Creche &amp; Nursery 2</t>
  </si>
  <si>
    <t>Jets Crystal Creche &amp; Nursery 3</t>
  </si>
  <si>
    <t>Agyire Garbra Sophia</t>
  </si>
  <si>
    <t>LD1428900046</t>
  </si>
  <si>
    <t>S0145</t>
  </si>
  <si>
    <t>Johncris Preparatory And Jhs 1</t>
  </si>
  <si>
    <t>John Ayisi</t>
  </si>
  <si>
    <t>LD1532900034</t>
  </si>
  <si>
    <t>Johncris Preparatory And Jhs 2</t>
  </si>
  <si>
    <t>LD1703100078</t>
  </si>
  <si>
    <t>Johncris Preparatory And Jhs 3</t>
  </si>
  <si>
    <t>LD1802500014</t>
  </si>
  <si>
    <t>Johncris Preparatory And Jhs 4</t>
  </si>
  <si>
    <t>Johncris Preparatory And Jhs 5</t>
  </si>
  <si>
    <t>Johncris Preparatory And Jhs 6</t>
  </si>
  <si>
    <t>LD1802300024</t>
  </si>
  <si>
    <t>S0482</t>
  </si>
  <si>
    <t>Johnson Educational Complex 1</t>
  </si>
  <si>
    <t>Johnson Educational Complex</t>
  </si>
  <si>
    <t>LD1525100032</t>
  </si>
  <si>
    <t>S0056</t>
  </si>
  <si>
    <t>Kids Star Christian Academy 1</t>
  </si>
  <si>
    <t>Elizabeth Owusu</t>
  </si>
  <si>
    <t>LD1607700080</t>
  </si>
  <si>
    <t>Kids Star Christian Academy 2</t>
  </si>
  <si>
    <t>LD1631600031</t>
  </si>
  <si>
    <t>Kids Star Christian Academy 3</t>
  </si>
  <si>
    <t>LD1725500044</t>
  </si>
  <si>
    <t>Kids Star Christian Academy 4</t>
  </si>
  <si>
    <t>Kids Star Christian Academy 5</t>
  </si>
  <si>
    <t>Eunice Konadu Antepim</t>
  </si>
  <si>
    <t>LD1635100059</t>
  </si>
  <si>
    <t>S0485</t>
  </si>
  <si>
    <t>Lord'S Blessed Assurance School Complex 1</t>
  </si>
  <si>
    <t>Ackon Eva Elizabeth</t>
  </si>
  <si>
    <t>LD1732600053</t>
  </si>
  <si>
    <t>Lord'S Blessed Assurance School Complex 2</t>
  </si>
  <si>
    <t>Lord'S Blessed Assurance School Complex 3</t>
  </si>
  <si>
    <t>Lord'S Blessed Assurance School Complex 4</t>
  </si>
  <si>
    <t>Lord'S Blessed Assurance School Complex 5</t>
  </si>
  <si>
    <t>Lord'S Blessed Assurance School Complex 6</t>
  </si>
  <si>
    <t>Magchil Preparatory School 1</t>
  </si>
  <si>
    <t>Magchil Preparatory School 2</t>
  </si>
  <si>
    <t>Majesty International 1</t>
  </si>
  <si>
    <t>Majesty International</t>
  </si>
  <si>
    <t>Morridycia Weans School 1</t>
  </si>
  <si>
    <t>Pinnacle Intellectuals School 1</t>
  </si>
  <si>
    <t>Philip Debrah</t>
  </si>
  <si>
    <t>LD1408000082</t>
  </si>
  <si>
    <t>S0221</t>
  </si>
  <si>
    <t>Powerful Rhema Preparatory And Jhs 1</t>
  </si>
  <si>
    <t>Powerful Rhema Prepa</t>
  </si>
  <si>
    <t>S0348</t>
  </si>
  <si>
    <t>Promise Excellence Academy 1</t>
  </si>
  <si>
    <t>Zundi Musah</t>
  </si>
  <si>
    <t>LD1408400112</t>
  </si>
  <si>
    <t>Promise Excellence Academy 2</t>
  </si>
  <si>
    <t>Promised Excellence Prep</t>
  </si>
  <si>
    <t>LD1634100025</t>
  </si>
  <si>
    <t>Promise Excellence Academy 3</t>
  </si>
  <si>
    <t>Promise Excellence Prep</t>
  </si>
  <si>
    <t>LD1732100044</t>
  </si>
  <si>
    <t>Promise Excellence Academy 4</t>
  </si>
  <si>
    <t>Promise Excellence Academy 5</t>
  </si>
  <si>
    <t>Promise Excellence Academy 6</t>
  </si>
  <si>
    <t>Zundi Musah , Zundi Musah</t>
  </si>
  <si>
    <t>Smartkids Harvard Montessori Sch 1</t>
  </si>
  <si>
    <t>Daniel Arthur</t>
  </si>
  <si>
    <t>Smartkids Harvard Montessori Sch 2</t>
  </si>
  <si>
    <t>St. Theresa Montessori School 1</t>
  </si>
  <si>
    <t>Mandela Fayiri</t>
  </si>
  <si>
    <t>St. Theresa Montessori School 2</t>
  </si>
  <si>
    <t>St. Theresa Montessori School 3</t>
  </si>
  <si>
    <t>LD1721600070</t>
  </si>
  <si>
    <t>S0490</t>
  </si>
  <si>
    <t>Standard School Of Royal Kids 1</t>
  </si>
  <si>
    <t>Vivian Adu</t>
  </si>
  <si>
    <t>Standard School Of Royal Kids 2</t>
  </si>
  <si>
    <t>Standard School Of Royal Kids 3</t>
  </si>
  <si>
    <t>S0319</t>
  </si>
  <si>
    <t>Unique International School 1</t>
  </si>
  <si>
    <t>Unique International</t>
  </si>
  <si>
    <t>Unique International School 2</t>
  </si>
  <si>
    <t>LD1402900028</t>
  </si>
  <si>
    <t>Unique International School 3</t>
  </si>
  <si>
    <t>S0524</t>
  </si>
  <si>
    <t>Wisdom Pioneers Educational Complex 1</t>
  </si>
  <si>
    <t>Wisdom Pioneers Education Complex</t>
  </si>
  <si>
    <t>Techiman</t>
  </si>
  <si>
    <t>S0339</t>
  </si>
  <si>
    <t>Adehye International School 1</t>
  </si>
  <si>
    <t>Adehyee Int.Sch</t>
  </si>
  <si>
    <t>LD1405100101</t>
  </si>
  <si>
    <t>Adehye International School 2</t>
  </si>
  <si>
    <t>S0307</t>
  </si>
  <si>
    <t>Aim High Preparatory School 1</t>
  </si>
  <si>
    <t>Abu Hawa-Gbolo</t>
  </si>
  <si>
    <t>Aim High Preparatory School 2</t>
  </si>
  <si>
    <t>Aim High Preparatory School 3</t>
  </si>
  <si>
    <t>Believers Academy 1</t>
  </si>
  <si>
    <t>Issahaque Suleman</t>
  </si>
  <si>
    <t>Believers Academy 2</t>
  </si>
  <si>
    <t>Believers Academy 3</t>
  </si>
  <si>
    <t>Believers Academy 4</t>
  </si>
  <si>
    <t>Bright Morning Star 1</t>
  </si>
  <si>
    <t>Bright Morning Star</t>
  </si>
  <si>
    <t>Cambridge Academy 1</t>
  </si>
  <si>
    <t>Cambridge Academy</t>
  </si>
  <si>
    <t>LD1311500015</t>
  </si>
  <si>
    <t>S0421</t>
  </si>
  <si>
    <t>Christ Alive International School 1</t>
  </si>
  <si>
    <t>Christ Alive Int Sch</t>
  </si>
  <si>
    <t>Combat Academy 1</t>
  </si>
  <si>
    <t>Isifu Ibrahim</t>
  </si>
  <si>
    <t>Combat Academy 2</t>
  </si>
  <si>
    <t>Combat Academy 3</t>
  </si>
  <si>
    <t>Combat Academy 4</t>
  </si>
  <si>
    <t>Combat Academy 5</t>
  </si>
  <si>
    <t>Combat Academy 6</t>
  </si>
  <si>
    <t>S0419</t>
  </si>
  <si>
    <t>Fatimah Virtue Educational Complex 1</t>
  </si>
  <si>
    <t>Fatima Abdulai (formally Association Intl Sch)</t>
  </si>
  <si>
    <t>LD1426900134</t>
  </si>
  <si>
    <t>Fatimah Virtue Educational Complex 2</t>
  </si>
  <si>
    <t>LD1608400036</t>
  </si>
  <si>
    <t>Fatimah Virtue Educational Complex 3</t>
  </si>
  <si>
    <t>LD1627100037</t>
  </si>
  <si>
    <t>Fatimah Virtue Educational Complex 4</t>
  </si>
  <si>
    <t>Fatimah Virtue Educational Complex 5</t>
  </si>
  <si>
    <t>Fatimah Virtue Educational Complex 6</t>
  </si>
  <si>
    <t>Fatimah Virtue Educational Complex 7</t>
  </si>
  <si>
    <t>Fatimah Virtue Educational Complex 8</t>
  </si>
  <si>
    <t>Fatimah Virtue Educational Complex 9</t>
  </si>
  <si>
    <t>Fatima Abdulai</t>
  </si>
  <si>
    <t>George Best Academy 1</t>
  </si>
  <si>
    <t>George Best Academy</t>
  </si>
  <si>
    <t>Gods Word Preparatory 1</t>
  </si>
  <si>
    <t>Gods Word Preparatory</t>
  </si>
  <si>
    <t>LD1310900035</t>
  </si>
  <si>
    <t>S0423</t>
  </si>
  <si>
    <t>Great Holy Child International School 1</t>
  </si>
  <si>
    <t>Emmanuel Oppong</t>
  </si>
  <si>
    <t>LD1428300123</t>
  </si>
  <si>
    <t>Great Holy Child International School 2</t>
  </si>
  <si>
    <t>LD1513900009</t>
  </si>
  <si>
    <t>Great Holy Child International School 3</t>
  </si>
  <si>
    <t>LD1602900076</t>
  </si>
  <si>
    <t>Great Holy Child International School 4</t>
  </si>
  <si>
    <t>Great Holy Child International School 5</t>
  </si>
  <si>
    <t>Great Holy Child International School 6</t>
  </si>
  <si>
    <t>Great Holy Child International School 7</t>
  </si>
  <si>
    <t>Holy Trinity 1</t>
  </si>
  <si>
    <t xml:space="preserve">Holy Trinity </t>
  </si>
  <si>
    <t>Holy Trinity 2</t>
  </si>
  <si>
    <t>Joy Preparatory 2</t>
  </si>
  <si>
    <t>Lion Of Judah 1</t>
  </si>
  <si>
    <t xml:space="preserve">Lion Of Judah </t>
  </si>
  <si>
    <t>Lion Of Judah 2</t>
  </si>
  <si>
    <t>LD1410700159</t>
  </si>
  <si>
    <t>S0424</t>
  </si>
  <si>
    <t>Maranatha Preparatory School 1</t>
  </si>
  <si>
    <t>Maranatha Pre Sch</t>
  </si>
  <si>
    <t>New Era Preparatory 1</t>
  </si>
  <si>
    <t>New Era Preparatory</t>
  </si>
  <si>
    <t>LD1323300250</t>
  </si>
  <si>
    <t>S0426</t>
  </si>
  <si>
    <t>Rejoice International School 1</t>
  </si>
  <si>
    <t>Rejoyce Internationa</t>
  </si>
  <si>
    <t>LD1423000165</t>
  </si>
  <si>
    <t>Rejoice International School 2</t>
  </si>
  <si>
    <t>Showers Of Blessings 1</t>
  </si>
  <si>
    <t>Showers Of Blessings</t>
  </si>
  <si>
    <t>Ultimate Preparatory 1</t>
  </si>
  <si>
    <t>Ultimate Preparatory</t>
  </si>
  <si>
    <t>Ultimate Preparatory 2</t>
  </si>
  <si>
    <t>Ultimate Preparatory 3</t>
  </si>
  <si>
    <t>Ultimate Preparatory 4</t>
  </si>
  <si>
    <t>Wisdom Edu Complex 1</t>
  </si>
  <si>
    <t>Wisdom Edu Complex</t>
  </si>
  <si>
    <t>LD1723400076</t>
  </si>
  <si>
    <t>GH0010009</t>
  </si>
  <si>
    <t>Tema</t>
  </si>
  <si>
    <t>S0605</t>
  </si>
  <si>
    <t>Nancy'S International School 1</t>
  </si>
  <si>
    <t>Nancy'S International School</t>
  </si>
  <si>
    <t>Total Number from Database - now reconciled</t>
  </si>
  <si>
    <t>Average loan size</t>
  </si>
  <si>
    <t>INFRANSTRUCTURE</t>
  </si>
  <si>
    <t>728D</t>
  </si>
  <si>
    <t>Nursery - Primary</t>
  </si>
  <si>
    <t>1114D</t>
  </si>
  <si>
    <t>GREAT HOLY CHILD, EMMANUEL OPPONG</t>
  </si>
  <si>
    <t>317D</t>
  </si>
  <si>
    <t>789D</t>
  </si>
  <si>
    <t>Nuersery - JHS</t>
  </si>
  <si>
    <t>1141D</t>
  </si>
  <si>
    <t>758D</t>
  </si>
  <si>
    <t>364D</t>
  </si>
  <si>
    <t>212D</t>
  </si>
  <si>
    <t>767D</t>
  </si>
  <si>
    <t>BAAH COMMUNITY SCHOOL</t>
  </si>
  <si>
    <t>1096D</t>
  </si>
  <si>
    <t>ATEBUBU EXCEL PREPARATORY SCHOOL, ATEBUBU</t>
  </si>
  <si>
    <t>BUBBLY ACADEMY LTD</t>
  </si>
  <si>
    <t>171D</t>
  </si>
  <si>
    <t>KG - JHS</t>
  </si>
  <si>
    <t>ROYAL POWER NEW KARROSSEL ACADEMY</t>
  </si>
  <si>
    <t>creche - JHS</t>
  </si>
  <si>
    <t>PEARL EDUCATION CENTER NKWAWIE/MPASATIA LTD</t>
  </si>
  <si>
    <t>Creche-JHS</t>
  </si>
  <si>
    <t>EMMANUEL-EXCELLENCE EDUCATIONAL COMPLEX</t>
  </si>
  <si>
    <t>GODBLESSED-LIVING WATERS SCHOOL LTD</t>
  </si>
  <si>
    <t>Nursery-JHS</t>
  </si>
  <si>
    <t>Creche-Primary</t>
  </si>
  <si>
    <t>SWIFT ACADEMY</t>
  </si>
  <si>
    <t>136D</t>
  </si>
  <si>
    <t>NEW AVE MARIA PREPARATORY SCHOOL</t>
  </si>
  <si>
    <t>WONDERFUL JESUS INT. SCHOOL LTD.</t>
  </si>
  <si>
    <t>SOUL ANGELS MONTESSORI SCHOOL LTD</t>
  </si>
  <si>
    <t>567D</t>
  </si>
  <si>
    <t>KADUS STEM ACADEMY LTD</t>
  </si>
  <si>
    <t>AUGUSTINE'S AGAPE SCHOOL OF EXCELLENCE/HIGH GATE EDU COMP</t>
  </si>
  <si>
    <t>740D</t>
  </si>
  <si>
    <t>Nursery -JHS</t>
  </si>
  <si>
    <t>GRANDMA'S HOUSE ACADEMY</t>
  </si>
  <si>
    <t>BRIGHT BEGINNING SCHOOL</t>
  </si>
  <si>
    <t>IDEAS ACADEMY-HEMANG LTD</t>
  </si>
  <si>
    <t>551D</t>
  </si>
  <si>
    <t>1099D</t>
  </si>
  <si>
    <t>402D</t>
  </si>
  <si>
    <t>751D</t>
  </si>
  <si>
    <t>555D</t>
  </si>
  <si>
    <t>390D</t>
  </si>
  <si>
    <t>558D</t>
  </si>
  <si>
    <t>1118D</t>
  </si>
  <si>
    <t>BRILLIANT BRAIN SCHOOL</t>
  </si>
  <si>
    <t>MARVELOUS GRACE OF GOD BASIC SCH</t>
  </si>
  <si>
    <t>IDPRSP Loan Disbursement Summary</t>
  </si>
  <si>
    <t>Asset Loan</t>
  </si>
  <si>
    <t>WC Loan</t>
  </si>
  <si>
    <t>Monthly Average</t>
  </si>
  <si>
    <t>No.</t>
  </si>
  <si>
    <t>Value</t>
  </si>
  <si>
    <t>Value (GHS)</t>
  </si>
  <si>
    <t>Value (USD)</t>
  </si>
  <si>
    <t>USD</t>
  </si>
  <si>
    <t>November</t>
  </si>
  <si>
    <t>December</t>
  </si>
  <si>
    <t>January</t>
  </si>
  <si>
    <t>February</t>
  </si>
  <si>
    <t>March</t>
  </si>
  <si>
    <t>April</t>
  </si>
  <si>
    <t>May</t>
  </si>
  <si>
    <t>June</t>
  </si>
  <si>
    <t>July</t>
  </si>
  <si>
    <t>August</t>
  </si>
  <si>
    <t>September</t>
  </si>
  <si>
    <t>October</t>
  </si>
  <si>
    <t>2019 total</t>
  </si>
  <si>
    <t>Avgs</t>
  </si>
  <si>
    <t>2020 total</t>
  </si>
  <si>
    <t>2021 total</t>
  </si>
  <si>
    <t>2022 total</t>
  </si>
  <si>
    <t>2023 total</t>
  </si>
  <si>
    <t>2024 total</t>
  </si>
  <si>
    <t>Disb of 1st tranche</t>
  </si>
  <si>
    <t>cdi</t>
  </si>
  <si>
    <t>Disb of 2nd tranche</t>
  </si>
  <si>
    <t>Disb of 3rd tranche</t>
  </si>
  <si>
    <t>Total IDP Loan</t>
  </si>
  <si>
    <t>Total disb by SAT from 2019 to Dec 2022</t>
  </si>
  <si>
    <t>Excess funds disbursed</t>
  </si>
  <si>
    <t>Excess funds disbursed $</t>
  </si>
  <si>
    <t>diff. in usd</t>
  </si>
  <si>
    <t>2025 total</t>
  </si>
  <si>
    <t>`</t>
  </si>
  <si>
    <t>#</t>
  </si>
  <si>
    <t>%</t>
  </si>
  <si>
    <t>Amount (GHS)</t>
  </si>
  <si>
    <t>Average Size (GHS)</t>
  </si>
  <si>
    <t>#s</t>
  </si>
  <si>
    <t>%s</t>
  </si>
  <si>
    <t>Asset Acquisition Loans Disbursed</t>
  </si>
  <si>
    <t># of 1st cycle loans</t>
  </si>
  <si>
    <t># of Proprietors who are on their 1st loan</t>
  </si>
  <si>
    <t># of 2nd cycle loans</t>
  </si>
  <si>
    <t># of Proprietors who are on their 2nd loan</t>
  </si>
  <si>
    <t># of 3rd cycle loans</t>
  </si>
  <si>
    <t># of Proprietors who are on their 3rd loan</t>
  </si>
  <si>
    <t># of 4th cycle loans</t>
  </si>
  <si>
    <t># of Proprietors who are on their 4th loan</t>
  </si>
  <si>
    <t># of 5th cycle loans</t>
  </si>
  <si>
    <t># of Proprietors who are on their 5th loan</t>
  </si>
  <si>
    <t># of 6th cycle loans</t>
  </si>
  <si>
    <t># of Proprietors who are on their 6th loan</t>
  </si>
  <si>
    <t># of 7th cycle loans</t>
  </si>
  <si>
    <t># of Proprietors who are on their 7th loan</t>
  </si>
  <si>
    <t># of 8th cycle loans</t>
  </si>
  <si>
    <t># of Proprietors who are on their 8th loan</t>
  </si>
  <si>
    <t>School Account</t>
  </si>
  <si>
    <t># of 9th cycle loans</t>
  </si>
  <si>
    <t># of Proprietors who are on their 9th loan</t>
  </si>
  <si>
    <t>Schools openning account this month</t>
  </si>
  <si>
    <t># of 10+ cycle loans</t>
  </si>
  <si>
    <t># of Proprietors who are on their 10th+ loan</t>
  </si>
  <si>
    <t>Cummulative Schools with account*</t>
  </si>
  <si>
    <t>Total # of loans given</t>
  </si>
  <si>
    <t>Total # of Proprietors who have taken at least a loan</t>
  </si>
  <si>
    <t>* # of accounts are more than # of schools with account</t>
  </si>
  <si>
    <t>of trained schools who have taken at least a loan</t>
  </si>
  <si>
    <t>Repayment</t>
  </si>
  <si>
    <t>Current Number Of Loan Clients</t>
  </si>
  <si>
    <t>Repayment in Arrears</t>
  </si>
  <si>
    <t>Portfolio at Risk</t>
  </si>
  <si>
    <t>Currrent Outstanding Balance</t>
  </si>
  <si>
    <t>Proprietors Missing a Repayment</t>
  </si>
  <si>
    <t>Average Interest Rate</t>
  </si>
  <si>
    <t>Loans not expected to be repaid ( include all schools pilot to present)</t>
  </si>
  <si>
    <t>IDPRSP Loan Product Features</t>
  </si>
  <si>
    <t>Current</t>
  </si>
  <si>
    <t>Changed To</t>
  </si>
  <si>
    <t>Actual Interest Rate</t>
  </si>
  <si>
    <t>Maximum Loan Duration</t>
  </si>
  <si>
    <t>24mths</t>
  </si>
  <si>
    <t>Cash collateral required</t>
  </si>
  <si>
    <t>Processing Fee</t>
  </si>
  <si>
    <t>Application Fee</t>
  </si>
  <si>
    <t>Maximum Grace Period</t>
  </si>
  <si>
    <t>4mths</t>
  </si>
  <si>
    <t>Maintenance Fee</t>
  </si>
  <si>
    <t>Any other 1 (Specify)</t>
  </si>
  <si>
    <t>Any other 2 (Specify)</t>
  </si>
  <si>
    <t>Working Capital Loans Disbursed</t>
  </si>
  <si>
    <t>Loan Disbursement</t>
  </si>
  <si>
    <t>Loans not expected to be repaid (include all schools pilot to present)</t>
  </si>
  <si>
    <t>Loan Dibursement</t>
  </si>
  <si>
    <t>Portfolio Quality</t>
  </si>
  <si>
    <t># of Proprietors who have taken 1 loan</t>
  </si>
  <si>
    <t># of Proprietors who have taken a 2nd  loan</t>
  </si>
  <si>
    <t># of Proprietors who have taken a 3rd  loan</t>
  </si>
  <si>
    <t># of Proprietors who have taken  a  4th loan</t>
  </si>
  <si>
    <t># of Proprietors who have taken a 5th loan</t>
  </si>
  <si>
    <t># of Proprietors who have taken a  6th loan</t>
  </si>
  <si>
    <t># of Proprietors who have taken a  7th loan</t>
  </si>
  <si>
    <t># of Proprietors who have taken  an 8th loan</t>
  </si>
  <si>
    <t># of Proprietors who have taken a 9th loan</t>
  </si>
  <si>
    <t># of Proprietors taken who have taken a 10+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</si>
</sst>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 #,##0_);_(* \(#,##0\);_(* &quot;-&quot;??_);_(@_)"/>
    <numFmt numFmtId="165" formatCode="[$-409]dd/mmm/yy;@"/>
    <numFmt numFmtId="166" formatCode="_(&quot;$&quot;* #,##0_);_(&quot;$&quot;* \(#,##0\);_(&quot;$&quot;* &quot;-&quot;??_);_(@_)"/>
    <numFmt numFmtId="167" formatCode="0.0%"/>
    <numFmt numFmtId="168" formatCode="yyyy\-mm\-dd"/>
  </numFmts>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name val="Calibri"/>
      <family val="2"/>
      <scheme val="minor"/>
    </font>
    <font>
      <b/>
      <i/>
      <sz val="11"/>
      <color theme="1"/>
      <name val="Calibri"/>
      <family val="2"/>
      <scheme val="minor"/>
    </font>
    <font>
      <sz val="11"/>
      <color rgb="FF9C5700"/>
      <name val="Calibri"/>
      <family val="2"/>
      <scheme val="minor"/>
    </font>
    <font>
      <b/>
      <sz val="9"/>
      <color theme="0"/>
      <name val="Calibri"/>
      <family val="2"/>
      <scheme val="minor"/>
    </font>
    <font>
      <b/>
      <sz val="18"/>
      <color theme="3"/>
      <name val="Calibri Light"/>
      <family val="2"/>
      <scheme val="major"/>
    </font>
    <font>
      <i/>
      <sz val="11"/>
      <color theme="1"/>
      <name val="Calibri"/>
      <family val="2"/>
      <scheme val="minor"/>
    </font>
    <font>
      <i/>
      <sz val="10"/>
      <color theme="1"/>
      <name val="Calibri"/>
      <family val="2"/>
      <scheme val="minor"/>
    </font>
    <font>
      <u val="singleAccounting"/>
      <sz val="11"/>
      <color theme="1"/>
      <name val="Calibri"/>
      <family val="2"/>
      <scheme val="minor"/>
    </font>
    <font>
      <b/>
      <sz val="11"/>
      <color rgb="FF000000"/>
      <name val="Calibri"/>
      <family val="2"/>
      <scheme val="minor"/>
    </font>
    <font>
      <sz val="11"/>
      <color rgb="FF000000"/>
      <name val="Calibri"/>
      <family val="2"/>
      <scheme val="minor"/>
    </font>
    <font>
      <b/>
      <sz val="11"/>
      <name val="Calibri"/>
      <family val="2"/>
    </font>
    <font>
      <sz val="10"/>
      <color theme="1"/>
      <name val="Calibri"/>
      <family val="2"/>
      <scheme val="minor"/>
    </font>
    <font>
      <b/>
      <sz val="10"/>
      <color theme="1"/>
      <name val="Calibri"/>
      <family val="2"/>
      <scheme val="minor"/>
    </font>
    <font>
      <sz val="10"/>
      <name val="Calibri"/>
      <family val="2"/>
      <scheme val="minor"/>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1"/>
        <bgColor theme="1"/>
      </patternFill>
    </fill>
    <fill>
      <patternFill patternType="solid">
        <fgColor theme="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808080"/>
        <bgColor rgb="FF000000"/>
      </patternFill>
    </fill>
    <fill>
      <patternFill patternType="solid">
        <fgColor theme="5" tint="0.59999389629810485"/>
        <bgColor indexed="64"/>
      </patternFill>
    </fill>
    <fill>
      <patternFill patternType="solid">
        <fgColor theme="3" tint="0.39997558519241921"/>
        <bgColor indexed="64"/>
      </patternFill>
    </fill>
    <fill>
      <patternFill patternType="solid">
        <fgColor rgb="FF00FF00"/>
        <bgColor indexed="64"/>
      </patternFill>
    </fill>
    <fill>
      <patternFill patternType="solid">
        <fgColor rgb="FF00B0F0"/>
        <bgColor indexed="64"/>
      </patternFill>
    </fill>
    <fill>
      <patternFill patternType="solid">
        <fgColor rgb="FFFF33CC"/>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medium">
        <color theme="1"/>
      </top>
      <bottom style="medium">
        <color theme="1"/>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right/>
      <top style="medium">
        <color rgb="FF000000"/>
      </top>
      <bottom style="medium">
        <color rgb="FF000000"/>
      </bottom>
      <diagonal/>
    </border>
  </borders>
  <cellStyleXfs count="6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21"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23" fillId="0" borderId="0" applyNumberFormat="0" applyFill="0" applyBorder="0" applyAlignment="0" applyProtection="0"/>
    <xf numFmtId="44" fontId="1" fillId="0" borderId="0" applyFont="0" applyFill="0" applyBorder="0" applyAlignment="0" applyProtection="0"/>
  </cellStyleXfs>
  <cellXfs count="190">
    <xf numFmtId="0" fontId="0" fillId="0" borderId="0" xfId="0"/>
    <xf numFmtId="15" fontId="0" fillId="0" borderId="0" xfId="0" applyNumberFormat="1"/>
    <xf numFmtId="4" fontId="0" fillId="0" borderId="0" xfId="0" applyNumberFormat="1"/>
    <xf numFmtId="0" fontId="16" fillId="0" borderId="0" xfId="0" applyFont="1"/>
    <xf numFmtId="0" fontId="16" fillId="33" borderId="11" xfId="0" applyFont="1" applyFill="1" applyBorder="1"/>
    <xf numFmtId="0" fontId="16" fillId="0" borderId="10" xfId="0" applyFont="1" applyBorder="1"/>
    <xf numFmtId="0" fontId="0" fillId="0" borderId="10" xfId="0" applyBorder="1"/>
    <xf numFmtId="15" fontId="0" fillId="0" borderId="10" xfId="0" applyNumberFormat="1" applyBorder="1"/>
    <xf numFmtId="4" fontId="0" fillId="0" borderId="10" xfId="0" applyNumberFormat="1" applyBorder="1"/>
    <xf numFmtId="15" fontId="0" fillId="0" borderId="10" xfId="0" applyNumberFormat="1" applyBorder="1" applyAlignment="1">
      <alignment horizontal="right"/>
    </xf>
    <xf numFmtId="0" fontId="16" fillId="0" borderId="10" xfId="0" applyFont="1" applyBorder="1" applyAlignment="1">
      <alignment horizontal="center"/>
    </xf>
    <xf numFmtId="43" fontId="0" fillId="0" borderId="10" xfId="42" applyFont="1" applyBorder="1"/>
    <xf numFmtId="0" fontId="16" fillId="0" borderId="12" xfId="0" applyFont="1" applyBorder="1"/>
    <xf numFmtId="0" fontId="16" fillId="0" borderId="13" xfId="0" applyFont="1" applyBorder="1" applyAlignment="1">
      <alignment horizontal="center"/>
    </xf>
    <xf numFmtId="0" fontId="16" fillId="0" borderId="13" xfId="0" applyFont="1" applyBorder="1"/>
    <xf numFmtId="0" fontId="16" fillId="0" borderId="14" xfId="0" applyFont="1" applyBorder="1"/>
    <xf numFmtId="17" fontId="0" fillId="0" borderId="0" xfId="0" applyNumberFormat="1"/>
    <xf numFmtId="0" fontId="0" fillId="0" borderId="15" xfId="0" applyBorder="1"/>
    <xf numFmtId="0" fontId="0" fillId="0" borderId="10" xfId="0" applyBorder="1" applyAlignment="1">
      <alignment horizontal="right"/>
    </xf>
    <xf numFmtId="9" fontId="0" fillId="0" borderId="10" xfId="0" applyNumberFormat="1" applyBorder="1" applyAlignment="1">
      <alignment horizontal="right"/>
    </xf>
    <xf numFmtId="164" fontId="0" fillId="0" borderId="10" xfId="42" applyNumberFormat="1" applyFont="1" applyBorder="1" applyAlignment="1">
      <alignment horizontal="right"/>
    </xf>
    <xf numFmtId="164" fontId="0" fillId="0" borderId="16" xfId="42" applyNumberFormat="1" applyFont="1" applyBorder="1"/>
    <xf numFmtId="0" fontId="0" fillId="0" borderId="15" xfId="0" applyBorder="1" applyAlignment="1">
      <alignment horizontal="right"/>
    </xf>
    <xf numFmtId="9" fontId="0" fillId="0" borderId="10" xfId="0" applyNumberFormat="1" applyBorder="1"/>
    <xf numFmtId="164" fontId="0" fillId="0" borderId="10" xfId="42" applyNumberFormat="1" applyFont="1" applyBorder="1"/>
    <xf numFmtId="0" fontId="0" fillId="0" borderId="17" xfId="0" applyBorder="1" applyAlignment="1">
      <alignment horizontal="left"/>
    </xf>
    <xf numFmtId="0" fontId="0" fillId="0" borderId="18" xfId="0" applyBorder="1"/>
    <xf numFmtId="164" fontId="0" fillId="0" borderId="18" xfId="42" applyNumberFormat="1" applyFont="1" applyBorder="1"/>
    <xf numFmtId="164" fontId="0" fillId="0" borderId="19" xfId="42" applyNumberFormat="1" applyFont="1" applyBorder="1"/>
    <xf numFmtId="0" fontId="16" fillId="0" borderId="12" xfId="0" applyFont="1" applyBorder="1" applyAlignment="1">
      <alignment horizontal="left"/>
    </xf>
    <xf numFmtId="0" fontId="0" fillId="34" borderId="10" xfId="0" applyFill="1" applyBorder="1"/>
    <xf numFmtId="0" fontId="0" fillId="34" borderId="16" xfId="0" applyFill="1" applyBorder="1"/>
    <xf numFmtId="0" fontId="0" fillId="35" borderId="16" xfId="0" applyFill="1" applyBorder="1"/>
    <xf numFmtId="0" fontId="0" fillId="35" borderId="10" xfId="0" applyFill="1" applyBorder="1"/>
    <xf numFmtId="9" fontId="0" fillId="0" borderId="0" xfId="43" applyFont="1"/>
    <xf numFmtId="0" fontId="0" fillId="0" borderId="17" xfId="0" applyBorder="1" applyAlignment="1">
      <alignment horizontal="right"/>
    </xf>
    <xf numFmtId="9" fontId="0" fillId="0" borderId="18" xfId="0" applyNumberFormat="1" applyBorder="1"/>
    <xf numFmtId="164" fontId="0" fillId="0" borderId="0" xfId="0" applyNumberFormat="1"/>
    <xf numFmtId="4" fontId="16" fillId="0" borderId="0" xfId="0" applyNumberFormat="1" applyFont="1"/>
    <xf numFmtId="4" fontId="16" fillId="0" borderId="10" xfId="0" applyNumberFormat="1" applyFont="1" applyBorder="1"/>
    <xf numFmtId="43" fontId="0" fillId="0" borderId="0" xfId="0" applyNumberFormat="1"/>
    <xf numFmtId="0" fontId="18" fillId="0" borderId="10" xfId="0" applyFont="1" applyBorder="1"/>
    <xf numFmtId="164" fontId="0" fillId="0" borderId="16" xfId="42" applyNumberFormat="1" applyFont="1" applyFill="1" applyBorder="1"/>
    <xf numFmtId="4" fontId="16" fillId="0" borderId="20" xfId="0" applyNumberFormat="1" applyFont="1" applyBorder="1"/>
    <xf numFmtId="43" fontId="0" fillId="0" borderId="10" xfId="42" applyFont="1" applyFill="1" applyBorder="1"/>
    <xf numFmtId="0" fontId="16" fillId="0" borderId="23" xfId="0" applyFont="1" applyBorder="1"/>
    <xf numFmtId="0" fontId="16" fillId="0" borderId="24" xfId="0" applyFont="1" applyBorder="1"/>
    <xf numFmtId="15" fontId="18" fillId="0" borderId="10" xfId="0" applyNumberFormat="1" applyFont="1" applyBorder="1"/>
    <xf numFmtId="4" fontId="18" fillId="0" borderId="10" xfId="0" applyNumberFormat="1" applyFont="1" applyBorder="1"/>
    <xf numFmtId="0" fontId="20" fillId="0" borderId="20" xfId="0" applyFont="1" applyBorder="1" applyAlignment="1">
      <alignment horizontal="right"/>
    </xf>
    <xf numFmtId="0" fontId="16" fillId="0" borderId="20" xfId="0" applyFont="1" applyBorder="1"/>
    <xf numFmtId="10" fontId="0" fillId="0" borderId="10" xfId="0" applyNumberFormat="1" applyBorder="1"/>
    <xf numFmtId="9" fontId="0" fillId="0" borderId="10" xfId="43" applyFont="1" applyBorder="1"/>
    <xf numFmtId="164" fontId="16" fillId="0" borderId="18" xfId="42" applyNumberFormat="1" applyFont="1" applyBorder="1"/>
    <xf numFmtId="164" fontId="16" fillId="0" borderId="19" xfId="42" applyNumberFormat="1" applyFont="1" applyBorder="1"/>
    <xf numFmtId="0" fontId="16" fillId="0" borderId="17" xfId="0" applyFont="1" applyBorder="1" applyAlignment="1">
      <alignment horizontal="left"/>
    </xf>
    <xf numFmtId="0" fontId="16" fillId="0" borderId="18" xfId="0" applyFont="1" applyBorder="1"/>
    <xf numFmtId="43" fontId="16" fillId="0" borderId="20" xfId="0" applyNumberFormat="1" applyFont="1" applyBorder="1"/>
    <xf numFmtId="0" fontId="0" fillId="36" borderId="10" xfId="0" applyFill="1" applyBorder="1"/>
    <xf numFmtId="0" fontId="0" fillId="37" borderId="10" xfId="0" applyFill="1" applyBorder="1"/>
    <xf numFmtId="4" fontId="0" fillId="37" borderId="10" xfId="0" applyNumberFormat="1" applyFill="1" applyBorder="1"/>
    <xf numFmtId="0" fontId="18" fillId="37" borderId="10" xfId="0" applyFont="1" applyFill="1" applyBorder="1"/>
    <xf numFmtId="0" fontId="18" fillId="36" borderId="10" xfId="0" applyFont="1" applyFill="1" applyBorder="1"/>
    <xf numFmtId="0" fontId="0" fillId="38" borderId="10" xfId="0" applyFill="1" applyBorder="1"/>
    <xf numFmtId="17" fontId="16" fillId="33" borderId="11" xfId="0" applyNumberFormat="1" applyFont="1" applyFill="1" applyBorder="1"/>
    <xf numFmtId="0" fontId="0" fillId="0" borderId="10" xfId="0" applyBorder="1" applyAlignment="1">
      <alignment horizontal="center"/>
    </xf>
    <xf numFmtId="164" fontId="0" fillId="0" borderId="15" xfId="0" applyNumberFormat="1" applyBorder="1"/>
    <xf numFmtId="164" fontId="0" fillId="0" borderId="17" xfId="0" applyNumberFormat="1" applyBorder="1"/>
    <xf numFmtId="0" fontId="22" fillId="39" borderId="26" xfId="0" applyFont="1" applyFill="1" applyBorder="1" applyAlignment="1">
      <alignment horizontal="center"/>
    </xf>
    <xf numFmtId="0" fontId="0" fillId="0" borderId="16" xfId="0" applyBorder="1"/>
    <xf numFmtId="0" fontId="0" fillId="0" borderId="19" xfId="0" applyBorder="1"/>
    <xf numFmtId="0" fontId="16" fillId="0" borderId="28" xfId="0" applyFont="1" applyBorder="1" applyAlignment="1">
      <alignment horizontal="center"/>
    </xf>
    <xf numFmtId="9" fontId="0" fillId="0" borderId="15" xfId="43" applyFont="1" applyBorder="1" applyAlignment="1">
      <alignment horizontal="center"/>
    </xf>
    <xf numFmtId="9" fontId="0" fillId="0" borderId="17" xfId="43" applyFont="1" applyBorder="1" applyAlignment="1">
      <alignment horizontal="center"/>
    </xf>
    <xf numFmtId="0" fontId="0" fillId="0" borderId="18" xfId="0" applyBorder="1" applyAlignment="1">
      <alignment horizontal="center"/>
    </xf>
    <xf numFmtId="9" fontId="0" fillId="0" borderId="16" xfId="43" applyFont="1" applyBorder="1" applyAlignment="1">
      <alignment horizontal="center"/>
    </xf>
    <xf numFmtId="9" fontId="0" fillId="0" borderId="19" xfId="43" applyFont="1" applyBorder="1" applyAlignment="1">
      <alignment horizontal="center"/>
    </xf>
    <xf numFmtId="9" fontId="0" fillId="0" borderId="28" xfId="43" applyFont="1" applyBorder="1" applyAlignment="1">
      <alignment horizontal="center"/>
    </xf>
    <xf numFmtId="0" fontId="13" fillId="40" borderId="27" xfId="0" applyFont="1" applyFill="1" applyBorder="1" applyAlignment="1">
      <alignment horizontal="center"/>
    </xf>
    <xf numFmtId="9" fontId="13" fillId="40" borderId="27" xfId="43" applyFont="1" applyFill="1" applyBorder="1" applyAlignment="1">
      <alignment horizontal="center"/>
    </xf>
    <xf numFmtId="9" fontId="13" fillId="40" borderId="25" xfId="43" applyFont="1" applyFill="1" applyBorder="1" applyAlignment="1">
      <alignment horizontal="center"/>
    </xf>
    <xf numFmtId="0" fontId="13" fillId="40" borderId="25" xfId="0" applyFont="1" applyFill="1" applyBorder="1" applyAlignment="1">
      <alignment horizontal="center"/>
    </xf>
    <xf numFmtId="164" fontId="0" fillId="41" borderId="12" xfId="0" applyNumberFormat="1" applyFill="1" applyBorder="1"/>
    <xf numFmtId="0" fontId="0" fillId="41" borderId="13" xfId="0" applyFill="1" applyBorder="1" applyAlignment="1">
      <alignment horizontal="center"/>
    </xf>
    <xf numFmtId="9" fontId="0" fillId="41" borderId="14" xfId="43" applyFont="1" applyFill="1" applyBorder="1" applyAlignment="1">
      <alignment horizontal="center"/>
    </xf>
    <xf numFmtId="9" fontId="0" fillId="41" borderId="28" xfId="43" applyFont="1" applyFill="1" applyBorder="1" applyAlignment="1">
      <alignment horizontal="center"/>
    </xf>
    <xf numFmtId="9" fontId="0" fillId="41" borderId="12" xfId="43" applyFont="1" applyFill="1" applyBorder="1" applyAlignment="1">
      <alignment horizontal="center"/>
    </xf>
    <xf numFmtId="0" fontId="0" fillId="41" borderId="14" xfId="0" applyFill="1" applyBorder="1"/>
    <xf numFmtId="164" fontId="0" fillId="41" borderId="15" xfId="0" applyNumberFormat="1" applyFill="1" applyBorder="1"/>
    <xf numFmtId="0" fontId="0" fillId="41" borderId="10" xfId="0" applyFill="1" applyBorder="1" applyAlignment="1">
      <alignment horizontal="center"/>
    </xf>
    <xf numFmtId="9" fontId="0" fillId="41" borderId="16" xfId="43" applyFont="1" applyFill="1" applyBorder="1" applyAlignment="1">
      <alignment horizontal="center"/>
    </xf>
    <xf numFmtId="9" fontId="0" fillId="41" borderId="15" xfId="43" applyFont="1" applyFill="1" applyBorder="1" applyAlignment="1">
      <alignment horizontal="center"/>
    </xf>
    <xf numFmtId="0" fontId="0" fillId="41" borderId="16" xfId="0" applyFill="1" applyBorder="1"/>
    <xf numFmtId="164" fontId="13" fillId="40" borderId="25" xfId="0" applyNumberFormat="1" applyFont="1" applyFill="1" applyBorder="1"/>
    <xf numFmtId="0" fontId="13" fillId="40" borderId="25" xfId="0" applyFont="1" applyFill="1" applyBorder="1"/>
    <xf numFmtId="0" fontId="24" fillId="0" borderId="0" xfId="0" applyFont="1"/>
    <xf numFmtId="43" fontId="16" fillId="0" borderId="0" xfId="0" applyNumberFormat="1" applyFont="1"/>
    <xf numFmtId="0" fontId="14" fillId="0" borderId="10" xfId="0" applyFont="1" applyBorder="1"/>
    <xf numFmtId="0" fontId="0" fillId="0" borderId="0" xfId="0" applyAlignment="1">
      <alignment horizontal="right"/>
    </xf>
    <xf numFmtId="43" fontId="0" fillId="37" borderId="0" xfId="0" applyNumberFormat="1" applyFill="1"/>
    <xf numFmtId="0" fontId="16" fillId="0" borderId="14" xfId="0" applyFont="1" applyBorder="1" applyAlignment="1">
      <alignment horizontal="center"/>
    </xf>
    <xf numFmtId="0" fontId="0" fillId="0" borderId="17" xfId="0" applyBorder="1"/>
    <xf numFmtId="9" fontId="0" fillId="0" borderId="19" xfId="43" applyFont="1" applyBorder="1"/>
    <xf numFmtId="0" fontId="25" fillId="0" borderId="0" xfId="0" applyFont="1"/>
    <xf numFmtId="9" fontId="0" fillId="0" borderId="19" xfId="43" applyFont="1" applyFill="1" applyBorder="1"/>
    <xf numFmtId="165" fontId="0" fillId="0" borderId="0" xfId="0" applyNumberFormat="1"/>
    <xf numFmtId="165" fontId="0" fillId="0" borderId="10" xfId="0" applyNumberFormat="1" applyBorder="1"/>
    <xf numFmtId="165" fontId="16" fillId="0" borderId="10" xfId="0" applyNumberFormat="1" applyFont="1" applyBorder="1"/>
    <xf numFmtId="43" fontId="26" fillId="0" borderId="0" xfId="0" applyNumberFormat="1" applyFont="1"/>
    <xf numFmtId="0" fontId="16" fillId="0" borderId="0" xfId="0" applyFont="1" applyAlignment="1">
      <alignment horizontal="right"/>
    </xf>
    <xf numFmtId="43" fontId="16" fillId="0" borderId="10" xfId="0" applyNumberFormat="1" applyFont="1" applyBorder="1"/>
    <xf numFmtId="10" fontId="0" fillId="0" borderId="0" xfId="43" applyNumberFormat="1" applyFont="1"/>
    <xf numFmtId="4" fontId="0" fillId="36" borderId="10" xfId="0" applyNumberFormat="1" applyFill="1" applyBorder="1"/>
    <xf numFmtId="43" fontId="0" fillId="36" borderId="10" xfId="42" applyFont="1" applyFill="1" applyBorder="1"/>
    <xf numFmtId="0" fontId="16" fillId="33" borderId="10" xfId="0" applyFont="1" applyFill="1" applyBorder="1"/>
    <xf numFmtId="0" fontId="0" fillId="0" borderId="22" xfId="0" applyBorder="1"/>
    <xf numFmtId="0" fontId="18" fillId="0" borderId="22" xfId="0" applyFont="1" applyBorder="1"/>
    <xf numFmtId="0" fontId="13" fillId="40" borderId="11" xfId="0" applyFont="1" applyFill="1" applyBorder="1" applyAlignment="1">
      <alignment horizontal="center"/>
    </xf>
    <xf numFmtId="0" fontId="13" fillId="40" borderId="11" xfId="0" applyFont="1" applyFill="1" applyBorder="1"/>
    <xf numFmtId="9" fontId="16" fillId="42" borderId="30" xfId="43" applyFont="1" applyFill="1" applyBorder="1" applyAlignment="1">
      <alignment horizontal="center"/>
    </xf>
    <xf numFmtId="0" fontId="0" fillId="42" borderId="29" xfId="0" applyFill="1" applyBorder="1"/>
    <xf numFmtId="43" fontId="18" fillId="36" borderId="10" xfId="42" applyFont="1" applyFill="1" applyBorder="1"/>
    <xf numFmtId="0" fontId="27" fillId="0" borderId="12" xfId="0" applyFont="1" applyBorder="1" applyAlignment="1">
      <alignment horizontal="left"/>
    </xf>
    <xf numFmtId="0" fontId="27" fillId="0" borderId="13" xfId="0" applyFont="1" applyBorder="1" applyAlignment="1">
      <alignment horizontal="center"/>
    </xf>
    <xf numFmtId="0" fontId="27" fillId="0" borderId="14" xfId="0" applyFont="1" applyBorder="1" applyAlignment="1">
      <alignment horizontal="center"/>
    </xf>
    <xf numFmtId="0" fontId="28" fillId="0" borderId="15" xfId="0" applyFont="1" applyBorder="1" applyAlignment="1">
      <alignment horizontal="right"/>
    </xf>
    <xf numFmtId="9" fontId="28" fillId="0" borderId="10" xfId="0" applyNumberFormat="1" applyFont="1" applyBorder="1"/>
    <xf numFmtId="0" fontId="28" fillId="0" borderId="16" xfId="0" applyFont="1" applyBorder="1"/>
    <xf numFmtId="0" fontId="28" fillId="0" borderId="10" xfId="0" applyFont="1" applyBorder="1" applyAlignment="1">
      <alignment horizontal="right"/>
    </xf>
    <xf numFmtId="0" fontId="28" fillId="0" borderId="10" xfId="0" applyFont="1" applyBorder="1"/>
    <xf numFmtId="0" fontId="28" fillId="43" borderId="10" xfId="0" applyFont="1" applyFill="1" applyBorder="1"/>
    <xf numFmtId="0" fontId="28" fillId="0" borderId="17" xfId="0" applyFont="1" applyBorder="1" applyAlignment="1">
      <alignment horizontal="right"/>
    </xf>
    <xf numFmtId="0" fontId="28" fillId="43" borderId="18" xfId="0" applyFont="1" applyFill="1" applyBorder="1"/>
    <xf numFmtId="0" fontId="28" fillId="0" borderId="19" xfId="0" applyFont="1" applyBorder="1"/>
    <xf numFmtId="43" fontId="0" fillId="0" borderId="10" xfId="0" applyNumberFormat="1" applyBorder="1"/>
    <xf numFmtId="43" fontId="16" fillId="0" borderId="10" xfId="42" applyFont="1" applyBorder="1"/>
    <xf numFmtId="165" fontId="16" fillId="0" borderId="0" xfId="0" applyNumberFormat="1" applyFont="1"/>
    <xf numFmtId="4" fontId="0" fillId="0" borderId="23" xfId="0" applyNumberFormat="1" applyBorder="1"/>
    <xf numFmtId="3" fontId="0" fillId="0" borderId="10" xfId="0" applyNumberFormat="1" applyBorder="1"/>
    <xf numFmtId="43" fontId="0" fillId="0" borderId="21" xfId="42" applyFont="1" applyBorder="1"/>
    <xf numFmtId="44" fontId="0" fillId="0" borderId="25" xfId="59" applyFont="1" applyBorder="1"/>
    <xf numFmtId="44" fontId="16" fillId="0" borderId="0" xfId="59" applyFont="1" applyBorder="1"/>
    <xf numFmtId="166" fontId="16" fillId="0" borderId="25" xfId="59" applyNumberFormat="1" applyFont="1" applyBorder="1"/>
    <xf numFmtId="0" fontId="16" fillId="0" borderId="31" xfId="0" applyFont="1" applyBorder="1" applyAlignment="1">
      <alignment horizontal="center"/>
    </xf>
    <xf numFmtId="0" fontId="20" fillId="0" borderId="10" xfId="0" applyFont="1" applyBorder="1" applyAlignment="1">
      <alignment horizontal="right"/>
    </xf>
    <xf numFmtId="4" fontId="16" fillId="0" borderId="25" xfId="0" applyNumberFormat="1" applyFont="1" applyBorder="1"/>
    <xf numFmtId="43" fontId="0" fillId="0" borderId="21" xfId="42" applyFont="1" applyFill="1" applyBorder="1"/>
    <xf numFmtId="164" fontId="0" fillId="0" borderId="10" xfId="0" applyNumberFormat="1" applyBorder="1"/>
    <xf numFmtId="164" fontId="0" fillId="0" borderId="10" xfId="0" applyNumberFormat="1" applyBorder="1" applyAlignment="1">
      <alignment horizontal="center"/>
    </xf>
    <xf numFmtId="167" fontId="0" fillId="0" borderId="10" xfId="0" applyNumberFormat="1" applyBorder="1" applyAlignment="1">
      <alignment horizontal="right"/>
    </xf>
    <xf numFmtId="0" fontId="0" fillId="44" borderId="0" xfId="0" applyFill="1"/>
    <xf numFmtId="168" fontId="0" fillId="0" borderId="0" xfId="0" applyNumberFormat="1"/>
    <xf numFmtId="0" fontId="0" fillId="36" borderId="0" xfId="0" applyFill="1"/>
    <xf numFmtId="168" fontId="0" fillId="36" borderId="32" xfId="0" applyNumberFormat="1" applyFill="1" applyBorder="1"/>
    <xf numFmtId="168" fontId="0" fillId="0" borderId="33" xfId="0" applyNumberFormat="1" applyBorder="1"/>
    <xf numFmtId="0" fontId="0" fillId="0" borderId="0" xfId="0" applyAlignment="1">
      <alignment wrapText="1"/>
    </xf>
    <xf numFmtId="3" fontId="0" fillId="0" borderId="0" xfId="0" applyNumberFormat="1"/>
    <xf numFmtId="0" fontId="0" fillId="0" borderId="34" xfId="0" applyBorder="1"/>
    <xf numFmtId="0" fontId="0" fillId="36" borderId="0" xfId="0" applyFill="1" applyAlignment="1">
      <alignment wrapText="1"/>
    </xf>
    <xf numFmtId="43" fontId="29" fillId="36" borderId="35" xfId="42" applyFont="1" applyFill="1" applyBorder="1" applyAlignment="1">
      <alignment horizontal="center" vertical="center" wrapText="1"/>
    </xf>
    <xf numFmtId="0" fontId="30" fillId="0" borderId="0" xfId="0" applyFont="1"/>
    <xf numFmtId="0" fontId="31" fillId="0" borderId="0" xfId="0" applyFont="1"/>
    <xf numFmtId="0" fontId="31" fillId="0" borderId="0" xfId="0" applyFont="1" applyAlignment="1">
      <alignment horizontal="center"/>
    </xf>
    <xf numFmtId="0" fontId="30" fillId="0" borderId="0" xfId="0" applyFont="1" applyAlignment="1">
      <alignment horizontal="center"/>
    </xf>
    <xf numFmtId="14" fontId="30" fillId="0" borderId="0" xfId="0" applyNumberFormat="1" applyFont="1"/>
    <xf numFmtId="43" fontId="30" fillId="0" borderId="0" xfId="42" applyFont="1" applyFill="1"/>
    <xf numFmtId="43" fontId="30" fillId="45" borderId="0" xfId="42" applyFont="1" applyFill="1"/>
    <xf numFmtId="0" fontId="30" fillId="46" borderId="0" xfId="0" applyFont="1" applyFill="1"/>
    <xf numFmtId="0" fontId="30" fillId="47" borderId="0" xfId="0" applyFont="1" applyFill="1"/>
    <xf numFmtId="43" fontId="30" fillId="0" borderId="0" xfId="42" applyFont="1"/>
    <xf numFmtId="0" fontId="30" fillId="37" borderId="0" xfId="0" applyFont="1" applyFill="1"/>
    <xf numFmtId="0" fontId="32" fillId="0" borderId="0" xfId="0" applyFont="1"/>
    <xf numFmtId="0" fontId="32" fillId="0" borderId="0" xfId="0" applyFont="1" applyAlignment="1">
      <alignment horizontal="center"/>
    </xf>
    <xf numFmtId="14" fontId="32" fillId="0" borderId="0" xfId="0" applyNumberFormat="1" applyFont="1"/>
    <xf numFmtId="43" fontId="32" fillId="45" borderId="0" xfId="42" applyFont="1" applyFill="1"/>
    <xf numFmtId="0" fontId="30" fillId="48" borderId="0" xfId="0" applyFont="1" applyFill="1"/>
    <xf numFmtId="0" fontId="30" fillId="36" borderId="0" xfId="0" applyFont="1" applyFill="1"/>
    <xf numFmtId="43" fontId="32" fillId="0" borderId="0" xfId="42" applyFont="1"/>
    <xf numFmtId="0" fontId="0" fillId="0" borderId="0" xfId="0" applyAlignment="1">
      <alignment horizontal="center"/>
    </xf>
    <xf numFmtId="43" fontId="32" fillId="0" borderId="0" xfId="42" applyFont="1" applyFill="1"/>
    <xf numFmtId="43" fontId="31" fillId="0" borderId="0" xfId="42" applyFont="1"/>
    <xf numFmtId="43" fontId="30" fillId="0" borderId="0" xfId="0" applyNumberFormat="1" applyFont="1"/>
    <xf numFmtId="164" fontId="30" fillId="0" borderId="0" xfId="42" applyNumberFormat="1" applyFont="1"/>
    <xf numFmtId="164" fontId="30" fillId="0" borderId="0" xfId="0" applyNumberFormat="1" applyFont="1"/>
    <xf numFmtId="0" fontId="16" fillId="0" borderId="28" xfId="0" applyFont="1" applyBorder="1" applyAlignment="1">
      <alignment horizontal="center" wrapText="1"/>
    </xf>
    <xf numFmtId="0" fontId="16" fillId="0" borderId="22" xfId="0" applyFont="1" applyBorder="1" applyAlignment="1">
      <alignment horizontal="center" wrapText="1"/>
    </xf>
    <xf numFmtId="0" fontId="16" fillId="0" borderId="21" xfId="0" applyFont="1" applyBorder="1" applyAlignment="1">
      <alignment horizontal="center"/>
    </xf>
    <xf numFmtId="0" fontId="16" fillId="0" borderId="22" xfId="0" applyFont="1" applyBorder="1" applyAlignment="1">
      <alignment horizontal="center"/>
    </xf>
    <xf numFmtId="0" fontId="16" fillId="0" borderId="10" xfId="0" applyFont="1" applyBorder="1" applyAlignment="1">
      <alignment horizontal="center"/>
    </xf>
    <xf numFmtId="0" fontId="16" fillId="0" borderId="28" xfId="0" applyFont="1" applyBorder="1" applyAlignment="1">
      <alignment horizontal="center"/>
    </xf>
  </cellXfs>
  <cellStyles count="6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1 2" xfId="52" xr:uid="{00000000-0005-0000-0000-00000D000000}"/>
    <cellStyle name="60% - Accent1 3" xfId="45" xr:uid="{00000000-0005-0000-0000-00000E000000}"/>
    <cellStyle name="60% - Accent2" xfId="25" builtinId="36" customBuiltin="1"/>
    <cellStyle name="60% - Accent2 2" xfId="53" xr:uid="{00000000-0005-0000-0000-000010000000}"/>
    <cellStyle name="60% - Accent2 3" xfId="46" xr:uid="{00000000-0005-0000-0000-000011000000}"/>
    <cellStyle name="60% - Accent3" xfId="29" builtinId="40" customBuiltin="1"/>
    <cellStyle name="60% - Accent3 2" xfId="54" xr:uid="{00000000-0005-0000-0000-000013000000}"/>
    <cellStyle name="60% - Accent3 3" xfId="47" xr:uid="{00000000-0005-0000-0000-000014000000}"/>
    <cellStyle name="60% - Accent4" xfId="33" builtinId="44" customBuiltin="1"/>
    <cellStyle name="60% - Accent4 2" xfId="55" xr:uid="{00000000-0005-0000-0000-000016000000}"/>
    <cellStyle name="60% - Accent4 3" xfId="48" xr:uid="{00000000-0005-0000-0000-000017000000}"/>
    <cellStyle name="60% - Accent5" xfId="37" builtinId="48" customBuiltin="1"/>
    <cellStyle name="60% - Accent5 2" xfId="56" xr:uid="{00000000-0005-0000-0000-000019000000}"/>
    <cellStyle name="60% - Accent5 3" xfId="49" xr:uid="{00000000-0005-0000-0000-00001A000000}"/>
    <cellStyle name="60% - Accent6" xfId="41" builtinId="52" customBuiltin="1"/>
    <cellStyle name="60% - Accent6 2" xfId="57" xr:uid="{00000000-0005-0000-0000-00001C000000}"/>
    <cellStyle name="60% - Accent6 3" xfId="50" xr:uid="{00000000-0005-0000-0000-00001D000000}"/>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59"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eutral 2" xfId="51" xr:uid="{00000000-0005-0000-0000-000031000000}"/>
    <cellStyle name="Neutral 3" xfId="44" xr:uid="{00000000-0005-0000-0000-000032000000}"/>
    <cellStyle name="Normal" xfId="0" builtinId="0"/>
    <cellStyle name="Note" xfId="15" builtinId="10" customBuiltin="1"/>
    <cellStyle name="Output" xfId="10" builtinId="21" customBuiltin="1"/>
    <cellStyle name="Percent" xfId="43" builtinId="5"/>
    <cellStyle name="Title" xfId="1" builtinId="15" customBuiltin="1"/>
    <cellStyle name="Title 2" xfId="58" xr:uid="{228DF4AA-4BF6-4EBA-914A-BB1C23566FBE}"/>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worksheet" Target="worksheets/sheet89.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calcChain" Target="calcChain.xml"/><Relationship Id="rId10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99B-48CD-A5EF-5206BC02B9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99B-48CD-A5EF-5206BC02B9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99B-48CD-A5EF-5206BC02B9C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99B-48CD-A5EF-5206BC02B9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'Sept, 2025'!$A$3:$A$6</c:f>
              <c:strCache>
                <c:ptCount val="4"/>
                <c:pt idx="0">
                  <c:v>Infrastructure</c:v>
                </c:pt>
                <c:pt idx="1">
                  <c:v>Land</c:v>
                </c:pt>
                <c:pt idx="2">
                  <c:v>Vehicle</c:v>
                </c:pt>
                <c:pt idx="3">
                  <c:v>Working Capital</c:v>
                </c:pt>
              </c:strCache>
            </c:strRef>
          </c:cat>
          <c:val>
            <c:numRef>
              <c:f>'Sept, 2025'!$C$3:$C$6</c:f>
              <c:numCache>
                <c:formatCode>0.0%</c:formatCode>
                <c:ptCount val="4"/>
                <c:pt idx="0">
                  <c:v>0.79378531073446323</c:v>
                </c:pt>
                <c:pt idx="1">
                  <c:v>2.5423728813559324E-2</c:v>
                </c:pt>
                <c:pt idx="2">
                  <c:v>0.11770244821092278</c:v>
                </c:pt>
                <c:pt idx="3">
                  <c:v>6.308851224105462E-2</c:v>
                </c:pt>
              </c:numCache>
            </c:numRef>
          </c:val>
          <c:extLst>
            <c:ext xmlns:c16="http://schemas.microsoft.com/office/drawing/2014/chart" uri="{C3380CC4-5D6E-409C-BE32-E72D297353CC}">
              <c16:uniqueId val="{00000000-0E9F-4D56-893F-E8C4612C939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D135-47F0-A84A-F54C7107CD2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D135-47F0-A84A-F54C7107CD2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D135-47F0-A84A-F54C7107CD27}"/>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D135-47F0-A84A-F54C7107CD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'June, 2025'!$A$3:$A$6</c:f>
              <c:strCache>
                <c:ptCount val="4"/>
                <c:pt idx="0">
                  <c:v>Infrastructure</c:v>
                </c:pt>
                <c:pt idx="1">
                  <c:v>Land</c:v>
                </c:pt>
                <c:pt idx="2">
                  <c:v>Vehicle</c:v>
                </c:pt>
                <c:pt idx="3">
                  <c:v>Working Capital</c:v>
                </c:pt>
              </c:strCache>
            </c:strRef>
          </c:cat>
          <c:val>
            <c:numRef>
              <c:f>'June, 2025'!$C$3:$C$6</c:f>
              <c:numCache>
                <c:formatCode>0.0%</c:formatCode>
                <c:ptCount val="4"/>
                <c:pt idx="0">
                  <c:v>0.79105928085519928</c:v>
                </c:pt>
                <c:pt idx="1">
                  <c:v>2.5267249757045675E-2</c:v>
                </c:pt>
                <c:pt idx="2">
                  <c:v>0.1185617103984451</c:v>
                </c:pt>
                <c:pt idx="3">
                  <c:v>6.5111758989310015E-2</c:v>
                </c:pt>
              </c:numCache>
            </c:numRef>
          </c:val>
          <c:extLst>
            <c:ext xmlns:c16="http://schemas.microsoft.com/office/drawing/2014/chart" uri="{C3380CC4-5D6E-409C-BE32-E72D297353CC}">
              <c16:uniqueId val="{00000008-D135-47F0-A84A-F54C7107CD2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08C7-4A05-B4B0-A4490ECDCCE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7CE0-4811-BE09-98F0335C084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2-08C7-4A05-B4B0-A4490ECDCCE7}"/>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7CE0-4811-BE09-98F0335C08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'Mar, 2025'!$A$3:$A$6</c:f>
              <c:strCache>
                <c:ptCount val="4"/>
                <c:pt idx="0">
                  <c:v>Infrastructure</c:v>
                </c:pt>
                <c:pt idx="1">
                  <c:v>Land</c:v>
                </c:pt>
                <c:pt idx="2">
                  <c:v>Vehicle</c:v>
                </c:pt>
                <c:pt idx="3">
                  <c:v>Working Capital</c:v>
                </c:pt>
              </c:strCache>
            </c:strRef>
          </c:cat>
          <c:val>
            <c:numRef>
              <c:f>'Mar, 2025'!$C$3:$C$6</c:f>
              <c:numCache>
                <c:formatCode>0%</c:formatCode>
                <c:ptCount val="4"/>
                <c:pt idx="0">
                  <c:v>0.78649453823237336</c:v>
                </c:pt>
                <c:pt idx="1">
                  <c:v>2.5819265143992055E-2</c:v>
                </c:pt>
                <c:pt idx="2">
                  <c:v>0.1211519364448858</c:v>
                </c:pt>
                <c:pt idx="3">
                  <c:v>6.6534260178748764E-2</c:v>
                </c:pt>
              </c:numCache>
            </c:numRef>
          </c:val>
          <c:extLst>
            <c:ext xmlns:c16="http://schemas.microsoft.com/office/drawing/2014/chart" uri="{C3380CC4-5D6E-409C-BE32-E72D297353CC}">
              <c16:uniqueId val="{00000000-08C7-4A05-B4B0-A4490ECDCCE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194468</xdr:colOff>
      <xdr:row>14</xdr:row>
      <xdr:rowOff>100806</xdr:rowOff>
    </xdr:from>
    <xdr:to>
      <xdr:col>12</xdr:col>
      <xdr:colOff>1178718</xdr:colOff>
      <xdr:row>29</xdr:row>
      <xdr:rowOff>73818</xdr:rowOff>
    </xdr:to>
    <xdr:graphicFrame macro="">
      <xdr:nvGraphicFramePr>
        <xdr:cNvPr id="2" name="Chart 1">
          <a:extLst>
            <a:ext uri="{FF2B5EF4-FFF2-40B4-BE49-F238E27FC236}">
              <a16:creationId xmlns:a16="http://schemas.microsoft.com/office/drawing/2014/main" id="{6918439D-99EC-FEB6-8790-CB91FCE4C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214313</xdr:colOff>
      <xdr:row>17</xdr:row>
      <xdr:rowOff>150812</xdr:rowOff>
    </xdr:from>
    <xdr:to>
      <xdr:col>12</xdr:col>
      <xdr:colOff>1043783</xdr:colOff>
      <xdr:row>32</xdr:row>
      <xdr:rowOff>177006</xdr:rowOff>
    </xdr:to>
    <xdr:graphicFrame macro="">
      <xdr:nvGraphicFramePr>
        <xdr:cNvPr id="2" name="Chart 1">
          <a:extLst>
            <a:ext uri="{FF2B5EF4-FFF2-40B4-BE49-F238E27FC236}">
              <a16:creationId xmlns:a16="http://schemas.microsoft.com/office/drawing/2014/main" id="{C948ECB8-FF91-423A-B5C7-6EE4CF14A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646906</xdr:colOff>
      <xdr:row>16</xdr:row>
      <xdr:rowOff>84932</xdr:rowOff>
    </xdr:from>
    <xdr:to>
      <xdr:col>12</xdr:col>
      <xdr:colOff>1214438</xdr:colOff>
      <xdr:row>31</xdr:row>
      <xdr:rowOff>111125</xdr:rowOff>
    </xdr:to>
    <xdr:graphicFrame macro="">
      <xdr:nvGraphicFramePr>
        <xdr:cNvPr id="2" name="Chart 1">
          <a:extLst>
            <a:ext uri="{FF2B5EF4-FFF2-40B4-BE49-F238E27FC236}">
              <a16:creationId xmlns:a16="http://schemas.microsoft.com/office/drawing/2014/main" id="{4B65323C-AC98-9BEC-E96F-01A232CD4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Raphael Akomeah" id="{7962F5DC-9202-4D14-9D70-900AC57F5BB1}" userId="Raphael Akomeah" providerId="None"/>
  <person displayName="Imranah Adams" id="{0EBE3073-E1B1-40D4-AB0C-1103E0CB41DE}" userId="Imranah.Adams@idpfoundation.org" providerId="PeoplePicker"/>
  <person displayName="Raphael Akomeah" id="{969365D7-F681-407F-A6BB-C461C5F536D4}" userId="S::Raphael@idpfoundation.org::ea4499b5-77d1-471f-b455-794c2df3a889" providerId="AD"/>
  <person displayName="Georgia Brown" id="{82E842F3-529D-4BC8-A261-EB91B685219E}" userId="S::georgia@idpfoundation.org::9a743649-85a1-47a0-bd00-a2dd882e213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P1" dT="2023-05-05T12:40:59.74" personId="{82E842F3-529D-4BC8-A261-EB91B685219E}" id="{95E83C26-2216-48CA-8118-2729F0BF35CE}">
    <text>@Imranah Adams A lot of the fee related sections (columns GV, HB, HH, etc.) that don't have a cost included (suggesting that they don't offer these services) still have the payment frequency box marked (e.g. weekly, monthly, etc.). Does this mean they do offer these services but just haven't added the charge amount or are these boxes incorrectly marked?</text>
    <mentions>
      <mention mentionpersonId="{0EBE3073-E1B1-40D4-AB0C-1103E0CB41DE}" mentionId="{EFD2E83F-2901-4D38-BD00-CA315B9DCE44}" startIndex="0" length="14"/>
    </mentions>
  </threadedComment>
  <threadedComment ref="A228" dT="2025-07-29T10:49:21.31" personId="{969365D7-F681-407F-A6BB-C461C5F536D4}" id="{773047A4-C529-4879-8E3D-3BF69A7BAFF5}">
    <text>Where Imranah Left off</text>
  </threadedComment>
</ThreadedComments>
</file>

<file path=xl/threadedComments/threadedComment2.xml><?xml version="1.0" encoding="utf-8"?>
<ThreadedComments xmlns="http://schemas.microsoft.com/office/spreadsheetml/2018/threadedcomments" xmlns:x="http://schemas.openxmlformats.org/spreadsheetml/2006/main">
  <threadedComment ref="D12" dT="2020-03-19T11:25:08.26" personId="{7962F5DC-9202-4D14-9D70-900AC57F5BB1}" id="{0CAD0ECD-1BF4-44FA-9D4C-2AA52EC71CF6}">
    <text>there was one loan of 30,000 cedis under April but we later realized it wasn't to an IDP School, so it has been deleted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10"/>
  <sheetViews>
    <sheetView topLeftCell="A61" zoomScale="90" zoomScaleNormal="90" workbookViewId="0">
      <selection activeCell="B68" sqref="B68"/>
    </sheetView>
  </sheetViews>
  <sheetFormatPr defaultRowHeight="14.5" x14ac:dyDescent="0.35"/>
  <cols>
    <col min="2" max="2" width="18.1796875" bestFit="1" customWidth="1"/>
    <col min="3" max="3" width="14.1796875" bestFit="1" customWidth="1"/>
    <col min="5" max="5" width="22.81640625" customWidth="1"/>
    <col min="7" max="7" width="34.81640625" customWidth="1"/>
    <col min="8" max="8" width="7" customWidth="1"/>
    <col min="9" max="9" width="12.1796875" bestFit="1" customWidth="1"/>
    <col min="10" max="10" width="16.54296875" bestFit="1" customWidth="1"/>
    <col min="13" max="13" width="12.7265625" bestFit="1" customWidth="1"/>
  </cols>
  <sheetData>
    <row r="1" spans="1:13" ht="15" thickBot="1" x14ac:dyDescent="0.4">
      <c r="I1" s="1"/>
      <c r="J1" s="1"/>
      <c r="M1" s="2"/>
    </row>
    <row r="2" spans="1:13" x14ac:dyDescent="0.35">
      <c r="A2" t="s">
        <v>0</v>
      </c>
      <c r="B2" s="64">
        <v>43405</v>
      </c>
    </row>
    <row r="3" spans="1:13" s="3" customFormat="1" x14ac:dyDescent="0.35">
      <c r="A3" s="5" t="s">
        <v>0</v>
      </c>
      <c r="B3" s="5" t="s">
        <v>1</v>
      </c>
      <c r="C3" s="5" t="s">
        <v>2</v>
      </c>
      <c r="D3" s="5" t="s">
        <v>3</v>
      </c>
      <c r="E3" s="5" t="s">
        <v>4</v>
      </c>
      <c r="F3" s="5" t="s">
        <v>5</v>
      </c>
      <c r="G3" s="5" t="s">
        <v>6</v>
      </c>
      <c r="H3" s="5"/>
      <c r="I3" s="5" t="s">
        <v>7</v>
      </c>
      <c r="J3" s="5" t="s">
        <v>8</v>
      </c>
      <c r="K3" s="5" t="s">
        <v>9</v>
      </c>
      <c r="L3" s="5" t="s">
        <v>10</v>
      </c>
      <c r="M3" s="5" t="s">
        <v>11</v>
      </c>
    </row>
    <row r="4" spans="1:13" x14ac:dyDescent="0.35">
      <c r="A4" s="6">
        <v>27289</v>
      </c>
      <c r="B4" s="6" t="s">
        <v>12</v>
      </c>
      <c r="C4" s="6" t="s">
        <v>13</v>
      </c>
      <c r="D4" s="6">
        <v>806</v>
      </c>
      <c r="E4" s="6" t="s">
        <v>14</v>
      </c>
      <c r="F4" s="6">
        <v>309855</v>
      </c>
      <c r="G4" s="59" t="s">
        <v>15</v>
      </c>
      <c r="H4" s="6"/>
      <c r="I4" s="7">
        <v>43433</v>
      </c>
      <c r="J4" s="7">
        <v>43544</v>
      </c>
      <c r="K4" s="6" t="s">
        <v>16</v>
      </c>
      <c r="L4" s="6" t="s">
        <v>17</v>
      </c>
      <c r="M4" s="60">
        <v>100000</v>
      </c>
    </row>
    <row r="5" spans="1:13" x14ac:dyDescent="0.35">
      <c r="A5" s="6">
        <v>27034</v>
      </c>
      <c r="B5" s="6" t="s">
        <v>18</v>
      </c>
      <c r="C5" s="6" t="s">
        <v>13</v>
      </c>
      <c r="D5" s="6">
        <v>4101</v>
      </c>
      <c r="E5" s="6" t="s">
        <v>14</v>
      </c>
      <c r="F5" s="6">
        <v>268711</v>
      </c>
      <c r="G5" s="58" t="s">
        <v>19</v>
      </c>
      <c r="H5" s="6"/>
      <c r="I5" s="7">
        <v>43431</v>
      </c>
      <c r="J5" s="7">
        <v>43474</v>
      </c>
      <c r="K5" s="6" t="s">
        <v>20</v>
      </c>
      <c r="L5" s="6" t="s">
        <v>17</v>
      </c>
      <c r="M5" s="8">
        <v>20000</v>
      </c>
    </row>
    <row r="6" spans="1:13" x14ac:dyDescent="0.35">
      <c r="A6" s="6">
        <v>27007</v>
      </c>
      <c r="B6" s="6" t="s">
        <v>21</v>
      </c>
      <c r="C6" s="6" t="s">
        <v>22</v>
      </c>
      <c r="D6" s="6">
        <v>1314</v>
      </c>
      <c r="E6" s="6" t="s">
        <v>14</v>
      </c>
      <c r="F6" s="6">
        <v>61298</v>
      </c>
      <c r="G6" s="58" t="s">
        <v>23</v>
      </c>
      <c r="H6" s="6"/>
      <c r="I6" s="7">
        <v>43430</v>
      </c>
      <c r="J6" s="7">
        <v>43509</v>
      </c>
      <c r="K6" s="6" t="s">
        <v>24</v>
      </c>
      <c r="L6" s="6" t="s">
        <v>17</v>
      </c>
      <c r="M6" s="8">
        <v>5000</v>
      </c>
    </row>
    <row r="7" spans="1:13" x14ac:dyDescent="0.35">
      <c r="A7" s="6">
        <v>24550</v>
      </c>
      <c r="B7" s="6" t="s">
        <v>21</v>
      </c>
      <c r="C7" s="6" t="s">
        <v>22</v>
      </c>
      <c r="D7" s="6">
        <v>1302</v>
      </c>
      <c r="E7" s="6" t="s">
        <v>14</v>
      </c>
      <c r="F7" s="6">
        <v>295466</v>
      </c>
      <c r="G7" s="58" t="s">
        <v>25</v>
      </c>
      <c r="H7" s="6"/>
      <c r="I7" s="7">
        <v>43425</v>
      </c>
      <c r="J7" s="7">
        <v>43511</v>
      </c>
      <c r="K7" s="6" t="s">
        <v>26</v>
      </c>
      <c r="L7" s="6" t="s">
        <v>17</v>
      </c>
      <c r="M7" s="8">
        <v>10000</v>
      </c>
    </row>
    <row r="8" spans="1:13" ht="15" thickBot="1" x14ac:dyDescent="0.4">
      <c r="I8" s="1"/>
      <c r="J8" s="1"/>
      <c r="M8" s="38">
        <f>SUM(M4:M7)</f>
        <v>135000</v>
      </c>
    </row>
    <row r="9" spans="1:13" x14ac:dyDescent="0.35">
      <c r="B9" s="64">
        <v>43435</v>
      </c>
    </row>
    <row r="10" spans="1:13" s="3" customFormat="1" x14ac:dyDescent="0.35">
      <c r="A10" s="5" t="s">
        <v>0</v>
      </c>
      <c r="B10" s="5" t="s">
        <v>1</v>
      </c>
      <c r="C10" s="5" t="s">
        <v>2</v>
      </c>
      <c r="D10" s="5" t="s">
        <v>3</v>
      </c>
      <c r="E10" s="5" t="s">
        <v>4</v>
      </c>
      <c r="F10" s="5" t="s">
        <v>5</v>
      </c>
      <c r="G10" s="5" t="s">
        <v>6</v>
      </c>
      <c r="H10" s="5"/>
      <c r="I10" s="5" t="s">
        <v>7</v>
      </c>
      <c r="J10" s="5" t="s">
        <v>8</v>
      </c>
      <c r="K10" s="5" t="s">
        <v>9</v>
      </c>
      <c r="L10" s="5" t="s">
        <v>10</v>
      </c>
      <c r="M10" s="5" t="s">
        <v>11</v>
      </c>
    </row>
    <row r="11" spans="1:13" x14ac:dyDescent="0.35">
      <c r="A11" s="6">
        <v>29204</v>
      </c>
      <c r="B11" s="6" t="s">
        <v>18</v>
      </c>
      <c r="C11" s="6" t="s">
        <v>13</v>
      </c>
      <c r="D11" s="6">
        <v>4103</v>
      </c>
      <c r="E11" s="6" t="s">
        <v>14</v>
      </c>
      <c r="F11" s="6">
        <v>277987</v>
      </c>
      <c r="G11" s="63" t="s">
        <v>27</v>
      </c>
      <c r="H11" s="6"/>
      <c r="I11" s="7">
        <v>43455</v>
      </c>
      <c r="J11" s="9">
        <v>43500</v>
      </c>
      <c r="K11" s="6" t="s">
        <v>28</v>
      </c>
      <c r="L11" s="6" t="s">
        <v>17</v>
      </c>
      <c r="M11" s="8">
        <v>40000</v>
      </c>
    </row>
    <row r="12" spans="1:13" x14ac:dyDescent="0.35">
      <c r="A12" s="6">
        <v>28852</v>
      </c>
      <c r="B12" s="6" t="s">
        <v>29</v>
      </c>
      <c r="C12" s="6" t="s">
        <v>22</v>
      </c>
      <c r="D12" s="6">
        <v>204</v>
      </c>
      <c r="E12" s="6" t="s">
        <v>14</v>
      </c>
      <c r="F12" s="6">
        <v>168332</v>
      </c>
      <c r="G12" s="58" t="s">
        <v>30</v>
      </c>
      <c r="H12" s="6"/>
      <c r="I12" s="7">
        <v>43453</v>
      </c>
      <c r="J12" s="9">
        <v>43522</v>
      </c>
      <c r="K12" s="6" t="s">
        <v>31</v>
      </c>
      <c r="L12" s="6" t="s">
        <v>17</v>
      </c>
      <c r="M12" s="8">
        <v>6000</v>
      </c>
    </row>
    <row r="13" spans="1:13" x14ac:dyDescent="0.35">
      <c r="A13" s="6">
        <v>28917</v>
      </c>
      <c r="B13" s="6" t="s">
        <v>32</v>
      </c>
      <c r="C13" s="6" t="s">
        <v>22</v>
      </c>
      <c r="D13" s="6">
        <v>2012</v>
      </c>
      <c r="E13" s="6" t="s">
        <v>14</v>
      </c>
      <c r="F13" s="6">
        <v>332832</v>
      </c>
      <c r="G13" s="59" t="s">
        <v>33</v>
      </c>
      <c r="H13" s="6"/>
      <c r="I13" s="7">
        <v>43453</v>
      </c>
      <c r="J13" s="9">
        <v>43490</v>
      </c>
      <c r="K13" s="6" t="s">
        <v>34</v>
      </c>
      <c r="L13" s="6" t="s">
        <v>17</v>
      </c>
      <c r="M13" s="8">
        <v>7500</v>
      </c>
    </row>
    <row r="14" spans="1:13" x14ac:dyDescent="0.35">
      <c r="A14" s="6">
        <v>28776</v>
      </c>
      <c r="B14" s="6" t="s">
        <v>35</v>
      </c>
      <c r="C14" s="6" t="s">
        <v>22</v>
      </c>
      <c r="D14" s="6">
        <v>2409</v>
      </c>
      <c r="E14" s="6" t="s">
        <v>14</v>
      </c>
      <c r="F14" s="6">
        <v>366134</v>
      </c>
      <c r="G14" s="59" t="s">
        <v>36</v>
      </c>
      <c r="H14" s="6"/>
      <c r="I14" s="7">
        <v>43452</v>
      </c>
      <c r="J14" s="9">
        <v>43494</v>
      </c>
      <c r="K14" s="6" t="s">
        <v>37</v>
      </c>
      <c r="L14" s="6" t="s">
        <v>17</v>
      </c>
      <c r="M14" s="8">
        <v>8000</v>
      </c>
    </row>
    <row r="15" spans="1:13" x14ac:dyDescent="0.35">
      <c r="A15" s="6">
        <v>27732</v>
      </c>
      <c r="B15" s="6" t="s">
        <v>29</v>
      </c>
      <c r="C15" s="6" t="s">
        <v>13</v>
      </c>
      <c r="D15" s="6">
        <v>204</v>
      </c>
      <c r="E15" s="6" t="s">
        <v>14</v>
      </c>
      <c r="F15" s="6">
        <v>246017</v>
      </c>
      <c r="G15" s="58" t="s">
        <v>38</v>
      </c>
      <c r="H15" s="6"/>
      <c r="I15" s="7">
        <v>43439</v>
      </c>
      <c r="J15" s="9">
        <v>43553</v>
      </c>
      <c r="K15" s="6" t="s">
        <v>39</v>
      </c>
      <c r="L15" s="6" t="s">
        <v>17</v>
      </c>
      <c r="M15" s="8">
        <v>30000</v>
      </c>
    </row>
    <row r="16" spans="1:13" x14ac:dyDescent="0.35">
      <c r="A16" s="6">
        <v>27647</v>
      </c>
      <c r="B16" s="6" t="s">
        <v>21</v>
      </c>
      <c r="C16" s="6" t="s">
        <v>13</v>
      </c>
      <c r="D16" s="6">
        <v>1302</v>
      </c>
      <c r="E16" s="6" t="s">
        <v>14</v>
      </c>
      <c r="F16" s="6">
        <v>291106</v>
      </c>
      <c r="G16" s="58" t="s">
        <v>40</v>
      </c>
      <c r="H16" s="6"/>
      <c r="I16" s="7">
        <v>43438</v>
      </c>
      <c r="J16" s="9">
        <v>43600</v>
      </c>
      <c r="K16" s="6" t="s">
        <v>41</v>
      </c>
      <c r="L16" s="6" t="s">
        <v>17</v>
      </c>
      <c r="M16" s="8">
        <v>100000</v>
      </c>
    </row>
    <row r="17" spans="1:13" x14ac:dyDescent="0.35">
      <c r="A17" s="6">
        <v>27483</v>
      </c>
      <c r="B17" s="6" t="s">
        <v>18</v>
      </c>
      <c r="C17" s="6" t="s">
        <v>13</v>
      </c>
      <c r="D17" s="6">
        <v>4102</v>
      </c>
      <c r="E17" s="6" t="s">
        <v>14</v>
      </c>
      <c r="F17" s="6">
        <v>273023</v>
      </c>
      <c r="G17" s="58" t="s">
        <v>42</v>
      </c>
      <c r="H17" s="6"/>
      <c r="I17" s="7">
        <v>43437</v>
      </c>
      <c r="J17" s="9">
        <v>43511</v>
      </c>
      <c r="K17" s="6" t="s">
        <v>43</v>
      </c>
      <c r="L17" s="6" t="s">
        <v>17</v>
      </c>
      <c r="M17" s="8">
        <v>15000</v>
      </c>
    </row>
    <row r="18" spans="1:13" ht="15" thickBot="1" x14ac:dyDescent="0.4">
      <c r="I18" s="1"/>
      <c r="J18" s="1"/>
      <c r="M18" s="38">
        <f>SUM(M11:M17)</f>
        <v>206500</v>
      </c>
    </row>
    <row r="19" spans="1:13" x14ac:dyDescent="0.35">
      <c r="B19" s="64">
        <v>43466</v>
      </c>
    </row>
    <row r="20" spans="1:13" s="3" customFormat="1" x14ac:dyDescent="0.35">
      <c r="A20" s="5" t="s">
        <v>0</v>
      </c>
      <c r="B20" s="5" t="s">
        <v>1</v>
      </c>
      <c r="C20" s="5" t="s">
        <v>2</v>
      </c>
      <c r="D20" s="5" t="s">
        <v>3</v>
      </c>
      <c r="E20" s="5" t="s">
        <v>4</v>
      </c>
      <c r="F20" s="5" t="s">
        <v>5</v>
      </c>
      <c r="G20" s="5" t="s">
        <v>6</v>
      </c>
      <c r="H20" s="5"/>
      <c r="I20" s="5" t="s">
        <v>7</v>
      </c>
      <c r="J20" s="5" t="s">
        <v>8</v>
      </c>
      <c r="K20" s="5" t="s">
        <v>9</v>
      </c>
      <c r="L20" s="5" t="s">
        <v>10</v>
      </c>
      <c r="M20" s="5" t="s">
        <v>11</v>
      </c>
    </row>
    <row r="21" spans="1:13" x14ac:dyDescent="0.35">
      <c r="A21" s="6">
        <v>30203</v>
      </c>
      <c r="B21" s="6" t="s">
        <v>44</v>
      </c>
      <c r="C21" s="6" t="s">
        <v>22</v>
      </c>
      <c r="D21" s="6">
        <v>510</v>
      </c>
      <c r="E21" s="6" t="s">
        <v>14</v>
      </c>
      <c r="F21" s="6">
        <v>303658</v>
      </c>
      <c r="G21" s="58" t="s">
        <v>45</v>
      </c>
      <c r="H21" s="6"/>
      <c r="I21" s="7">
        <v>43494</v>
      </c>
      <c r="J21" s="7">
        <v>43536</v>
      </c>
      <c r="K21" s="6" t="s">
        <v>28</v>
      </c>
      <c r="L21" s="6" t="s">
        <v>17</v>
      </c>
      <c r="M21" s="8">
        <v>9000</v>
      </c>
    </row>
    <row r="22" spans="1:13" ht="15" thickBot="1" x14ac:dyDescent="0.4"/>
    <row r="23" spans="1:13" x14ac:dyDescent="0.35">
      <c r="B23" s="4" t="s">
        <v>46</v>
      </c>
    </row>
    <row r="24" spans="1:13" x14ac:dyDescent="0.35">
      <c r="A24" s="5" t="s">
        <v>0</v>
      </c>
      <c r="B24" s="5" t="s">
        <v>1</v>
      </c>
      <c r="C24" s="5" t="s">
        <v>2</v>
      </c>
      <c r="D24" s="5" t="s">
        <v>3</v>
      </c>
      <c r="E24" s="5" t="s">
        <v>4</v>
      </c>
      <c r="F24" s="5" t="s">
        <v>5</v>
      </c>
      <c r="G24" s="5" t="s">
        <v>6</v>
      </c>
      <c r="H24" s="5"/>
      <c r="I24" s="5" t="s">
        <v>7</v>
      </c>
      <c r="J24" s="5" t="s">
        <v>8</v>
      </c>
      <c r="K24" s="5" t="s">
        <v>9</v>
      </c>
      <c r="L24" s="5" t="s">
        <v>10</v>
      </c>
      <c r="M24" s="5" t="s">
        <v>11</v>
      </c>
    </row>
    <row r="25" spans="1:13" x14ac:dyDescent="0.35">
      <c r="A25" s="6">
        <v>31870</v>
      </c>
      <c r="B25" s="6" t="s">
        <v>44</v>
      </c>
      <c r="C25" s="6" t="s">
        <v>22</v>
      </c>
      <c r="D25" s="6">
        <v>511</v>
      </c>
      <c r="E25" s="6" t="s">
        <v>14</v>
      </c>
      <c r="F25" s="6">
        <v>303636</v>
      </c>
      <c r="G25" s="58" t="s">
        <v>47</v>
      </c>
      <c r="H25" s="6"/>
      <c r="I25" s="7">
        <v>43521</v>
      </c>
      <c r="J25" s="7">
        <v>43560</v>
      </c>
      <c r="K25" s="6" t="s">
        <v>48</v>
      </c>
      <c r="L25" s="6" t="s">
        <v>17</v>
      </c>
      <c r="M25" s="8">
        <v>5000</v>
      </c>
    </row>
    <row r="26" spans="1:13" x14ac:dyDescent="0.35">
      <c r="A26" s="6">
        <v>31478</v>
      </c>
      <c r="B26" s="6" t="s">
        <v>49</v>
      </c>
      <c r="C26" s="6" t="s">
        <v>13</v>
      </c>
      <c r="D26" s="6">
        <v>3101</v>
      </c>
      <c r="E26" s="6" t="s">
        <v>14</v>
      </c>
      <c r="F26" s="6">
        <v>257839</v>
      </c>
      <c r="G26" s="58" t="s">
        <v>50</v>
      </c>
      <c r="H26" s="6"/>
      <c r="I26" s="7">
        <v>43514</v>
      </c>
      <c r="J26" s="7">
        <v>43550</v>
      </c>
      <c r="K26" s="6" t="s">
        <v>51</v>
      </c>
      <c r="L26" s="6" t="s">
        <v>17</v>
      </c>
      <c r="M26" s="8">
        <v>60000</v>
      </c>
    </row>
    <row r="27" spans="1:13" x14ac:dyDescent="0.35">
      <c r="M27" s="39">
        <f>SUM(M25:M26)</f>
        <v>65000</v>
      </c>
    </row>
    <row r="28" spans="1:13" ht="15" thickBot="1" x14ac:dyDescent="0.4"/>
    <row r="29" spans="1:13" x14ac:dyDescent="0.35">
      <c r="B29" s="4" t="s">
        <v>52</v>
      </c>
    </row>
    <row r="30" spans="1:13" x14ac:dyDescent="0.35">
      <c r="A30" s="5" t="s">
        <v>0</v>
      </c>
      <c r="B30" s="5" t="s">
        <v>1</v>
      </c>
      <c r="C30" s="5" t="s">
        <v>2</v>
      </c>
      <c r="D30" s="5" t="s">
        <v>3</v>
      </c>
      <c r="E30" s="5" t="s">
        <v>4</v>
      </c>
      <c r="F30" s="5" t="s">
        <v>5</v>
      </c>
      <c r="G30" s="5" t="s">
        <v>6</v>
      </c>
      <c r="H30" s="5"/>
      <c r="I30" s="5" t="s">
        <v>7</v>
      </c>
      <c r="J30" s="5" t="s">
        <v>8</v>
      </c>
      <c r="K30" s="5" t="s">
        <v>9</v>
      </c>
      <c r="L30" s="5" t="s">
        <v>10</v>
      </c>
      <c r="M30" s="5" t="s">
        <v>11</v>
      </c>
    </row>
    <row r="31" spans="1:13" x14ac:dyDescent="0.35">
      <c r="A31" s="6">
        <v>34539</v>
      </c>
      <c r="B31" s="6" t="s">
        <v>29</v>
      </c>
      <c r="C31" s="6" t="s">
        <v>13</v>
      </c>
      <c r="D31" s="6">
        <v>202</v>
      </c>
      <c r="E31" s="6" t="s">
        <v>14</v>
      </c>
      <c r="F31" s="6">
        <v>14344</v>
      </c>
      <c r="G31" s="58" t="s">
        <v>53</v>
      </c>
      <c r="H31" s="6"/>
      <c r="I31" s="7">
        <v>43553</v>
      </c>
      <c r="J31" s="7">
        <v>43597</v>
      </c>
      <c r="K31" s="6" t="s">
        <v>54</v>
      </c>
      <c r="L31" s="6" t="s">
        <v>17</v>
      </c>
      <c r="M31" s="8">
        <v>30000</v>
      </c>
    </row>
    <row r="32" spans="1:13" x14ac:dyDescent="0.35">
      <c r="A32" s="6">
        <v>34011</v>
      </c>
      <c r="B32" s="6" t="s">
        <v>12</v>
      </c>
      <c r="C32" s="6" t="s">
        <v>55</v>
      </c>
      <c r="D32" s="6">
        <v>805</v>
      </c>
      <c r="E32" s="6" t="s">
        <v>14</v>
      </c>
      <c r="F32" s="6">
        <v>180375</v>
      </c>
      <c r="G32" s="58" t="s">
        <v>56</v>
      </c>
      <c r="H32" s="6"/>
      <c r="I32" s="7">
        <v>43551</v>
      </c>
      <c r="J32" s="7">
        <v>43644</v>
      </c>
      <c r="K32" s="6" t="s">
        <v>57</v>
      </c>
      <c r="L32" s="6" t="s">
        <v>17</v>
      </c>
      <c r="M32" s="8">
        <v>70000</v>
      </c>
    </row>
    <row r="33" spans="1:13" x14ac:dyDescent="0.35">
      <c r="A33" s="6">
        <v>33333</v>
      </c>
      <c r="B33" s="6" t="s">
        <v>58</v>
      </c>
      <c r="C33" s="6" t="s">
        <v>13</v>
      </c>
      <c r="D33" s="6">
        <v>3010</v>
      </c>
      <c r="E33" s="6" t="s">
        <v>14</v>
      </c>
      <c r="F33" s="6">
        <v>294095</v>
      </c>
      <c r="G33" s="58" t="s">
        <v>59</v>
      </c>
      <c r="H33" s="6"/>
      <c r="I33" s="7">
        <v>43543</v>
      </c>
      <c r="J33" s="7">
        <v>43615</v>
      </c>
      <c r="K33" s="6" t="s">
        <v>60</v>
      </c>
      <c r="L33" s="6" t="s">
        <v>17</v>
      </c>
      <c r="M33" s="8">
        <v>70000</v>
      </c>
    </row>
    <row r="34" spans="1:13" x14ac:dyDescent="0.35">
      <c r="A34" s="6">
        <v>33241</v>
      </c>
      <c r="B34" s="6" t="s">
        <v>18</v>
      </c>
      <c r="C34" s="6" t="s">
        <v>13</v>
      </c>
      <c r="D34" s="6">
        <v>4102</v>
      </c>
      <c r="E34" s="6" t="s">
        <v>14</v>
      </c>
      <c r="F34" s="6">
        <v>235880</v>
      </c>
      <c r="G34" s="58" t="s">
        <v>61</v>
      </c>
      <c r="H34" s="6"/>
      <c r="I34" s="7">
        <v>43542</v>
      </c>
      <c r="J34" s="7">
        <v>43628</v>
      </c>
      <c r="K34" s="6" t="s">
        <v>26</v>
      </c>
      <c r="L34" s="6" t="s">
        <v>17</v>
      </c>
      <c r="M34" s="8">
        <v>50000</v>
      </c>
    </row>
    <row r="35" spans="1:13" x14ac:dyDescent="0.35">
      <c r="A35" s="6">
        <v>34221</v>
      </c>
      <c r="B35" s="6" t="s">
        <v>44</v>
      </c>
      <c r="C35" s="6" t="s">
        <v>22</v>
      </c>
      <c r="D35" s="6">
        <v>511</v>
      </c>
      <c r="E35" s="6" t="s">
        <v>14</v>
      </c>
      <c r="F35" s="6">
        <v>303523</v>
      </c>
      <c r="G35" s="58" t="s">
        <v>62</v>
      </c>
      <c r="H35" s="6"/>
      <c r="I35" s="7">
        <v>43553</v>
      </c>
      <c r="J35" s="7">
        <v>43600</v>
      </c>
      <c r="K35" s="6" t="s">
        <v>63</v>
      </c>
      <c r="L35" s="6" t="s">
        <v>17</v>
      </c>
      <c r="M35" s="8">
        <v>3000</v>
      </c>
    </row>
    <row r="36" spans="1:13" x14ac:dyDescent="0.35">
      <c r="M36" s="39">
        <f>SUM(M31:M35)</f>
        <v>223000</v>
      </c>
    </row>
    <row r="37" spans="1:13" ht="15" thickBot="1" x14ac:dyDescent="0.4"/>
    <row r="38" spans="1:13" x14ac:dyDescent="0.35">
      <c r="B38" s="4" t="s">
        <v>64</v>
      </c>
    </row>
    <row r="39" spans="1:13" x14ac:dyDescent="0.35">
      <c r="A39" s="5" t="s">
        <v>0</v>
      </c>
      <c r="B39" s="5" t="s">
        <v>1</v>
      </c>
      <c r="C39" s="5" t="s">
        <v>2</v>
      </c>
      <c r="D39" s="5" t="s">
        <v>3</v>
      </c>
      <c r="E39" s="5" t="s">
        <v>4</v>
      </c>
      <c r="F39" s="5" t="s">
        <v>5</v>
      </c>
      <c r="G39" s="5" t="s">
        <v>6</v>
      </c>
      <c r="H39" s="5"/>
      <c r="I39" s="5" t="s">
        <v>7</v>
      </c>
      <c r="J39" s="5" t="s">
        <v>8</v>
      </c>
      <c r="K39" s="5" t="s">
        <v>9</v>
      </c>
      <c r="L39" s="5" t="s">
        <v>10</v>
      </c>
      <c r="M39" s="5" t="s">
        <v>11</v>
      </c>
    </row>
    <row r="40" spans="1:13" x14ac:dyDescent="0.35">
      <c r="A40" s="6">
        <v>35646</v>
      </c>
      <c r="B40" s="41" t="s">
        <v>35</v>
      </c>
      <c r="C40" s="6" t="s">
        <v>13</v>
      </c>
      <c r="D40" s="6">
        <v>2409</v>
      </c>
      <c r="E40" s="6" t="s">
        <v>14</v>
      </c>
      <c r="F40" s="6">
        <v>366134</v>
      </c>
      <c r="G40" s="61" t="s">
        <v>36</v>
      </c>
      <c r="H40" s="41"/>
      <c r="I40" s="7">
        <v>43570</v>
      </c>
      <c r="J40" s="7">
        <v>43612</v>
      </c>
      <c r="K40" s="6" t="s">
        <v>65</v>
      </c>
      <c r="L40" s="6" t="s">
        <v>17</v>
      </c>
      <c r="M40" s="8">
        <v>30000</v>
      </c>
    </row>
    <row r="41" spans="1:13" x14ac:dyDescent="0.35">
      <c r="M41" s="39">
        <v>30000</v>
      </c>
    </row>
    <row r="42" spans="1:13" ht="15" thickBot="1" x14ac:dyDescent="0.4"/>
    <row r="43" spans="1:13" x14ac:dyDescent="0.35">
      <c r="B43" s="4" t="s">
        <v>66</v>
      </c>
    </row>
    <row r="44" spans="1:13" x14ac:dyDescent="0.35">
      <c r="A44" s="5" t="s">
        <v>0</v>
      </c>
      <c r="B44" s="5" t="s">
        <v>1</v>
      </c>
      <c r="C44" s="5" t="s">
        <v>2</v>
      </c>
      <c r="D44" s="5" t="s">
        <v>3</v>
      </c>
      <c r="E44" s="5" t="s">
        <v>4</v>
      </c>
      <c r="F44" s="5" t="s">
        <v>5</v>
      </c>
      <c r="G44" s="5" t="s">
        <v>6</v>
      </c>
      <c r="H44" s="5"/>
      <c r="I44" s="5" t="s">
        <v>7</v>
      </c>
      <c r="J44" s="5" t="s">
        <v>8</v>
      </c>
      <c r="K44" s="5" t="s">
        <v>9</v>
      </c>
      <c r="L44" s="5" t="s">
        <v>10</v>
      </c>
      <c r="M44" s="5" t="s">
        <v>11</v>
      </c>
    </row>
    <row r="45" spans="1:13" x14ac:dyDescent="0.35">
      <c r="A45" s="6">
        <v>38036</v>
      </c>
      <c r="B45" s="41" t="s">
        <v>21</v>
      </c>
      <c r="C45" s="41" t="s">
        <v>13</v>
      </c>
      <c r="D45" s="6">
        <v>1308</v>
      </c>
      <c r="E45" s="6" t="s">
        <v>14</v>
      </c>
      <c r="F45" s="6">
        <v>183613</v>
      </c>
      <c r="G45" s="58" t="s">
        <v>67</v>
      </c>
      <c r="H45" s="6"/>
      <c r="I45" s="7">
        <v>43613</v>
      </c>
      <c r="J45" s="7">
        <v>43654</v>
      </c>
      <c r="K45" s="6" t="s">
        <v>20</v>
      </c>
      <c r="L45" s="6" t="s">
        <v>17</v>
      </c>
      <c r="M45" s="8">
        <v>15000</v>
      </c>
    </row>
    <row r="46" spans="1:13" x14ac:dyDescent="0.35">
      <c r="A46" s="6">
        <v>37226</v>
      </c>
      <c r="B46" s="41" t="s">
        <v>44</v>
      </c>
      <c r="C46" s="41" t="s">
        <v>13</v>
      </c>
      <c r="D46" s="6">
        <v>511</v>
      </c>
      <c r="E46" s="6" t="s">
        <v>14</v>
      </c>
      <c r="F46" s="6">
        <v>326341</v>
      </c>
      <c r="G46" s="58" t="s">
        <v>68</v>
      </c>
      <c r="H46" s="6"/>
      <c r="I46" s="7">
        <v>43602</v>
      </c>
      <c r="J46" s="7">
        <v>43654</v>
      </c>
      <c r="K46" s="6" t="s">
        <v>69</v>
      </c>
      <c r="L46" s="6" t="s">
        <v>17</v>
      </c>
      <c r="M46" s="8">
        <v>15000</v>
      </c>
    </row>
    <row r="47" spans="1:13" x14ac:dyDescent="0.35">
      <c r="A47" s="6">
        <v>37240</v>
      </c>
      <c r="B47" s="41" t="s">
        <v>21</v>
      </c>
      <c r="C47" s="41" t="s">
        <v>70</v>
      </c>
      <c r="D47" s="6">
        <v>1302</v>
      </c>
      <c r="E47" s="6" t="s">
        <v>14</v>
      </c>
      <c r="F47" s="6">
        <v>294406</v>
      </c>
      <c r="G47" s="58" t="s">
        <v>71</v>
      </c>
      <c r="H47" s="6"/>
      <c r="I47" s="7">
        <v>43602</v>
      </c>
      <c r="J47" s="7">
        <v>43662</v>
      </c>
      <c r="K47" s="6" t="s">
        <v>72</v>
      </c>
      <c r="L47" s="6" t="s">
        <v>17</v>
      </c>
      <c r="M47" s="8">
        <v>50000</v>
      </c>
    </row>
    <row r="48" spans="1:13" x14ac:dyDescent="0.35">
      <c r="A48" s="6">
        <v>36585</v>
      </c>
      <c r="B48" s="41" t="s">
        <v>18</v>
      </c>
      <c r="C48" s="41" t="s">
        <v>13</v>
      </c>
      <c r="D48" s="6">
        <v>4102</v>
      </c>
      <c r="E48" s="6" t="s">
        <v>14</v>
      </c>
      <c r="F48" s="6">
        <v>294474</v>
      </c>
      <c r="G48" s="58" t="s">
        <v>73</v>
      </c>
      <c r="H48" s="6"/>
      <c r="I48" s="7">
        <v>43593</v>
      </c>
      <c r="J48" s="7">
        <v>43684</v>
      </c>
      <c r="K48" s="6" t="s">
        <v>74</v>
      </c>
      <c r="L48" s="6" t="s">
        <v>17</v>
      </c>
      <c r="M48" s="8">
        <v>20000</v>
      </c>
    </row>
    <row r="49" spans="1:13" x14ac:dyDescent="0.35">
      <c r="A49" s="6">
        <v>38404</v>
      </c>
      <c r="B49" s="41" t="s">
        <v>32</v>
      </c>
      <c r="C49" s="41" t="s">
        <v>13</v>
      </c>
      <c r="D49" s="6">
        <v>2002</v>
      </c>
      <c r="E49" s="6" t="s">
        <v>14</v>
      </c>
      <c r="F49" s="6">
        <v>182403</v>
      </c>
      <c r="G49" s="58" t="s">
        <v>75</v>
      </c>
      <c r="H49" s="6"/>
      <c r="I49" s="7">
        <v>43616</v>
      </c>
      <c r="J49" s="7">
        <v>43721</v>
      </c>
      <c r="K49" s="6" t="s">
        <v>76</v>
      </c>
      <c r="L49" s="6" t="s">
        <v>17</v>
      </c>
      <c r="M49" s="8">
        <v>20000</v>
      </c>
    </row>
    <row r="50" spans="1:13" x14ac:dyDescent="0.35">
      <c r="A50" s="6">
        <v>37175</v>
      </c>
      <c r="B50" s="41" t="s">
        <v>32</v>
      </c>
      <c r="C50" s="41" t="s">
        <v>13</v>
      </c>
      <c r="D50" s="6">
        <v>2002</v>
      </c>
      <c r="E50" s="6" t="s">
        <v>14</v>
      </c>
      <c r="F50" s="6">
        <v>331959</v>
      </c>
      <c r="G50" s="58" t="s">
        <v>77</v>
      </c>
      <c r="H50" s="6"/>
      <c r="I50" s="7">
        <v>43602</v>
      </c>
      <c r="J50" s="7">
        <v>43721</v>
      </c>
      <c r="K50" s="6" t="s">
        <v>78</v>
      </c>
      <c r="L50" s="6" t="s">
        <v>17</v>
      </c>
      <c r="M50" s="8">
        <v>15000</v>
      </c>
    </row>
    <row r="51" spans="1:13" x14ac:dyDescent="0.35">
      <c r="M51" s="43">
        <f>SUM(M45:M50)</f>
        <v>135000</v>
      </c>
    </row>
    <row r="52" spans="1:13" ht="15" thickBot="1" x14ac:dyDescent="0.4"/>
    <row r="53" spans="1:13" x14ac:dyDescent="0.35">
      <c r="B53" s="4" t="s">
        <v>79</v>
      </c>
    </row>
    <row r="54" spans="1:13" x14ac:dyDescent="0.35">
      <c r="A54" s="5" t="s">
        <v>0</v>
      </c>
      <c r="B54" s="5" t="s">
        <v>1</v>
      </c>
      <c r="C54" s="5" t="s">
        <v>2</v>
      </c>
      <c r="D54" s="5" t="s">
        <v>3</v>
      </c>
      <c r="E54" s="5" t="s">
        <v>4</v>
      </c>
      <c r="F54" s="5" t="s">
        <v>5</v>
      </c>
      <c r="G54" s="5" t="s">
        <v>6</v>
      </c>
      <c r="H54" s="5"/>
      <c r="I54" s="5" t="s">
        <v>7</v>
      </c>
      <c r="J54" s="5" t="s">
        <v>8</v>
      </c>
      <c r="K54" s="5" t="s">
        <v>9</v>
      </c>
      <c r="L54" s="5" t="s">
        <v>10</v>
      </c>
      <c r="M54" s="5" t="s">
        <v>11</v>
      </c>
    </row>
    <row r="55" spans="1:13" x14ac:dyDescent="0.35">
      <c r="A55" s="6">
        <v>38751</v>
      </c>
      <c r="B55" s="6" t="s">
        <v>18</v>
      </c>
      <c r="C55" s="6" t="s">
        <v>13</v>
      </c>
      <c r="D55" s="6">
        <v>4101</v>
      </c>
      <c r="E55" s="6" t="s">
        <v>14</v>
      </c>
      <c r="F55" s="6">
        <v>268711</v>
      </c>
      <c r="G55" s="58" t="s">
        <v>19</v>
      </c>
      <c r="H55" s="6"/>
      <c r="I55" s="7">
        <v>43627</v>
      </c>
      <c r="J55" s="7">
        <v>43773</v>
      </c>
      <c r="K55" s="6" t="s">
        <v>80</v>
      </c>
      <c r="L55" s="6" t="s">
        <v>17</v>
      </c>
      <c r="M55" s="8">
        <v>80000</v>
      </c>
    </row>
    <row r="56" spans="1:13" x14ac:dyDescent="0.35">
      <c r="M56" s="39">
        <v>80000</v>
      </c>
    </row>
    <row r="57" spans="1:13" ht="15" thickBot="1" x14ac:dyDescent="0.4">
      <c r="M57" s="38"/>
    </row>
    <row r="58" spans="1:13" x14ac:dyDescent="0.35">
      <c r="B58" s="4" t="s">
        <v>81</v>
      </c>
    </row>
    <row r="59" spans="1:13" x14ac:dyDescent="0.35">
      <c r="A59" s="5" t="s">
        <v>0</v>
      </c>
      <c r="B59" s="5" t="s">
        <v>1</v>
      </c>
      <c r="C59" s="5" t="s">
        <v>2</v>
      </c>
      <c r="D59" s="5" t="s">
        <v>3</v>
      </c>
      <c r="E59" s="5" t="s">
        <v>4</v>
      </c>
      <c r="F59" s="5" t="s">
        <v>5</v>
      </c>
      <c r="G59" s="5" t="s">
        <v>6</v>
      </c>
      <c r="H59" s="5"/>
      <c r="I59" s="5" t="s">
        <v>7</v>
      </c>
      <c r="J59" s="5" t="s">
        <v>8</v>
      </c>
      <c r="K59" s="5" t="s">
        <v>9</v>
      </c>
      <c r="L59" s="5" t="s">
        <v>10</v>
      </c>
      <c r="M59" s="5" t="s">
        <v>11</v>
      </c>
    </row>
    <row r="60" spans="1:13" x14ac:dyDescent="0.35">
      <c r="A60" s="6">
        <v>41362</v>
      </c>
      <c r="B60" s="6" t="s">
        <v>29</v>
      </c>
      <c r="C60" s="6" t="s">
        <v>13</v>
      </c>
      <c r="D60" s="6">
        <v>229</v>
      </c>
      <c r="E60" s="6" t="s">
        <v>14</v>
      </c>
      <c r="F60" s="6">
        <v>168332</v>
      </c>
      <c r="G60" s="58" t="s">
        <v>82</v>
      </c>
      <c r="H60" s="6"/>
      <c r="I60" s="7">
        <v>43672</v>
      </c>
      <c r="J60" s="7">
        <v>43735</v>
      </c>
      <c r="K60" s="6" t="s">
        <v>83</v>
      </c>
      <c r="L60" s="6" t="s">
        <v>17</v>
      </c>
      <c r="M60" s="8">
        <v>10000</v>
      </c>
    </row>
    <row r="61" spans="1:13" x14ac:dyDescent="0.35">
      <c r="A61" s="6">
        <v>41036</v>
      </c>
      <c r="B61" s="6" t="s">
        <v>29</v>
      </c>
      <c r="C61" s="6" t="s">
        <v>13</v>
      </c>
      <c r="D61" s="6">
        <v>229</v>
      </c>
      <c r="E61" s="6" t="s">
        <v>14</v>
      </c>
      <c r="F61" s="6">
        <v>282710</v>
      </c>
      <c r="G61" s="58" t="s">
        <v>84</v>
      </c>
      <c r="H61" s="6"/>
      <c r="I61" s="7">
        <v>43670</v>
      </c>
      <c r="J61" s="7">
        <v>43796</v>
      </c>
      <c r="K61" s="6" t="s">
        <v>85</v>
      </c>
      <c r="L61" s="6" t="s">
        <v>17</v>
      </c>
      <c r="M61" s="8">
        <v>30000</v>
      </c>
    </row>
    <row r="62" spans="1:13" x14ac:dyDescent="0.35">
      <c r="A62" s="6">
        <v>40786</v>
      </c>
      <c r="B62" s="6" t="s">
        <v>21</v>
      </c>
      <c r="C62" s="6" t="s">
        <v>13</v>
      </c>
      <c r="D62" s="6">
        <v>1302</v>
      </c>
      <c r="E62" s="6" t="s">
        <v>14</v>
      </c>
      <c r="F62" s="6">
        <v>290848</v>
      </c>
      <c r="G62" s="58" t="s">
        <v>86</v>
      </c>
      <c r="H62" s="6"/>
      <c r="I62" s="7">
        <v>43669</v>
      </c>
      <c r="J62" s="7">
        <v>43726</v>
      </c>
      <c r="K62" s="6" t="s">
        <v>87</v>
      </c>
      <c r="L62" s="6" t="s">
        <v>17</v>
      </c>
      <c r="M62" s="8">
        <v>3000</v>
      </c>
    </row>
    <row r="63" spans="1:13" x14ac:dyDescent="0.35">
      <c r="A63" s="6">
        <v>40909</v>
      </c>
      <c r="B63" s="6" t="s">
        <v>18</v>
      </c>
      <c r="C63" s="6" t="s">
        <v>13</v>
      </c>
      <c r="D63" s="6">
        <v>4102</v>
      </c>
      <c r="E63" s="6" t="s">
        <v>14</v>
      </c>
      <c r="F63" s="6">
        <v>276128</v>
      </c>
      <c r="G63" s="58" t="s">
        <v>88</v>
      </c>
      <c r="H63" s="6"/>
      <c r="I63" s="7">
        <v>43669</v>
      </c>
      <c r="J63" s="7">
        <v>43774</v>
      </c>
      <c r="K63" s="6" t="s">
        <v>89</v>
      </c>
      <c r="L63" s="6" t="s">
        <v>17</v>
      </c>
      <c r="M63" s="8">
        <v>20000</v>
      </c>
    </row>
    <row r="64" spans="1:13" x14ac:dyDescent="0.35">
      <c r="M64" s="39">
        <f>SUM(M60:M63)</f>
        <v>63000</v>
      </c>
    </row>
    <row r="65" spans="1:14" ht="15" thickBot="1" x14ac:dyDescent="0.4"/>
    <row r="66" spans="1:14" x14ac:dyDescent="0.35">
      <c r="B66" s="4" t="s">
        <v>90</v>
      </c>
    </row>
    <row r="67" spans="1:14" x14ac:dyDescent="0.35">
      <c r="A67" s="5" t="s">
        <v>0</v>
      </c>
      <c r="B67" s="5" t="s">
        <v>1</v>
      </c>
      <c r="C67" s="5" t="s">
        <v>2</v>
      </c>
      <c r="D67" s="5" t="s">
        <v>3</v>
      </c>
      <c r="E67" s="5" t="s">
        <v>4</v>
      </c>
      <c r="F67" s="5" t="s">
        <v>5</v>
      </c>
      <c r="G67" s="5" t="s">
        <v>6</v>
      </c>
      <c r="H67" s="5"/>
      <c r="I67" s="5" t="s">
        <v>7</v>
      </c>
      <c r="J67" s="5" t="s">
        <v>8</v>
      </c>
      <c r="K67" s="5" t="s">
        <v>9</v>
      </c>
      <c r="L67" s="5" t="s">
        <v>10</v>
      </c>
      <c r="M67" s="5" t="s">
        <v>11</v>
      </c>
    </row>
    <row r="68" spans="1:14" x14ac:dyDescent="0.35">
      <c r="A68" s="6">
        <v>42814</v>
      </c>
      <c r="B68" s="6" t="s">
        <v>44</v>
      </c>
      <c r="C68" s="6" t="s">
        <v>22</v>
      </c>
      <c r="D68" s="6">
        <v>511</v>
      </c>
      <c r="E68" s="6" t="s">
        <v>14</v>
      </c>
      <c r="F68" s="6"/>
      <c r="G68" s="58" t="s">
        <v>47</v>
      </c>
      <c r="H68" s="6"/>
      <c r="I68" s="6">
        <v>20190828</v>
      </c>
      <c r="J68" s="7">
        <v>43748</v>
      </c>
      <c r="K68" s="6" t="s">
        <v>91</v>
      </c>
      <c r="L68" s="6" t="s">
        <v>17</v>
      </c>
      <c r="M68" s="6">
        <v>6000</v>
      </c>
    </row>
    <row r="69" spans="1:14" x14ac:dyDescent="0.35">
      <c r="A69" s="6">
        <v>42900</v>
      </c>
      <c r="B69" s="6" t="s">
        <v>29</v>
      </c>
      <c r="C69" s="6" t="s">
        <v>13</v>
      </c>
      <c r="D69" s="6">
        <v>223</v>
      </c>
      <c r="E69" s="6" t="s">
        <v>14</v>
      </c>
      <c r="F69" s="6"/>
      <c r="G69" s="58" t="s">
        <v>92</v>
      </c>
      <c r="H69" s="6"/>
      <c r="I69" s="6">
        <v>20190828</v>
      </c>
      <c r="J69" s="7">
        <v>43763</v>
      </c>
      <c r="K69" s="6" t="s">
        <v>93</v>
      </c>
      <c r="L69" s="6" t="s">
        <v>17</v>
      </c>
      <c r="M69" s="6">
        <v>30000</v>
      </c>
    </row>
    <row r="70" spans="1:14" x14ac:dyDescent="0.35">
      <c r="A70" s="6">
        <v>42086</v>
      </c>
      <c r="B70" s="6" t="s">
        <v>49</v>
      </c>
      <c r="C70" s="6" t="s">
        <v>94</v>
      </c>
      <c r="D70" s="6">
        <v>3110</v>
      </c>
      <c r="E70" s="6" t="s">
        <v>14</v>
      </c>
      <c r="F70" s="6"/>
      <c r="G70" s="58" t="s">
        <v>95</v>
      </c>
      <c r="H70" s="6"/>
      <c r="I70" s="6">
        <v>20190807</v>
      </c>
      <c r="J70" s="7">
        <v>43734</v>
      </c>
      <c r="K70" s="6" t="s">
        <v>96</v>
      </c>
      <c r="L70" s="6" t="s">
        <v>17</v>
      </c>
      <c r="M70" s="6">
        <v>50000</v>
      </c>
    </row>
    <row r="71" spans="1:14" x14ac:dyDescent="0.35">
      <c r="A71" s="6">
        <v>41951</v>
      </c>
      <c r="B71" s="6" t="s">
        <v>35</v>
      </c>
      <c r="C71" s="6" t="s">
        <v>13</v>
      </c>
      <c r="D71" s="6">
        <v>2406</v>
      </c>
      <c r="E71" s="6" t="s">
        <v>14</v>
      </c>
      <c r="F71" s="6"/>
      <c r="G71" s="58" t="s">
        <v>97</v>
      </c>
      <c r="H71" s="6"/>
      <c r="I71" s="6">
        <v>20190802</v>
      </c>
      <c r="J71" s="7">
        <v>43721</v>
      </c>
      <c r="K71" s="6" t="s">
        <v>98</v>
      </c>
      <c r="L71" s="6" t="s">
        <v>17</v>
      </c>
      <c r="M71" s="6">
        <v>20000</v>
      </c>
    </row>
    <row r="72" spans="1:14" x14ac:dyDescent="0.35">
      <c r="M72" s="39">
        <f>SUM(M68:M71)</f>
        <v>106000</v>
      </c>
    </row>
    <row r="73" spans="1:14" ht="15" thickBot="1" x14ac:dyDescent="0.4"/>
    <row r="74" spans="1:14" x14ac:dyDescent="0.35">
      <c r="B74" s="4" t="s">
        <v>99</v>
      </c>
    </row>
    <row r="75" spans="1:14" x14ac:dyDescent="0.35">
      <c r="A75" s="45" t="s">
        <v>0</v>
      </c>
      <c r="B75" s="45" t="s">
        <v>1</v>
      </c>
      <c r="C75" s="45" t="s">
        <v>2</v>
      </c>
      <c r="D75" s="45" t="s">
        <v>3</v>
      </c>
      <c r="E75" s="45" t="s">
        <v>4</v>
      </c>
      <c r="F75" s="45" t="s">
        <v>5</v>
      </c>
      <c r="G75" s="45" t="s">
        <v>6</v>
      </c>
      <c r="H75" s="46" t="s">
        <v>100</v>
      </c>
      <c r="I75" s="45" t="s">
        <v>7</v>
      </c>
      <c r="J75" s="45" t="s">
        <v>8</v>
      </c>
      <c r="K75" s="45" t="s">
        <v>9</v>
      </c>
      <c r="L75" s="45" t="s">
        <v>10</v>
      </c>
      <c r="M75" s="45" t="s">
        <v>11</v>
      </c>
    </row>
    <row r="76" spans="1:14" x14ac:dyDescent="0.35">
      <c r="A76" s="6">
        <v>45780</v>
      </c>
      <c r="B76" s="6" t="s">
        <v>12</v>
      </c>
      <c r="C76" s="6" t="s">
        <v>94</v>
      </c>
      <c r="D76" s="6">
        <v>803</v>
      </c>
      <c r="E76" s="6" t="s">
        <v>14</v>
      </c>
      <c r="F76" s="6"/>
      <c r="G76" s="58" t="s">
        <v>101</v>
      </c>
      <c r="H76" s="6">
        <v>3</v>
      </c>
      <c r="I76" s="6">
        <v>20190927</v>
      </c>
      <c r="J76" s="7">
        <v>43782</v>
      </c>
      <c r="K76" s="6" t="s">
        <v>102</v>
      </c>
      <c r="L76" s="6" t="s">
        <v>17</v>
      </c>
      <c r="M76" s="8">
        <v>5000</v>
      </c>
      <c r="N76" s="2"/>
    </row>
    <row r="77" spans="1:14" x14ac:dyDescent="0.35">
      <c r="A77" s="6">
        <v>43838</v>
      </c>
      <c r="B77" s="6" t="s">
        <v>21</v>
      </c>
      <c r="C77" s="6" t="s">
        <v>94</v>
      </c>
      <c r="D77" s="6">
        <v>1302</v>
      </c>
      <c r="E77" s="6" t="s">
        <v>14</v>
      </c>
      <c r="F77" s="6"/>
      <c r="G77" s="58" t="s">
        <v>103</v>
      </c>
      <c r="H77" s="6">
        <v>2</v>
      </c>
      <c r="I77" s="6">
        <v>20190913</v>
      </c>
      <c r="J77" s="7">
        <v>43787</v>
      </c>
      <c r="K77" s="6" t="s">
        <v>104</v>
      </c>
      <c r="L77" s="6" t="s">
        <v>17</v>
      </c>
      <c r="M77" s="8">
        <v>80000</v>
      </c>
      <c r="N77" s="2"/>
    </row>
    <row r="78" spans="1:14" x14ac:dyDescent="0.35">
      <c r="A78" s="6">
        <v>43360</v>
      </c>
      <c r="B78" s="6" t="s">
        <v>12</v>
      </c>
      <c r="C78" s="6" t="s">
        <v>22</v>
      </c>
      <c r="D78" s="6">
        <v>805</v>
      </c>
      <c r="E78" s="6" t="s">
        <v>14</v>
      </c>
      <c r="F78" s="6"/>
      <c r="G78" s="58" t="s">
        <v>105</v>
      </c>
      <c r="H78" s="6">
        <v>3</v>
      </c>
      <c r="I78" s="6">
        <v>20190906</v>
      </c>
      <c r="J78" s="7">
        <v>43770</v>
      </c>
      <c r="K78" s="6" t="s">
        <v>106</v>
      </c>
      <c r="L78" s="6" t="s">
        <v>17</v>
      </c>
      <c r="M78" s="8">
        <v>6000</v>
      </c>
      <c r="N78" s="2"/>
    </row>
    <row r="79" spans="1:14" x14ac:dyDescent="0.35">
      <c r="A79" s="6">
        <v>44761</v>
      </c>
      <c r="B79" s="6" t="s">
        <v>18</v>
      </c>
      <c r="C79" s="6" t="s">
        <v>13</v>
      </c>
      <c r="D79" s="6">
        <v>4101</v>
      </c>
      <c r="E79" s="6" t="s">
        <v>14</v>
      </c>
      <c r="F79" s="6"/>
      <c r="G79" s="58" t="s">
        <v>107</v>
      </c>
      <c r="H79" s="6">
        <v>2</v>
      </c>
      <c r="I79" s="6">
        <v>20190924</v>
      </c>
      <c r="J79" s="7">
        <v>43776</v>
      </c>
      <c r="K79" s="6" t="s">
        <v>108</v>
      </c>
      <c r="L79" s="6" t="s">
        <v>17</v>
      </c>
      <c r="M79" s="8">
        <v>25000</v>
      </c>
      <c r="N79" s="2"/>
    </row>
    <row r="80" spans="1:14" x14ac:dyDescent="0.35">
      <c r="A80" s="41">
        <v>44847</v>
      </c>
      <c r="B80" s="41" t="s">
        <v>109</v>
      </c>
      <c r="C80" s="41" t="s">
        <v>70</v>
      </c>
      <c r="D80" s="41">
        <v>4003</v>
      </c>
      <c r="E80" s="41" t="s">
        <v>14</v>
      </c>
      <c r="F80" s="41"/>
      <c r="G80" s="62" t="s">
        <v>110</v>
      </c>
      <c r="H80" s="41">
        <v>1</v>
      </c>
      <c r="I80" s="41">
        <v>20190924</v>
      </c>
      <c r="J80" s="47">
        <v>43803</v>
      </c>
      <c r="K80" s="41" t="s">
        <v>111</v>
      </c>
      <c r="L80" s="41" t="s">
        <v>17</v>
      </c>
      <c r="M80" s="48">
        <v>20000</v>
      </c>
      <c r="N80" s="2"/>
    </row>
    <row r="81" spans="1:14" x14ac:dyDescent="0.35">
      <c r="A81" s="41">
        <v>43330</v>
      </c>
      <c r="B81" s="41" t="s">
        <v>109</v>
      </c>
      <c r="C81" s="41" t="s">
        <v>13</v>
      </c>
      <c r="D81" s="41">
        <v>4003</v>
      </c>
      <c r="E81" s="41" t="s">
        <v>14</v>
      </c>
      <c r="F81" s="41"/>
      <c r="G81" s="62" t="s">
        <v>112</v>
      </c>
      <c r="H81" s="41">
        <v>1</v>
      </c>
      <c r="I81" s="41">
        <v>20190905</v>
      </c>
      <c r="J81" s="47">
        <v>43789</v>
      </c>
      <c r="K81" s="41" t="s">
        <v>113</v>
      </c>
      <c r="L81" s="41" t="s">
        <v>17</v>
      </c>
      <c r="M81" s="48">
        <v>6000</v>
      </c>
      <c r="N81" s="2"/>
    </row>
    <row r="82" spans="1:14" x14ac:dyDescent="0.35">
      <c r="A82" s="41">
        <v>40715</v>
      </c>
      <c r="B82" s="41" t="s">
        <v>109</v>
      </c>
      <c r="C82" s="41" t="s">
        <v>70</v>
      </c>
      <c r="D82" s="41">
        <v>4010</v>
      </c>
      <c r="E82" s="41" t="s">
        <v>14</v>
      </c>
      <c r="F82" s="41">
        <v>352497</v>
      </c>
      <c r="G82" s="62" t="s">
        <v>114</v>
      </c>
      <c r="H82" s="41">
        <v>1</v>
      </c>
      <c r="I82" s="41">
        <v>20190919</v>
      </c>
      <c r="J82" s="47">
        <v>43748</v>
      </c>
      <c r="K82" s="41" t="s">
        <v>115</v>
      </c>
      <c r="L82" s="41" t="s">
        <v>17</v>
      </c>
      <c r="M82" s="48">
        <v>70000</v>
      </c>
    </row>
    <row r="83" spans="1:14" x14ac:dyDescent="0.35">
      <c r="A83" s="41">
        <v>37042</v>
      </c>
      <c r="B83" s="41" t="s">
        <v>109</v>
      </c>
      <c r="C83" s="41" t="s">
        <v>70</v>
      </c>
      <c r="D83" s="41">
        <v>4003</v>
      </c>
      <c r="E83" s="41" t="s">
        <v>14</v>
      </c>
      <c r="F83" s="41">
        <v>392940</v>
      </c>
      <c r="G83" s="62" t="s">
        <v>116</v>
      </c>
      <c r="H83" s="41">
        <v>1</v>
      </c>
      <c r="I83" s="41">
        <v>20190915</v>
      </c>
      <c r="J83" s="47">
        <v>43758</v>
      </c>
      <c r="K83" s="41" t="s">
        <v>31</v>
      </c>
      <c r="L83" s="41" t="s">
        <v>17</v>
      </c>
      <c r="M83" s="48">
        <v>3000</v>
      </c>
    </row>
    <row r="84" spans="1:14" x14ac:dyDescent="0.35">
      <c r="A84" s="41">
        <v>37151</v>
      </c>
      <c r="B84" s="41" t="s">
        <v>109</v>
      </c>
      <c r="C84" s="41" t="s">
        <v>70</v>
      </c>
      <c r="D84" s="41">
        <v>4003</v>
      </c>
      <c r="E84" s="41" t="s">
        <v>14</v>
      </c>
      <c r="F84" s="41">
        <v>392943</v>
      </c>
      <c r="G84" s="62" t="s">
        <v>117</v>
      </c>
      <c r="H84" s="41">
        <v>1</v>
      </c>
      <c r="I84" s="41">
        <v>20190919</v>
      </c>
      <c r="J84" s="47">
        <v>43756</v>
      </c>
      <c r="K84" s="41" t="s">
        <v>118</v>
      </c>
      <c r="L84" s="41" t="s">
        <v>17</v>
      </c>
      <c r="M84" s="48">
        <v>10000</v>
      </c>
    </row>
    <row r="85" spans="1:14" x14ac:dyDescent="0.35">
      <c r="M85" s="39">
        <f>SUM(M76:M84)</f>
        <v>225000</v>
      </c>
    </row>
    <row r="86" spans="1:14" ht="15" thickBot="1" x14ac:dyDescent="0.4"/>
    <row r="87" spans="1:14" x14ac:dyDescent="0.35">
      <c r="B87" s="4" t="s">
        <v>119</v>
      </c>
    </row>
    <row r="88" spans="1:14" x14ac:dyDescent="0.35">
      <c r="A88" s="5" t="s">
        <v>0</v>
      </c>
      <c r="B88" s="5" t="s">
        <v>1</v>
      </c>
      <c r="C88" s="5" t="s">
        <v>2</v>
      </c>
      <c r="D88" s="5" t="s">
        <v>3</v>
      </c>
      <c r="E88" s="5" t="s">
        <v>4</v>
      </c>
      <c r="F88" s="5" t="s">
        <v>5</v>
      </c>
      <c r="G88" s="5" t="s">
        <v>6</v>
      </c>
      <c r="H88" s="5" t="s">
        <v>100</v>
      </c>
      <c r="I88" s="5" t="s">
        <v>7</v>
      </c>
      <c r="J88" s="5" t="s">
        <v>8</v>
      </c>
      <c r="K88" s="5" t="s">
        <v>9</v>
      </c>
      <c r="L88" s="5" t="s">
        <v>10</v>
      </c>
      <c r="M88" s="5" t="s">
        <v>11</v>
      </c>
    </row>
    <row r="89" spans="1:14" x14ac:dyDescent="0.35">
      <c r="A89" s="6">
        <v>48857</v>
      </c>
      <c r="B89" s="6" t="s">
        <v>18</v>
      </c>
      <c r="C89" s="41" t="s">
        <v>13</v>
      </c>
      <c r="D89" s="6">
        <v>4101</v>
      </c>
      <c r="E89" s="6" t="s">
        <v>14</v>
      </c>
      <c r="F89" s="6"/>
      <c r="G89" s="58" t="s">
        <v>19</v>
      </c>
      <c r="H89" s="6">
        <v>4</v>
      </c>
      <c r="I89" s="6">
        <v>20191023</v>
      </c>
      <c r="J89" s="7">
        <v>43884</v>
      </c>
      <c r="K89" s="6" t="s">
        <v>120</v>
      </c>
      <c r="L89" s="6" t="s">
        <v>17</v>
      </c>
      <c r="M89" s="8">
        <v>50000</v>
      </c>
    </row>
    <row r="90" spans="1:14" x14ac:dyDescent="0.35">
      <c r="A90" s="6">
        <v>48348</v>
      </c>
      <c r="B90" s="6" t="s">
        <v>18</v>
      </c>
      <c r="C90" s="6" t="s">
        <v>70</v>
      </c>
      <c r="D90" s="6">
        <v>4102</v>
      </c>
      <c r="E90" s="6" t="s">
        <v>14</v>
      </c>
      <c r="F90" s="6"/>
      <c r="G90" s="58" t="s">
        <v>121</v>
      </c>
      <c r="H90" s="6">
        <v>2</v>
      </c>
      <c r="I90" s="6">
        <v>20191018</v>
      </c>
      <c r="J90" s="7">
        <v>43848</v>
      </c>
      <c r="K90" s="6" t="s">
        <v>122</v>
      </c>
      <c r="L90" s="6" t="s">
        <v>17</v>
      </c>
      <c r="M90" s="8">
        <v>25000</v>
      </c>
    </row>
    <row r="91" spans="1:14" x14ac:dyDescent="0.35">
      <c r="A91" s="6">
        <v>47117</v>
      </c>
      <c r="B91" s="6" t="s">
        <v>109</v>
      </c>
      <c r="C91" s="6" t="s">
        <v>55</v>
      </c>
      <c r="D91" s="6">
        <v>4003</v>
      </c>
      <c r="E91" s="6" t="s">
        <v>14</v>
      </c>
      <c r="F91" s="6"/>
      <c r="G91" s="58" t="s">
        <v>123</v>
      </c>
      <c r="H91" s="6">
        <v>1</v>
      </c>
      <c r="I91" s="6">
        <v>20191009</v>
      </c>
      <c r="J91" s="7">
        <v>43850</v>
      </c>
      <c r="K91" s="6" t="s">
        <v>124</v>
      </c>
      <c r="L91" s="6" t="s">
        <v>17</v>
      </c>
      <c r="M91" s="8">
        <v>15000</v>
      </c>
    </row>
    <row r="92" spans="1:14" x14ac:dyDescent="0.35">
      <c r="A92" s="6">
        <v>46792</v>
      </c>
      <c r="B92" s="6" t="s">
        <v>18</v>
      </c>
      <c r="C92" s="6" t="s">
        <v>13</v>
      </c>
      <c r="D92" s="6">
        <v>4102</v>
      </c>
      <c r="E92" s="6" t="s">
        <v>14</v>
      </c>
      <c r="F92" s="6"/>
      <c r="G92" s="58" t="s">
        <v>125</v>
      </c>
      <c r="H92" s="6">
        <v>2</v>
      </c>
      <c r="I92" s="6">
        <v>20191008</v>
      </c>
      <c r="J92" s="7">
        <v>43864</v>
      </c>
      <c r="K92" s="6" t="s">
        <v>126</v>
      </c>
      <c r="L92" s="6" t="s">
        <v>17</v>
      </c>
      <c r="M92" s="8">
        <v>100000</v>
      </c>
    </row>
    <row r="93" spans="1:14" x14ac:dyDescent="0.35">
      <c r="A93" s="6">
        <v>46600</v>
      </c>
      <c r="B93" s="6" t="s">
        <v>18</v>
      </c>
      <c r="C93" s="6" t="s">
        <v>13</v>
      </c>
      <c r="D93" s="6">
        <v>4102</v>
      </c>
      <c r="E93" s="6" t="s">
        <v>14</v>
      </c>
      <c r="F93" s="6"/>
      <c r="G93" s="58" t="s">
        <v>127</v>
      </c>
      <c r="H93" s="6">
        <v>2</v>
      </c>
      <c r="I93" s="6">
        <v>20191004</v>
      </c>
      <c r="J93" s="7">
        <v>43814</v>
      </c>
      <c r="K93" s="6" t="s">
        <v>128</v>
      </c>
      <c r="L93" s="6" t="s">
        <v>17</v>
      </c>
      <c r="M93" s="8">
        <v>35000</v>
      </c>
    </row>
    <row r="94" spans="1:14" x14ac:dyDescent="0.35">
      <c r="M94" s="39">
        <f>SUM(M89:M93)</f>
        <v>225000</v>
      </c>
    </row>
    <row r="95" spans="1:14" ht="15" thickBot="1" x14ac:dyDescent="0.4"/>
    <row r="96" spans="1:14" x14ac:dyDescent="0.35">
      <c r="B96" s="4" t="s">
        <v>129</v>
      </c>
    </row>
    <row r="97" spans="1:13" x14ac:dyDescent="0.35">
      <c r="A97" s="5" t="s">
        <v>0</v>
      </c>
      <c r="B97" s="5" t="s">
        <v>1</v>
      </c>
      <c r="C97" s="5" t="s">
        <v>2</v>
      </c>
      <c r="D97" s="5" t="s">
        <v>3</v>
      </c>
      <c r="E97" s="5" t="s">
        <v>4</v>
      </c>
      <c r="F97" s="5" t="s">
        <v>5</v>
      </c>
      <c r="G97" s="5" t="s">
        <v>6</v>
      </c>
      <c r="H97" s="5" t="s">
        <v>100</v>
      </c>
      <c r="I97" s="5" t="s">
        <v>7</v>
      </c>
      <c r="J97" s="5" t="s">
        <v>8</v>
      </c>
      <c r="K97" s="5" t="s">
        <v>9</v>
      </c>
      <c r="L97" s="5" t="s">
        <v>10</v>
      </c>
      <c r="M97" s="5" t="s">
        <v>11</v>
      </c>
    </row>
    <row r="98" spans="1:13" x14ac:dyDescent="0.35">
      <c r="A98" s="6">
        <v>52324</v>
      </c>
      <c r="B98" s="6" t="s">
        <v>21</v>
      </c>
      <c r="C98" s="6" t="s">
        <v>13</v>
      </c>
      <c r="D98" s="6">
        <v>1302</v>
      </c>
      <c r="E98" s="6" t="s">
        <v>14</v>
      </c>
      <c r="F98" s="6"/>
      <c r="G98" s="58" t="s">
        <v>130</v>
      </c>
      <c r="H98" s="6">
        <v>3</v>
      </c>
      <c r="I98" s="6">
        <v>20191128</v>
      </c>
      <c r="J98" s="7">
        <v>43844</v>
      </c>
      <c r="K98" s="6" t="s">
        <v>131</v>
      </c>
      <c r="L98" s="6" t="s">
        <v>17</v>
      </c>
      <c r="M98" s="8">
        <v>15000</v>
      </c>
    </row>
    <row r="99" spans="1:13" x14ac:dyDescent="0.35">
      <c r="A99" s="6">
        <v>52094</v>
      </c>
      <c r="B99" s="6" t="s">
        <v>132</v>
      </c>
      <c r="C99" s="6" t="s">
        <v>13</v>
      </c>
      <c r="D99" s="6">
        <v>2509</v>
      </c>
      <c r="E99" s="6" t="s">
        <v>14</v>
      </c>
      <c r="F99" s="6"/>
      <c r="G99" s="58" t="s">
        <v>133</v>
      </c>
      <c r="H99" s="6">
        <v>1</v>
      </c>
      <c r="I99" s="6">
        <v>20191127</v>
      </c>
      <c r="J99" s="7">
        <v>43864</v>
      </c>
      <c r="K99" s="6" t="s">
        <v>134</v>
      </c>
      <c r="L99" s="6" t="s">
        <v>17</v>
      </c>
      <c r="M99" s="8">
        <v>40000</v>
      </c>
    </row>
    <row r="100" spans="1:13" x14ac:dyDescent="0.35">
      <c r="A100" s="6">
        <v>51415</v>
      </c>
      <c r="B100" s="6" t="s">
        <v>44</v>
      </c>
      <c r="C100" s="6" t="s">
        <v>22</v>
      </c>
      <c r="D100" s="6">
        <v>511</v>
      </c>
      <c r="E100" s="6" t="s">
        <v>14</v>
      </c>
      <c r="F100" s="6"/>
      <c r="G100" s="58" t="s">
        <v>62</v>
      </c>
      <c r="H100" s="6">
        <v>3</v>
      </c>
      <c r="I100" s="6">
        <v>20191119</v>
      </c>
      <c r="J100" s="7">
        <v>43832</v>
      </c>
      <c r="K100" s="6" t="s">
        <v>91</v>
      </c>
      <c r="L100" s="6" t="s">
        <v>17</v>
      </c>
      <c r="M100" s="8">
        <v>4000</v>
      </c>
    </row>
    <row r="101" spans="1:13" x14ac:dyDescent="0.35">
      <c r="A101" s="6">
        <v>51330</v>
      </c>
      <c r="B101" s="6" t="s">
        <v>58</v>
      </c>
      <c r="C101" s="6" t="s">
        <v>13</v>
      </c>
      <c r="D101" s="6">
        <v>3017</v>
      </c>
      <c r="E101" s="6" t="s">
        <v>14</v>
      </c>
      <c r="F101" s="6"/>
      <c r="G101" s="58" t="s">
        <v>135</v>
      </c>
      <c r="H101" s="6">
        <v>2</v>
      </c>
      <c r="I101" s="6">
        <v>20191118</v>
      </c>
      <c r="J101" s="7">
        <v>43910</v>
      </c>
      <c r="K101" s="6" t="s">
        <v>136</v>
      </c>
      <c r="L101" s="6" t="s">
        <v>17</v>
      </c>
      <c r="M101" s="8">
        <v>50000</v>
      </c>
    </row>
    <row r="102" spans="1:13" x14ac:dyDescent="0.35">
      <c r="M102" s="39">
        <f>SUM(M98:M101)</f>
        <v>109000</v>
      </c>
    </row>
    <row r="103" spans="1:13" ht="15" thickBot="1" x14ac:dyDescent="0.4"/>
    <row r="104" spans="1:13" x14ac:dyDescent="0.35">
      <c r="B104" s="4" t="s">
        <v>137</v>
      </c>
    </row>
    <row r="105" spans="1:13" x14ac:dyDescent="0.35">
      <c r="A105" s="5" t="s">
        <v>0</v>
      </c>
      <c r="B105" s="5" t="s">
        <v>1</v>
      </c>
      <c r="C105" s="5" t="s">
        <v>2</v>
      </c>
      <c r="D105" s="5" t="s">
        <v>3</v>
      </c>
      <c r="E105" s="5" t="s">
        <v>4</v>
      </c>
      <c r="F105" s="5" t="s">
        <v>5</v>
      </c>
      <c r="G105" s="5" t="s">
        <v>6</v>
      </c>
      <c r="H105" s="5" t="s">
        <v>100</v>
      </c>
      <c r="I105" s="5" t="s">
        <v>7</v>
      </c>
      <c r="J105" s="5" t="s">
        <v>8</v>
      </c>
      <c r="K105" s="5" t="s">
        <v>9</v>
      </c>
      <c r="L105" s="5" t="s">
        <v>10</v>
      </c>
      <c r="M105" s="5" t="s">
        <v>11</v>
      </c>
    </row>
    <row r="106" spans="1:13" x14ac:dyDescent="0.35">
      <c r="A106" s="6">
        <v>55137</v>
      </c>
      <c r="B106" s="6" t="s">
        <v>29</v>
      </c>
      <c r="C106" s="6" t="s">
        <v>13</v>
      </c>
      <c r="D106" s="6">
        <v>218</v>
      </c>
      <c r="E106" s="6" t="s">
        <v>14</v>
      </c>
      <c r="F106" s="6"/>
      <c r="G106" s="58" t="s">
        <v>138</v>
      </c>
      <c r="H106" s="6">
        <v>2</v>
      </c>
      <c r="I106" s="6">
        <v>20191223</v>
      </c>
      <c r="J106" s="7">
        <v>43969</v>
      </c>
      <c r="K106" s="6" t="s">
        <v>139</v>
      </c>
      <c r="L106" s="6" t="s">
        <v>17</v>
      </c>
      <c r="M106" s="8">
        <v>50000</v>
      </c>
    </row>
    <row r="107" spans="1:13" x14ac:dyDescent="0.35">
      <c r="A107" s="6">
        <v>53905</v>
      </c>
      <c r="B107" s="6" t="s">
        <v>109</v>
      </c>
      <c r="C107" s="6" t="s">
        <v>13</v>
      </c>
      <c r="D107" s="6">
        <v>4003</v>
      </c>
      <c r="E107" s="6" t="s">
        <v>14</v>
      </c>
      <c r="F107" s="6"/>
      <c r="G107" s="58" t="s">
        <v>140</v>
      </c>
      <c r="H107" s="6">
        <v>1</v>
      </c>
      <c r="I107" s="6">
        <v>20191213</v>
      </c>
      <c r="J107" s="7">
        <v>43936</v>
      </c>
      <c r="K107" s="6" t="s">
        <v>141</v>
      </c>
      <c r="L107" s="6" t="s">
        <v>17</v>
      </c>
      <c r="M107" s="8">
        <v>40000</v>
      </c>
    </row>
    <row r="108" spans="1:13" x14ac:dyDescent="0.35">
      <c r="A108" s="6">
        <v>53069</v>
      </c>
      <c r="B108" s="6" t="s">
        <v>21</v>
      </c>
      <c r="C108" s="6" t="s">
        <v>13</v>
      </c>
      <c r="D108" s="6">
        <v>1302</v>
      </c>
      <c r="E108" s="6" t="s">
        <v>14</v>
      </c>
      <c r="F108" s="6"/>
      <c r="G108" s="58" t="s">
        <v>142</v>
      </c>
      <c r="H108" s="6">
        <v>2</v>
      </c>
      <c r="I108" s="6">
        <v>20191205</v>
      </c>
      <c r="J108" s="7">
        <v>43894</v>
      </c>
      <c r="K108" s="6" t="s">
        <v>143</v>
      </c>
      <c r="L108" s="6" t="s">
        <v>17</v>
      </c>
      <c r="M108" s="8">
        <v>35000</v>
      </c>
    </row>
    <row r="109" spans="1:13" x14ac:dyDescent="0.35">
      <c r="A109" s="6">
        <v>53122</v>
      </c>
      <c r="B109" s="6" t="s">
        <v>109</v>
      </c>
      <c r="C109" s="6" t="s">
        <v>144</v>
      </c>
      <c r="D109" s="6">
        <v>4003</v>
      </c>
      <c r="E109" s="6" t="s">
        <v>14</v>
      </c>
      <c r="F109" s="6"/>
      <c r="G109" s="58" t="s">
        <v>145</v>
      </c>
      <c r="H109" s="6">
        <v>2</v>
      </c>
      <c r="I109" s="6">
        <v>20191205</v>
      </c>
      <c r="J109" s="7">
        <v>43936</v>
      </c>
      <c r="K109" s="6" t="s">
        <v>146</v>
      </c>
      <c r="L109" s="6" t="s">
        <v>17</v>
      </c>
      <c r="M109" s="8">
        <v>40000</v>
      </c>
    </row>
    <row r="110" spans="1:13" x14ac:dyDescent="0.35">
      <c r="M110" s="39">
        <f>SUM(M106:M109)</f>
        <v>165000</v>
      </c>
    </row>
  </sheetData>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66"/>
  <sheetViews>
    <sheetView topLeftCell="A9" zoomScale="90" zoomScaleNormal="90" workbookViewId="0">
      <selection activeCell="G15" sqref="G15"/>
    </sheetView>
  </sheetViews>
  <sheetFormatPr defaultColWidth="8.7265625" defaultRowHeight="14.5" x14ac:dyDescent="0.35"/>
  <cols>
    <col min="2" max="2" width="18.1796875" bestFit="1" customWidth="1"/>
    <col min="3" max="3" width="14.1796875" bestFit="1" customWidth="1"/>
    <col min="5" max="5" width="22.81640625" customWidth="1"/>
    <col min="7" max="7" width="34.81640625" customWidth="1"/>
    <col min="8" max="8" width="7" customWidth="1"/>
    <col min="9" max="9" width="12.1796875" bestFit="1" customWidth="1"/>
    <col min="10" max="10" width="16.54296875" bestFit="1" customWidth="1"/>
    <col min="13" max="13" width="12.7265625" bestFit="1" customWidth="1"/>
  </cols>
  <sheetData>
    <row r="1" spans="1:13" ht="15" thickBot="1" x14ac:dyDescent="0.4"/>
    <row r="2" spans="1:13" x14ac:dyDescent="0.35">
      <c r="B2" s="4" t="s">
        <v>147</v>
      </c>
    </row>
    <row r="3" spans="1:13" x14ac:dyDescent="0.35">
      <c r="A3" s="5" t="s">
        <v>0</v>
      </c>
      <c r="B3" s="5" t="s">
        <v>1</v>
      </c>
      <c r="C3" s="5" t="s">
        <v>2</v>
      </c>
      <c r="D3" s="5" t="s">
        <v>3</v>
      </c>
      <c r="E3" s="5" t="s">
        <v>4</v>
      </c>
      <c r="F3" s="5" t="s">
        <v>5</v>
      </c>
      <c r="G3" s="5" t="s">
        <v>6</v>
      </c>
      <c r="H3" s="5" t="s">
        <v>100</v>
      </c>
      <c r="I3" s="5" t="s">
        <v>7</v>
      </c>
      <c r="J3" s="5" t="s">
        <v>8</v>
      </c>
      <c r="K3" s="5" t="s">
        <v>9</v>
      </c>
      <c r="L3" s="5" t="s">
        <v>10</v>
      </c>
      <c r="M3" s="5" t="s">
        <v>11</v>
      </c>
    </row>
    <row r="4" spans="1:13" x14ac:dyDescent="0.35">
      <c r="A4" s="6">
        <v>56956</v>
      </c>
      <c r="B4" s="6" t="s">
        <v>148</v>
      </c>
      <c r="C4" s="6" t="s">
        <v>13</v>
      </c>
      <c r="D4" s="6">
        <v>3510</v>
      </c>
      <c r="E4" s="6" t="s">
        <v>14</v>
      </c>
      <c r="F4" s="6"/>
      <c r="G4" s="6" t="s">
        <v>149</v>
      </c>
      <c r="H4" s="6">
        <v>3</v>
      </c>
      <c r="I4" s="6">
        <v>20200130</v>
      </c>
      <c r="J4" s="7">
        <v>43980</v>
      </c>
      <c r="K4" s="6" t="s">
        <v>150</v>
      </c>
      <c r="L4" s="6" t="s">
        <v>17</v>
      </c>
      <c r="M4" s="8">
        <v>65000</v>
      </c>
    </row>
    <row r="5" spans="1:13" x14ac:dyDescent="0.35">
      <c r="A5" s="6">
        <v>56691</v>
      </c>
      <c r="B5" s="6" t="s">
        <v>132</v>
      </c>
      <c r="C5" s="6" t="s">
        <v>151</v>
      </c>
      <c r="D5" s="6">
        <v>2509</v>
      </c>
      <c r="E5" s="6" t="s">
        <v>14</v>
      </c>
      <c r="F5" s="6"/>
      <c r="G5" s="6" t="s">
        <v>152</v>
      </c>
      <c r="H5" s="6">
        <v>4</v>
      </c>
      <c r="I5" s="6">
        <v>20200129</v>
      </c>
      <c r="J5" s="7">
        <v>43927</v>
      </c>
      <c r="K5" s="6" t="s">
        <v>153</v>
      </c>
      <c r="L5" s="6" t="s">
        <v>17</v>
      </c>
      <c r="M5" s="8">
        <v>8000</v>
      </c>
    </row>
    <row r="6" spans="1:13" x14ac:dyDescent="0.35">
      <c r="A6" s="6">
        <v>55702</v>
      </c>
      <c r="B6" s="6" t="s">
        <v>29</v>
      </c>
      <c r="C6" s="6" t="s">
        <v>13</v>
      </c>
      <c r="D6" s="6">
        <v>221</v>
      </c>
      <c r="E6" s="6" t="s">
        <v>14</v>
      </c>
      <c r="F6" s="6"/>
      <c r="G6" s="6" t="s">
        <v>154</v>
      </c>
      <c r="H6" s="6">
        <v>1</v>
      </c>
      <c r="I6" s="6">
        <v>20200113</v>
      </c>
      <c r="J6" s="7">
        <v>43934</v>
      </c>
      <c r="K6" s="6" t="s">
        <v>155</v>
      </c>
      <c r="L6" s="6" t="s">
        <v>17</v>
      </c>
      <c r="M6" s="8">
        <v>15000</v>
      </c>
    </row>
    <row r="7" spans="1:13" x14ac:dyDescent="0.35">
      <c r="A7" s="6">
        <v>56334</v>
      </c>
      <c r="B7" s="6" t="s">
        <v>109</v>
      </c>
      <c r="C7" s="6" t="s">
        <v>13</v>
      </c>
      <c r="D7" s="6">
        <v>4003</v>
      </c>
      <c r="E7" s="6" t="s">
        <v>14</v>
      </c>
      <c r="F7" s="6"/>
      <c r="G7" s="6" t="s">
        <v>156</v>
      </c>
      <c r="H7" s="6">
        <v>1</v>
      </c>
      <c r="I7" s="6">
        <v>20200122</v>
      </c>
      <c r="J7" s="7">
        <v>43971</v>
      </c>
      <c r="K7" s="6" t="s">
        <v>157</v>
      </c>
      <c r="L7" s="6" t="s">
        <v>17</v>
      </c>
      <c r="M7" s="8">
        <v>50000</v>
      </c>
    </row>
    <row r="8" spans="1:13" x14ac:dyDescent="0.35">
      <c r="A8" s="6">
        <v>55739</v>
      </c>
      <c r="B8" s="6" t="s">
        <v>32</v>
      </c>
      <c r="C8" s="6" t="s">
        <v>13</v>
      </c>
      <c r="D8" s="6">
        <v>2002</v>
      </c>
      <c r="E8" s="6" t="s">
        <v>14</v>
      </c>
      <c r="F8" s="6"/>
      <c r="G8" s="6" t="s">
        <v>158</v>
      </c>
      <c r="H8" s="6">
        <v>5</v>
      </c>
      <c r="I8" s="6">
        <v>20200114</v>
      </c>
      <c r="J8" s="7">
        <v>43930</v>
      </c>
      <c r="K8" s="6" t="s">
        <v>159</v>
      </c>
      <c r="L8" s="6" t="s">
        <v>17</v>
      </c>
      <c r="M8" s="8">
        <v>20000</v>
      </c>
    </row>
    <row r="9" spans="1:13" x14ac:dyDescent="0.35">
      <c r="M9" s="39">
        <f>SUM(M4:M8)</f>
        <v>158000</v>
      </c>
    </row>
    <row r="10" spans="1:13" ht="15" thickBot="1" x14ac:dyDescent="0.4"/>
    <row r="11" spans="1:13" x14ac:dyDescent="0.35">
      <c r="B11" s="4" t="s">
        <v>46</v>
      </c>
    </row>
    <row r="12" spans="1:13" x14ac:dyDescent="0.35">
      <c r="A12" s="5" t="s">
        <v>0</v>
      </c>
      <c r="B12" s="5" t="s">
        <v>1</v>
      </c>
      <c r="C12" s="5" t="s">
        <v>2</v>
      </c>
      <c r="D12" s="5" t="s">
        <v>3</v>
      </c>
      <c r="E12" s="5" t="s">
        <v>4</v>
      </c>
      <c r="F12" s="5" t="s">
        <v>5</v>
      </c>
      <c r="G12" s="5" t="s">
        <v>6</v>
      </c>
      <c r="H12" s="5" t="s">
        <v>100</v>
      </c>
      <c r="I12" s="5" t="s">
        <v>7</v>
      </c>
      <c r="J12" s="5" t="s">
        <v>8</v>
      </c>
      <c r="K12" s="5" t="s">
        <v>9</v>
      </c>
      <c r="L12" s="5" t="s">
        <v>10</v>
      </c>
      <c r="M12" s="5" t="s">
        <v>11</v>
      </c>
    </row>
    <row r="13" spans="1:13" x14ac:dyDescent="0.35">
      <c r="A13" s="6">
        <v>122913</v>
      </c>
      <c r="B13" s="6" t="s">
        <v>160</v>
      </c>
      <c r="C13" s="6" t="s">
        <v>13</v>
      </c>
      <c r="D13" s="6">
        <v>3503</v>
      </c>
      <c r="E13" s="6" t="s">
        <v>14</v>
      </c>
      <c r="F13" s="6"/>
      <c r="G13" s="41" t="s">
        <v>161</v>
      </c>
      <c r="H13" s="6">
        <v>4</v>
      </c>
      <c r="I13" s="6">
        <v>20200204</v>
      </c>
      <c r="J13" s="7">
        <v>43865</v>
      </c>
      <c r="K13" s="6" t="s">
        <v>162</v>
      </c>
      <c r="L13" s="6" t="s">
        <v>17</v>
      </c>
      <c r="M13" s="8">
        <v>10000</v>
      </c>
    </row>
    <row r="14" spans="1:13" x14ac:dyDescent="0.35">
      <c r="A14" s="6">
        <v>422957</v>
      </c>
      <c r="B14" s="6" t="s">
        <v>132</v>
      </c>
      <c r="C14" s="6" t="s">
        <v>70</v>
      </c>
      <c r="D14" s="6">
        <v>2509</v>
      </c>
      <c r="E14" s="6" t="s">
        <v>14</v>
      </c>
      <c r="F14" s="6"/>
      <c r="G14" s="41" t="s">
        <v>163</v>
      </c>
      <c r="H14" s="6">
        <v>1</v>
      </c>
      <c r="I14" s="6">
        <v>20200212</v>
      </c>
      <c r="J14" s="7">
        <v>43873</v>
      </c>
      <c r="K14" s="6" t="s">
        <v>164</v>
      </c>
      <c r="L14" s="6" t="s">
        <v>17</v>
      </c>
      <c r="M14" s="8">
        <v>6000</v>
      </c>
    </row>
    <row r="15" spans="1:13" x14ac:dyDescent="0.35">
      <c r="A15" s="6">
        <v>217748</v>
      </c>
      <c r="B15" s="6" t="s">
        <v>109</v>
      </c>
      <c r="C15" s="6" t="s">
        <v>13</v>
      </c>
      <c r="D15" s="6">
        <v>4003</v>
      </c>
      <c r="E15" s="6" t="s">
        <v>14</v>
      </c>
      <c r="F15" s="6"/>
      <c r="G15" s="41" t="s">
        <v>165</v>
      </c>
      <c r="H15" s="6">
        <v>1</v>
      </c>
      <c r="I15" s="6">
        <v>20200224</v>
      </c>
      <c r="J15" s="7">
        <v>43885</v>
      </c>
      <c r="K15" s="6" t="s">
        <v>166</v>
      </c>
      <c r="L15" s="6" t="s">
        <v>17</v>
      </c>
      <c r="M15" s="8">
        <v>40000</v>
      </c>
    </row>
    <row r="16" spans="1:13" x14ac:dyDescent="0.35">
      <c r="A16" s="6">
        <v>293999</v>
      </c>
      <c r="B16" s="6" t="s">
        <v>132</v>
      </c>
      <c r="C16" s="6" t="s">
        <v>13</v>
      </c>
      <c r="D16" s="6">
        <v>2510</v>
      </c>
      <c r="E16" s="6" t="s">
        <v>14</v>
      </c>
      <c r="F16" s="6"/>
      <c r="G16" s="41" t="s">
        <v>167</v>
      </c>
      <c r="H16" s="6">
        <v>1</v>
      </c>
      <c r="I16" s="6">
        <v>20200228</v>
      </c>
      <c r="J16" s="7">
        <v>43889</v>
      </c>
      <c r="K16" s="6" t="s">
        <v>54</v>
      </c>
      <c r="L16" s="6" t="s">
        <v>17</v>
      </c>
      <c r="M16" s="8">
        <v>20000</v>
      </c>
    </row>
    <row r="17" spans="1:13" x14ac:dyDescent="0.35">
      <c r="A17" s="6">
        <v>37570</v>
      </c>
      <c r="B17" s="6" t="s">
        <v>58</v>
      </c>
      <c r="C17" s="6" t="s">
        <v>13</v>
      </c>
      <c r="D17" s="6">
        <v>3012</v>
      </c>
      <c r="E17" s="6" t="s">
        <v>14</v>
      </c>
      <c r="F17" s="6"/>
      <c r="G17" s="6" t="s">
        <v>168</v>
      </c>
      <c r="H17" s="6">
        <v>1</v>
      </c>
      <c r="I17" s="6">
        <v>20200222</v>
      </c>
      <c r="J17" s="7">
        <v>43892</v>
      </c>
      <c r="K17" s="6" t="s">
        <v>169</v>
      </c>
      <c r="L17" s="6" t="s">
        <v>17</v>
      </c>
      <c r="M17" s="8">
        <v>2000</v>
      </c>
    </row>
    <row r="18" spans="1:13" x14ac:dyDescent="0.35">
      <c r="A18" s="6">
        <v>37436</v>
      </c>
      <c r="B18" s="6" t="s">
        <v>29</v>
      </c>
      <c r="C18" s="6" t="s">
        <v>13</v>
      </c>
      <c r="D18" s="6">
        <v>229</v>
      </c>
      <c r="E18" s="6" t="s">
        <v>14</v>
      </c>
      <c r="F18" s="6"/>
      <c r="G18" s="6" t="s">
        <v>170</v>
      </c>
      <c r="H18" s="6">
        <v>1</v>
      </c>
      <c r="I18" s="6">
        <v>20200221</v>
      </c>
      <c r="J18" s="7">
        <v>43895</v>
      </c>
      <c r="K18" s="6" t="s">
        <v>171</v>
      </c>
      <c r="L18" s="6" t="s">
        <v>17</v>
      </c>
      <c r="M18" s="8">
        <v>10000</v>
      </c>
    </row>
    <row r="19" spans="1:13" x14ac:dyDescent="0.35">
      <c r="A19" s="6">
        <v>41020</v>
      </c>
      <c r="B19" s="6" t="s">
        <v>109</v>
      </c>
      <c r="C19" s="6" t="s">
        <v>13</v>
      </c>
      <c r="D19" s="6">
        <v>4003</v>
      </c>
      <c r="E19" s="6" t="s">
        <v>14</v>
      </c>
      <c r="F19" s="6"/>
      <c r="G19" s="6" t="s">
        <v>172</v>
      </c>
      <c r="H19" s="6">
        <v>3</v>
      </c>
      <c r="I19" s="6">
        <v>20200223</v>
      </c>
      <c r="J19" s="7">
        <v>43941</v>
      </c>
      <c r="K19" s="6" t="s">
        <v>173</v>
      </c>
      <c r="L19" s="6" t="s">
        <v>17</v>
      </c>
      <c r="M19" s="8">
        <v>50000</v>
      </c>
    </row>
    <row r="20" spans="1:13" x14ac:dyDescent="0.35">
      <c r="A20" s="6">
        <v>54155</v>
      </c>
      <c r="B20" s="6" t="s">
        <v>174</v>
      </c>
      <c r="C20" s="6" t="s">
        <v>22</v>
      </c>
      <c r="D20" s="6">
        <v>1113</v>
      </c>
      <c r="E20" s="6" t="s">
        <v>14</v>
      </c>
      <c r="F20" s="6"/>
      <c r="G20" s="6" t="s">
        <v>175</v>
      </c>
      <c r="H20" s="6">
        <v>1</v>
      </c>
      <c r="I20" s="6">
        <v>20200217</v>
      </c>
      <c r="J20" s="7">
        <v>43893</v>
      </c>
      <c r="K20" s="6" t="s">
        <v>102</v>
      </c>
      <c r="L20" s="6" t="s">
        <v>17</v>
      </c>
      <c r="M20" s="8">
        <v>6000</v>
      </c>
    </row>
    <row r="21" spans="1:13" x14ac:dyDescent="0.35">
      <c r="A21" s="6">
        <v>301843</v>
      </c>
      <c r="B21" s="6" t="s">
        <v>58</v>
      </c>
      <c r="C21" s="6" t="s">
        <v>13</v>
      </c>
      <c r="D21" s="6">
        <v>3012</v>
      </c>
      <c r="E21" s="6" t="s">
        <v>14</v>
      </c>
      <c r="F21" s="6"/>
      <c r="G21" s="6" t="s">
        <v>176</v>
      </c>
      <c r="H21" s="6">
        <v>1</v>
      </c>
      <c r="I21" s="6">
        <v>20200204</v>
      </c>
      <c r="J21" s="7">
        <v>43900</v>
      </c>
      <c r="K21" s="6" t="s">
        <v>159</v>
      </c>
      <c r="L21" s="6" t="s">
        <v>17</v>
      </c>
      <c r="M21" s="8">
        <v>15000</v>
      </c>
    </row>
    <row r="22" spans="1:13" x14ac:dyDescent="0.35">
      <c r="M22" s="43">
        <f>SUM(M13:M21)</f>
        <v>159000</v>
      </c>
    </row>
    <row r="23" spans="1:13" ht="15" thickBot="1" x14ac:dyDescent="0.4"/>
    <row r="24" spans="1:13" x14ac:dyDescent="0.35">
      <c r="B24" s="4" t="s">
        <v>52</v>
      </c>
    </row>
    <row r="25" spans="1:13" x14ac:dyDescent="0.35">
      <c r="A25" s="5" t="s">
        <v>0</v>
      </c>
      <c r="B25" s="5" t="s">
        <v>1</v>
      </c>
      <c r="C25" s="5" t="s">
        <v>2</v>
      </c>
      <c r="D25" s="5" t="s">
        <v>3</v>
      </c>
      <c r="E25" s="5" t="s">
        <v>4</v>
      </c>
      <c r="F25" s="5" t="s">
        <v>5</v>
      </c>
      <c r="G25" s="5" t="s">
        <v>6</v>
      </c>
      <c r="H25" s="5" t="s">
        <v>100</v>
      </c>
      <c r="I25" s="5" t="s">
        <v>7</v>
      </c>
      <c r="J25" s="5" t="s">
        <v>8</v>
      </c>
      <c r="K25" s="5" t="s">
        <v>9</v>
      </c>
      <c r="L25" s="5" t="s">
        <v>10</v>
      </c>
      <c r="M25" s="5" t="s">
        <v>11</v>
      </c>
    </row>
    <row r="26" spans="1:13" x14ac:dyDescent="0.35">
      <c r="A26" s="6">
        <v>60959</v>
      </c>
      <c r="B26" s="6" t="s">
        <v>29</v>
      </c>
      <c r="C26" s="6" t="s">
        <v>13</v>
      </c>
      <c r="D26" s="6">
        <v>221</v>
      </c>
      <c r="E26" s="6" t="s">
        <v>14</v>
      </c>
      <c r="F26" s="6"/>
      <c r="G26" s="6" t="s">
        <v>177</v>
      </c>
      <c r="H26" s="6">
        <v>6</v>
      </c>
      <c r="I26" s="6">
        <v>20200316</v>
      </c>
      <c r="J26" s="7">
        <v>43963</v>
      </c>
      <c r="K26" s="6" t="s">
        <v>178</v>
      </c>
      <c r="L26" s="6" t="s">
        <v>17</v>
      </c>
      <c r="M26" s="8">
        <v>20000</v>
      </c>
    </row>
    <row r="27" spans="1:13" x14ac:dyDescent="0.35">
      <c r="A27" s="6">
        <v>60944</v>
      </c>
      <c r="B27" s="6" t="s">
        <v>29</v>
      </c>
      <c r="C27" s="6" t="s">
        <v>13</v>
      </c>
      <c r="D27" s="6">
        <v>223</v>
      </c>
      <c r="E27" s="6" t="s">
        <v>14</v>
      </c>
      <c r="F27" s="6"/>
      <c r="G27" s="6" t="s">
        <v>179</v>
      </c>
      <c r="H27" s="6">
        <v>1</v>
      </c>
      <c r="I27" s="6">
        <v>20200313</v>
      </c>
      <c r="J27" s="7">
        <v>44026</v>
      </c>
      <c r="K27" s="6" t="s">
        <v>141</v>
      </c>
      <c r="L27" s="6" t="s">
        <v>17</v>
      </c>
      <c r="M27" s="8">
        <v>20000</v>
      </c>
    </row>
    <row r="28" spans="1:13" x14ac:dyDescent="0.35">
      <c r="A28" s="6">
        <v>60336</v>
      </c>
      <c r="B28" s="6" t="s">
        <v>132</v>
      </c>
      <c r="C28" s="6" t="s">
        <v>13</v>
      </c>
      <c r="D28" s="6">
        <v>2510</v>
      </c>
      <c r="E28" s="6" t="s">
        <v>14</v>
      </c>
      <c r="F28" s="6"/>
      <c r="G28" s="6" t="s">
        <v>180</v>
      </c>
      <c r="H28" s="6">
        <v>1</v>
      </c>
      <c r="I28" s="6">
        <v>20200309</v>
      </c>
      <c r="J28" s="7">
        <v>43936</v>
      </c>
      <c r="K28" s="6" t="s">
        <v>181</v>
      </c>
      <c r="L28" s="6" t="s">
        <v>17</v>
      </c>
      <c r="M28" s="8">
        <v>40000</v>
      </c>
    </row>
    <row r="29" spans="1:13" x14ac:dyDescent="0.35">
      <c r="A29" s="6">
        <v>59886</v>
      </c>
      <c r="B29" s="6" t="s">
        <v>29</v>
      </c>
      <c r="C29" s="6" t="s">
        <v>13</v>
      </c>
      <c r="D29" s="6">
        <v>243</v>
      </c>
      <c r="E29" s="6" t="s">
        <v>14</v>
      </c>
      <c r="F29" s="6"/>
      <c r="G29" s="6" t="s">
        <v>182</v>
      </c>
      <c r="H29" s="6">
        <v>10</v>
      </c>
      <c r="I29" s="6">
        <v>20200303</v>
      </c>
      <c r="J29" s="7">
        <v>44014</v>
      </c>
      <c r="K29" s="6" t="s">
        <v>183</v>
      </c>
      <c r="L29" s="6" t="s">
        <v>17</v>
      </c>
      <c r="M29" s="8">
        <v>70000</v>
      </c>
    </row>
    <row r="30" spans="1:13" x14ac:dyDescent="0.35">
      <c r="M30" s="39">
        <f>SUM(M26:M29)</f>
        <v>150000</v>
      </c>
    </row>
    <row r="31" spans="1:13" ht="15" thickBot="1" x14ac:dyDescent="0.4"/>
    <row r="32" spans="1:13" x14ac:dyDescent="0.35">
      <c r="B32" s="4" t="s">
        <v>64</v>
      </c>
    </row>
    <row r="33" spans="1:13" x14ac:dyDescent="0.35">
      <c r="A33" s="5" t="s">
        <v>0</v>
      </c>
      <c r="B33" s="5" t="s">
        <v>1</v>
      </c>
      <c r="C33" s="5" t="s">
        <v>2</v>
      </c>
      <c r="D33" s="5" t="s">
        <v>3</v>
      </c>
      <c r="E33" s="5" t="s">
        <v>4</v>
      </c>
      <c r="F33" s="5" t="s">
        <v>5</v>
      </c>
      <c r="G33" s="5" t="s">
        <v>6</v>
      </c>
      <c r="H33" s="5" t="s">
        <v>100</v>
      </c>
      <c r="I33" s="5" t="s">
        <v>7</v>
      </c>
      <c r="J33" s="5" t="s">
        <v>8</v>
      </c>
      <c r="K33" s="5" t="s">
        <v>9</v>
      </c>
      <c r="L33" s="5" t="s">
        <v>10</v>
      </c>
      <c r="M33" s="5" t="s">
        <v>11</v>
      </c>
    </row>
    <row r="34" spans="1:13" x14ac:dyDescent="0.35">
      <c r="A34" s="6"/>
      <c r="B34" s="6" t="s">
        <v>184</v>
      </c>
      <c r="C34" s="6"/>
      <c r="D34" s="6"/>
      <c r="E34" s="6"/>
      <c r="F34" s="6"/>
      <c r="G34" s="6"/>
      <c r="H34" s="6"/>
      <c r="I34" s="6"/>
      <c r="J34" s="6"/>
      <c r="K34" s="6"/>
      <c r="L34" s="6"/>
      <c r="M34" s="6"/>
    </row>
    <row r="35" spans="1:13" ht="15" thickBot="1" x14ac:dyDescent="0.4"/>
    <row r="36" spans="1:13" x14ac:dyDescent="0.35">
      <c r="B36" s="4" t="s">
        <v>66</v>
      </c>
    </row>
    <row r="37" spans="1:13" x14ac:dyDescent="0.35">
      <c r="A37" s="5" t="s">
        <v>0</v>
      </c>
      <c r="B37" s="5" t="s">
        <v>1</v>
      </c>
      <c r="C37" s="5" t="s">
        <v>2</v>
      </c>
      <c r="D37" s="5" t="s">
        <v>3</v>
      </c>
      <c r="E37" s="5" t="s">
        <v>4</v>
      </c>
      <c r="F37" s="5" t="s">
        <v>5</v>
      </c>
      <c r="G37" s="5" t="s">
        <v>6</v>
      </c>
      <c r="H37" s="5" t="s">
        <v>100</v>
      </c>
      <c r="I37" s="5" t="s">
        <v>7</v>
      </c>
      <c r="J37" s="5" t="s">
        <v>8</v>
      </c>
      <c r="K37" s="5" t="s">
        <v>9</v>
      </c>
      <c r="L37" s="5" t="s">
        <v>10</v>
      </c>
      <c r="M37" s="5" t="s">
        <v>11</v>
      </c>
    </row>
    <row r="38" spans="1:13" x14ac:dyDescent="0.35">
      <c r="A38" s="6">
        <v>65332</v>
      </c>
      <c r="B38" s="6" t="s">
        <v>49</v>
      </c>
      <c r="C38" s="6" t="s">
        <v>13</v>
      </c>
      <c r="D38" s="6">
        <v>3110</v>
      </c>
      <c r="E38" s="6" t="s">
        <v>14</v>
      </c>
      <c r="F38" s="6"/>
      <c r="G38" s="6" t="s">
        <v>95</v>
      </c>
      <c r="H38" s="6">
        <v>7</v>
      </c>
      <c r="I38" s="6">
        <v>20200527</v>
      </c>
      <c r="J38" s="7">
        <v>44100</v>
      </c>
      <c r="K38" s="6" t="s">
        <v>185</v>
      </c>
      <c r="L38" s="6" t="s">
        <v>17</v>
      </c>
      <c r="M38" s="39">
        <v>40000</v>
      </c>
    </row>
    <row r="39" spans="1:13" ht="15" thickBot="1" x14ac:dyDescent="0.4"/>
    <row r="40" spans="1:13" x14ac:dyDescent="0.35">
      <c r="B40" s="4" t="s">
        <v>79</v>
      </c>
    </row>
    <row r="41" spans="1:13" x14ac:dyDescent="0.35">
      <c r="A41" s="5" t="s">
        <v>0</v>
      </c>
      <c r="B41" s="5" t="s">
        <v>1</v>
      </c>
      <c r="C41" s="5" t="s">
        <v>2</v>
      </c>
      <c r="D41" s="5" t="s">
        <v>3</v>
      </c>
      <c r="E41" s="5" t="s">
        <v>4</v>
      </c>
      <c r="F41" s="5" t="s">
        <v>5</v>
      </c>
      <c r="G41" s="5" t="s">
        <v>6</v>
      </c>
      <c r="H41" s="5" t="s">
        <v>100</v>
      </c>
      <c r="I41" s="5" t="s">
        <v>7</v>
      </c>
      <c r="J41" s="5" t="s">
        <v>8</v>
      </c>
      <c r="K41" s="5" t="s">
        <v>9</v>
      </c>
      <c r="L41" s="5" t="s">
        <v>10</v>
      </c>
      <c r="M41" s="5" t="s">
        <v>11</v>
      </c>
    </row>
    <row r="42" spans="1:13" x14ac:dyDescent="0.35">
      <c r="A42" s="6">
        <v>445460</v>
      </c>
      <c r="B42" s="6" t="s">
        <v>109</v>
      </c>
      <c r="C42" s="6" t="s">
        <v>13</v>
      </c>
      <c r="D42" s="6">
        <v>4003</v>
      </c>
      <c r="E42" s="6" t="s">
        <v>14</v>
      </c>
      <c r="F42" s="6">
        <v>535</v>
      </c>
      <c r="G42" s="6" t="s">
        <v>186</v>
      </c>
      <c r="H42" s="6">
        <v>1</v>
      </c>
      <c r="I42" s="6">
        <v>20200624</v>
      </c>
      <c r="J42" s="7">
        <v>44124</v>
      </c>
      <c r="K42" s="6" t="s">
        <v>126</v>
      </c>
      <c r="L42" s="6" t="s">
        <v>17</v>
      </c>
      <c r="M42" s="39">
        <v>50000</v>
      </c>
    </row>
    <row r="43" spans="1:13" ht="15" thickBot="1" x14ac:dyDescent="0.4"/>
    <row r="44" spans="1:13" x14ac:dyDescent="0.35">
      <c r="B44" s="4" t="s">
        <v>81</v>
      </c>
    </row>
    <row r="45" spans="1:13" x14ac:dyDescent="0.35">
      <c r="A45" s="5" t="s">
        <v>0</v>
      </c>
      <c r="B45" s="5" t="s">
        <v>1</v>
      </c>
      <c r="C45" s="5" t="s">
        <v>2</v>
      </c>
      <c r="D45" s="5" t="s">
        <v>3</v>
      </c>
      <c r="E45" s="5" t="s">
        <v>4</v>
      </c>
      <c r="F45" s="5" t="s">
        <v>5</v>
      </c>
      <c r="G45" s="5" t="s">
        <v>6</v>
      </c>
      <c r="H45" s="5" t="s">
        <v>100</v>
      </c>
      <c r="I45" s="5" t="s">
        <v>7</v>
      </c>
      <c r="J45" s="5" t="s">
        <v>8</v>
      </c>
      <c r="K45" s="5" t="s">
        <v>9</v>
      </c>
      <c r="L45" s="5" t="s">
        <v>10</v>
      </c>
      <c r="M45" s="5" t="s">
        <v>11</v>
      </c>
    </row>
    <row r="46" spans="1:13" x14ac:dyDescent="0.35">
      <c r="A46" s="6"/>
      <c r="B46" s="6" t="s">
        <v>184</v>
      </c>
      <c r="C46" s="6"/>
      <c r="D46" s="6"/>
      <c r="E46" s="6"/>
      <c r="F46" s="6"/>
      <c r="G46" s="6"/>
      <c r="H46" s="6"/>
      <c r="I46" s="6"/>
      <c r="J46" s="6"/>
      <c r="K46" s="6"/>
      <c r="L46" s="6"/>
      <c r="M46" s="6"/>
    </row>
    <row r="47" spans="1:13" ht="15" thickBot="1" x14ac:dyDescent="0.4"/>
    <row r="48" spans="1:13" x14ac:dyDescent="0.35">
      <c r="B48" s="4" t="s">
        <v>90</v>
      </c>
    </row>
    <row r="49" spans="1:13" x14ac:dyDescent="0.35">
      <c r="A49" s="5" t="s">
        <v>0</v>
      </c>
      <c r="B49" s="5" t="s">
        <v>1</v>
      </c>
      <c r="C49" s="5" t="s">
        <v>2</v>
      </c>
      <c r="D49" s="5" t="s">
        <v>3</v>
      </c>
      <c r="E49" s="5" t="s">
        <v>4</v>
      </c>
      <c r="F49" s="5" t="s">
        <v>5</v>
      </c>
      <c r="G49" s="5" t="s">
        <v>6</v>
      </c>
      <c r="H49" s="5" t="s">
        <v>100</v>
      </c>
      <c r="I49" s="5" t="s">
        <v>7</v>
      </c>
      <c r="J49" s="5" t="s">
        <v>8</v>
      </c>
      <c r="K49" s="5" t="s">
        <v>9</v>
      </c>
      <c r="L49" s="5" t="s">
        <v>10</v>
      </c>
      <c r="M49" s="5" t="s">
        <v>11</v>
      </c>
    </row>
    <row r="50" spans="1:13" x14ac:dyDescent="0.35">
      <c r="A50" s="6"/>
      <c r="B50" s="6" t="s">
        <v>184</v>
      </c>
      <c r="C50" s="6"/>
      <c r="D50" s="6"/>
      <c r="E50" s="6"/>
      <c r="F50" s="6"/>
      <c r="G50" s="6"/>
      <c r="H50" s="6"/>
      <c r="I50" s="6"/>
      <c r="J50" s="6"/>
      <c r="K50" s="6"/>
      <c r="L50" s="6"/>
      <c r="M50" s="6"/>
    </row>
    <row r="51" spans="1:13" ht="15" thickBot="1" x14ac:dyDescent="0.4"/>
    <row r="52" spans="1:13" x14ac:dyDescent="0.35">
      <c r="B52" s="4" t="s">
        <v>99</v>
      </c>
    </row>
    <row r="53" spans="1:13" x14ac:dyDescent="0.35">
      <c r="A53" s="5" t="s">
        <v>0</v>
      </c>
      <c r="B53" s="5" t="s">
        <v>1</v>
      </c>
      <c r="C53" s="5" t="s">
        <v>2</v>
      </c>
      <c r="D53" s="5" t="s">
        <v>3</v>
      </c>
      <c r="E53" s="5" t="s">
        <v>4</v>
      </c>
      <c r="F53" s="5" t="s">
        <v>5</v>
      </c>
      <c r="G53" s="5" t="s">
        <v>6</v>
      </c>
      <c r="H53" s="5" t="s">
        <v>100</v>
      </c>
      <c r="I53" s="5" t="s">
        <v>7</v>
      </c>
      <c r="J53" s="5" t="s">
        <v>8</v>
      </c>
      <c r="K53" s="5" t="s">
        <v>9</v>
      </c>
      <c r="L53" s="5" t="s">
        <v>10</v>
      </c>
      <c r="M53" s="5" t="s">
        <v>11</v>
      </c>
    </row>
    <row r="54" spans="1:13" x14ac:dyDescent="0.35">
      <c r="A54" s="6"/>
      <c r="B54" s="6" t="s">
        <v>184</v>
      </c>
      <c r="C54" s="6"/>
      <c r="D54" s="6"/>
      <c r="E54" s="6"/>
      <c r="F54" s="6"/>
      <c r="G54" s="6"/>
      <c r="H54" s="6"/>
      <c r="I54" s="6"/>
      <c r="J54" s="6"/>
      <c r="K54" s="6"/>
      <c r="L54" s="6"/>
      <c r="M54" s="6"/>
    </row>
    <row r="55" spans="1:13" ht="15" thickBot="1" x14ac:dyDescent="0.4"/>
    <row r="56" spans="1:13" x14ac:dyDescent="0.35">
      <c r="B56" s="4" t="s">
        <v>119</v>
      </c>
    </row>
    <row r="57" spans="1:13" x14ac:dyDescent="0.35">
      <c r="A57" s="5" t="s">
        <v>0</v>
      </c>
      <c r="B57" s="5" t="s">
        <v>1</v>
      </c>
      <c r="C57" s="5" t="s">
        <v>2</v>
      </c>
      <c r="D57" s="5" t="s">
        <v>3</v>
      </c>
      <c r="E57" s="5" t="s">
        <v>4</v>
      </c>
      <c r="F57" s="5" t="s">
        <v>5</v>
      </c>
      <c r="G57" s="5" t="s">
        <v>6</v>
      </c>
      <c r="H57" s="5" t="s">
        <v>100</v>
      </c>
      <c r="I57" s="5" t="s">
        <v>7</v>
      </c>
      <c r="J57" s="5" t="s">
        <v>8</v>
      </c>
      <c r="K57" s="5" t="s">
        <v>9</v>
      </c>
      <c r="L57" s="5" t="s">
        <v>10</v>
      </c>
      <c r="M57" s="5" t="s">
        <v>11</v>
      </c>
    </row>
    <row r="58" spans="1:13" x14ac:dyDescent="0.35">
      <c r="A58" s="6">
        <v>79032</v>
      </c>
      <c r="B58" s="6" t="s">
        <v>187</v>
      </c>
      <c r="C58" s="6" t="s">
        <v>22</v>
      </c>
      <c r="D58" s="6">
        <v>234</v>
      </c>
      <c r="E58" s="6" t="s">
        <v>14</v>
      </c>
      <c r="F58" s="6">
        <v>380</v>
      </c>
      <c r="G58" s="6" t="s">
        <v>188</v>
      </c>
      <c r="H58" s="6">
        <v>3</v>
      </c>
      <c r="I58" s="6">
        <v>20201022</v>
      </c>
      <c r="J58" s="7">
        <v>44242</v>
      </c>
      <c r="K58" s="6" t="s">
        <v>189</v>
      </c>
      <c r="L58" s="6" t="s">
        <v>17</v>
      </c>
      <c r="M58" s="39">
        <v>5000</v>
      </c>
    </row>
    <row r="59" spans="1:13" ht="15" thickBot="1" x14ac:dyDescent="0.4"/>
    <row r="60" spans="1:13" x14ac:dyDescent="0.35">
      <c r="B60" s="4" t="s">
        <v>129</v>
      </c>
    </row>
    <row r="61" spans="1:13" x14ac:dyDescent="0.35">
      <c r="A61" s="5" t="s">
        <v>0</v>
      </c>
      <c r="B61" s="5" t="s">
        <v>1</v>
      </c>
      <c r="C61" s="5" t="s">
        <v>2</v>
      </c>
      <c r="D61" s="5" t="s">
        <v>3</v>
      </c>
      <c r="E61" s="5" t="s">
        <v>4</v>
      </c>
      <c r="F61" s="5" t="s">
        <v>5</v>
      </c>
      <c r="G61" s="5" t="s">
        <v>6</v>
      </c>
      <c r="H61" s="5" t="s">
        <v>100</v>
      </c>
      <c r="I61" s="5" t="s">
        <v>7</v>
      </c>
      <c r="J61" s="5" t="s">
        <v>8</v>
      </c>
      <c r="K61" s="5" t="s">
        <v>9</v>
      </c>
      <c r="L61" s="5" t="s">
        <v>10</v>
      </c>
      <c r="M61" s="5" t="s">
        <v>11</v>
      </c>
    </row>
    <row r="62" spans="1:13" x14ac:dyDescent="0.35">
      <c r="A62" s="6"/>
      <c r="B62" s="6" t="s">
        <v>184</v>
      </c>
      <c r="C62" s="6"/>
      <c r="D62" s="6"/>
      <c r="E62" s="6"/>
      <c r="F62" s="6"/>
      <c r="G62" s="6"/>
      <c r="H62" s="6"/>
      <c r="I62" s="6"/>
      <c r="J62" s="6"/>
      <c r="K62" s="6"/>
      <c r="L62" s="6"/>
      <c r="M62" s="6"/>
    </row>
    <row r="63" spans="1:13" ht="15" thickBot="1" x14ac:dyDescent="0.4"/>
    <row r="64" spans="1:13" x14ac:dyDescent="0.35">
      <c r="B64" s="4" t="s">
        <v>137</v>
      </c>
    </row>
    <row r="65" spans="1:13" x14ac:dyDescent="0.35">
      <c r="A65" s="5" t="s">
        <v>0</v>
      </c>
      <c r="B65" s="5" t="s">
        <v>1</v>
      </c>
      <c r="C65" s="5" t="s">
        <v>2</v>
      </c>
      <c r="D65" s="5" t="s">
        <v>3</v>
      </c>
      <c r="E65" s="5" t="s">
        <v>4</v>
      </c>
      <c r="F65" s="5" t="s">
        <v>5</v>
      </c>
      <c r="G65" s="5" t="s">
        <v>6</v>
      </c>
      <c r="H65" s="5" t="s">
        <v>100</v>
      </c>
      <c r="I65" s="5" t="s">
        <v>7</v>
      </c>
      <c r="J65" s="5" t="s">
        <v>8</v>
      </c>
      <c r="K65" s="5" t="s">
        <v>9</v>
      </c>
      <c r="L65" s="5" t="s">
        <v>10</v>
      </c>
      <c r="M65" s="5" t="s">
        <v>11</v>
      </c>
    </row>
    <row r="66" spans="1:13" x14ac:dyDescent="0.35">
      <c r="A66" s="6"/>
      <c r="B66" s="6" t="s">
        <v>184</v>
      </c>
      <c r="C66" s="6"/>
      <c r="D66" s="6"/>
      <c r="E66" s="6"/>
      <c r="F66" s="6"/>
      <c r="G66" s="6"/>
      <c r="H66" s="6"/>
      <c r="I66" s="6"/>
      <c r="J66" s="6"/>
      <c r="K66" s="6"/>
      <c r="L66" s="6"/>
      <c r="M66" s="6"/>
    </row>
  </sheetData>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AD30A-3523-4CB7-B313-617A2CA6425E}">
  <sheetPr codeName="Sheet3"/>
  <dimension ref="A1:N134"/>
  <sheetViews>
    <sheetView zoomScale="90" zoomScaleNormal="90" workbookViewId="0">
      <selection activeCell="G10" sqref="G10"/>
    </sheetView>
  </sheetViews>
  <sheetFormatPr defaultColWidth="8.7265625" defaultRowHeight="14.5" x14ac:dyDescent="0.35"/>
  <cols>
    <col min="2" max="2" width="18.1796875" bestFit="1" customWidth="1"/>
    <col min="3" max="3" width="14.1796875" bestFit="1" customWidth="1"/>
    <col min="5" max="5" width="22.81640625" customWidth="1"/>
    <col min="7" max="7" width="34.81640625" customWidth="1"/>
    <col min="8" max="8" width="7" customWidth="1"/>
    <col min="9" max="9" width="12.1796875" bestFit="1" customWidth="1"/>
    <col min="10" max="10" width="16.54296875" bestFit="1" customWidth="1"/>
    <col min="13" max="13" width="12.7265625" bestFit="1" customWidth="1"/>
  </cols>
  <sheetData>
    <row r="1" spans="1:13" ht="15" thickBot="1" x14ac:dyDescent="0.4"/>
    <row r="2" spans="1:13" x14ac:dyDescent="0.35">
      <c r="B2" s="4" t="s">
        <v>147</v>
      </c>
    </row>
    <row r="3" spans="1:13" x14ac:dyDescent="0.35">
      <c r="A3" s="5" t="s">
        <v>0</v>
      </c>
      <c r="B3" s="5" t="s">
        <v>1</v>
      </c>
      <c r="C3" s="5" t="s">
        <v>2</v>
      </c>
      <c r="D3" s="5" t="s">
        <v>3</v>
      </c>
      <c r="E3" s="5" t="s">
        <v>4</v>
      </c>
      <c r="F3" s="5" t="s">
        <v>5</v>
      </c>
      <c r="G3" s="5" t="s">
        <v>6</v>
      </c>
      <c r="H3" s="5" t="s">
        <v>100</v>
      </c>
      <c r="I3" s="5" t="s">
        <v>7</v>
      </c>
      <c r="J3" s="5" t="s">
        <v>8</v>
      </c>
      <c r="K3" s="5" t="s">
        <v>9</v>
      </c>
      <c r="L3" s="5" t="s">
        <v>10</v>
      </c>
      <c r="M3" s="5" t="s">
        <v>11</v>
      </c>
    </row>
    <row r="4" spans="1:13" x14ac:dyDescent="0.35">
      <c r="A4" s="6">
        <v>87363</v>
      </c>
      <c r="B4" s="6" t="s">
        <v>29</v>
      </c>
      <c r="C4" s="6" t="s">
        <v>13</v>
      </c>
      <c r="D4" s="6">
        <v>243</v>
      </c>
      <c r="E4" s="6" t="s">
        <v>14</v>
      </c>
      <c r="F4" s="6">
        <v>314662</v>
      </c>
      <c r="G4" s="6" t="s">
        <v>190</v>
      </c>
      <c r="H4" s="6">
        <v>2</v>
      </c>
      <c r="I4" s="6">
        <v>20210119</v>
      </c>
      <c r="J4" s="7">
        <v>44274</v>
      </c>
      <c r="K4" s="6" t="s">
        <v>191</v>
      </c>
      <c r="L4" s="6" t="s">
        <v>17</v>
      </c>
      <c r="M4" s="8">
        <v>30000</v>
      </c>
    </row>
    <row r="5" spans="1:13" x14ac:dyDescent="0.35">
      <c r="A5" s="6">
        <v>87193</v>
      </c>
      <c r="B5" s="6" t="s">
        <v>18</v>
      </c>
      <c r="C5" s="6" t="s">
        <v>22</v>
      </c>
      <c r="D5" s="6">
        <v>4102</v>
      </c>
      <c r="E5" s="6" t="s">
        <v>14</v>
      </c>
      <c r="F5" s="6">
        <v>143471</v>
      </c>
      <c r="G5" s="6" t="s">
        <v>192</v>
      </c>
      <c r="H5" s="6">
        <v>7</v>
      </c>
      <c r="I5" s="6">
        <v>20210115</v>
      </c>
      <c r="J5" s="7">
        <v>44270</v>
      </c>
      <c r="K5" s="6" t="s">
        <v>193</v>
      </c>
      <c r="L5" s="6" t="s">
        <v>17</v>
      </c>
      <c r="M5" s="8">
        <v>5000</v>
      </c>
    </row>
    <row r="6" spans="1:13" x14ac:dyDescent="0.35">
      <c r="M6" s="39">
        <f>SUM(M4:M5)</f>
        <v>35000</v>
      </c>
    </row>
    <row r="7" spans="1:13" ht="15" thickBot="1" x14ac:dyDescent="0.4"/>
    <row r="8" spans="1:13" x14ac:dyDescent="0.35">
      <c r="B8" s="4" t="s">
        <v>46</v>
      </c>
    </row>
    <row r="9" spans="1:13" x14ac:dyDescent="0.35">
      <c r="A9" s="5" t="s">
        <v>0</v>
      </c>
      <c r="B9" s="5" t="s">
        <v>1</v>
      </c>
      <c r="C9" s="5" t="s">
        <v>2</v>
      </c>
      <c r="D9" s="5" t="s">
        <v>3</v>
      </c>
      <c r="E9" s="5" t="s">
        <v>4</v>
      </c>
      <c r="F9" s="5" t="s">
        <v>5</v>
      </c>
      <c r="G9" s="5" t="s">
        <v>6</v>
      </c>
      <c r="H9" s="5" t="s">
        <v>100</v>
      </c>
      <c r="I9" s="5" t="s">
        <v>7</v>
      </c>
      <c r="J9" s="5" t="s">
        <v>8</v>
      </c>
      <c r="K9" s="5" t="s">
        <v>9</v>
      </c>
      <c r="L9" s="5" t="s">
        <v>10</v>
      </c>
      <c r="M9" s="5" t="s">
        <v>11</v>
      </c>
    </row>
    <row r="10" spans="1:13" x14ac:dyDescent="0.35">
      <c r="A10" s="6">
        <v>89618</v>
      </c>
      <c r="B10" s="6" t="s">
        <v>44</v>
      </c>
      <c r="C10" s="6" t="s">
        <v>22</v>
      </c>
      <c r="D10" s="6">
        <v>511</v>
      </c>
      <c r="E10" s="6" t="s">
        <v>14</v>
      </c>
      <c r="F10" s="6">
        <v>303636</v>
      </c>
      <c r="G10" s="6" t="s">
        <v>194</v>
      </c>
      <c r="H10" s="6">
        <v>6</v>
      </c>
      <c r="I10" s="6">
        <v>20210212</v>
      </c>
      <c r="J10" s="7">
        <v>44281</v>
      </c>
      <c r="K10" s="6" t="s">
        <v>91</v>
      </c>
      <c r="L10" s="6" t="s">
        <v>17</v>
      </c>
      <c r="M10" s="39">
        <v>5000</v>
      </c>
    </row>
    <row r="11" spans="1:13" ht="15" thickBot="1" x14ac:dyDescent="0.4"/>
    <row r="12" spans="1:13" x14ac:dyDescent="0.35">
      <c r="B12" s="4" t="s">
        <v>52</v>
      </c>
    </row>
    <row r="13" spans="1:13" x14ac:dyDescent="0.35">
      <c r="A13" s="5" t="s">
        <v>0</v>
      </c>
      <c r="B13" s="5" t="s">
        <v>1</v>
      </c>
      <c r="C13" s="5" t="s">
        <v>2</v>
      </c>
      <c r="D13" s="5" t="s">
        <v>3</v>
      </c>
      <c r="E13" s="5" t="s">
        <v>4</v>
      </c>
      <c r="F13" s="5" t="s">
        <v>5</v>
      </c>
      <c r="G13" s="5" t="s">
        <v>6</v>
      </c>
      <c r="H13" s="5" t="s">
        <v>100</v>
      </c>
      <c r="I13" s="5" t="s">
        <v>7</v>
      </c>
      <c r="J13" s="5" t="s">
        <v>8</v>
      </c>
      <c r="K13" s="5" t="s">
        <v>9</v>
      </c>
      <c r="L13" s="5" t="s">
        <v>10</v>
      </c>
      <c r="M13" s="5" t="s">
        <v>11</v>
      </c>
    </row>
    <row r="14" spans="1:13" x14ac:dyDescent="0.35">
      <c r="A14" s="6">
        <v>93725</v>
      </c>
      <c r="B14" s="6" t="s">
        <v>18</v>
      </c>
      <c r="C14" s="6" t="s">
        <v>13</v>
      </c>
      <c r="D14" s="6">
        <v>4102</v>
      </c>
      <c r="E14" s="6" t="s">
        <v>14</v>
      </c>
      <c r="F14" s="6">
        <v>143471</v>
      </c>
      <c r="G14" s="6" t="s">
        <v>192</v>
      </c>
      <c r="H14" s="6">
        <v>8</v>
      </c>
      <c r="I14" s="6">
        <v>20210326</v>
      </c>
      <c r="J14" s="7">
        <v>44383</v>
      </c>
      <c r="K14" s="6" t="s">
        <v>195</v>
      </c>
      <c r="L14" s="6" t="s">
        <v>17</v>
      </c>
      <c r="M14" s="8">
        <v>150000</v>
      </c>
    </row>
    <row r="15" spans="1:13" x14ac:dyDescent="0.35">
      <c r="A15" s="6">
        <v>93495</v>
      </c>
      <c r="B15" s="6" t="s">
        <v>29</v>
      </c>
      <c r="C15" s="6" t="s">
        <v>13</v>
      </c>
      <c r="D15" s="6">
        <v>229</v>
      </c>
      <c r="E15" s="6" t="s">
        <v>14</v>
      </c>
      <c r="F15" s="6">
        <v>282710</v>
      </c>
      <c r="G15" s="6" t="s">
        <v>84</v>
      </c>
      <c r="H15" s="6">
        <v>4</v>
      </c>
      <c r="I15" s="6">
        <v>20210324</v>
      </c>
      <c r="J15" s="7">
        <v>44371</v>
      </c>
      <c r="K15" s="6" t="s">
        <v>74</v>
      </c>
      <c r="L15" s="6" t="s">
        <v>17</v>
      </c>
      <c r="M15" s="8">
        <v>50000</v>
      </c>
    </row>
    <row r="16" spans="1:13" x14ac:dyDescent="0.35">
      <c r="A16" s="6">
        <v>92992</v>
      </c>
      <c r="B16" s="6" t="s">
        <v>18</v>
      </c>
      <c r="C16" s="6" t="s">
        <v>13</v>
      </c>
      <c r="D16" s="6">
        <v>4102</v>
      </c>
      <c r="E16" s="6" t="s">
        <v>14</v>
      </c>
      <c r="F16" s="6">
        <v>294474</v>
      </c>
      <c r="G16" s="6" t="s">
        <v>73</v>
      </c>
      <c r="H16" s="6">
        <v>4</v>
      </c>
      <c r="I16" s="6">
        <v>20210319</v>
      </c>
      <c r="J16" s="7">
        <v>44334</v>
      </c>
      <c r="K16" s="6" t="s">
        <v>196</v>
      </c>
      <c r="L16" s="6" t="s">
        <v>17</v>
      </c>
      <c r="M16" s="8">
        <v>30000</v>
      </c>
    </row>
    <row r="17" spans="1:14" x14ac:dyDescent="0.35">
      <c r="M17" s="39">
        <f>SUM(M14:M16)</f>
        <v>230000</v>
      </c>
    </row>
    <row r="18" spans="1:14" ht="15" thickBot="1" x14ac:dyDescent="0.4"/>
    <row r="19" spans="1:14" x14ac:dyDescent="0.35">
      <c r="B19" s="4" t="s">
        <v>64</v>
      </c>
    </row>
    <row r="20" spans="1:14" x14ac:dyDescent="0.35">
      <c r="A20" s="5" t="s">
        <v>0</v>
      </c>
      <c r="B20" s="5" t="s">
        <v>1</v>
      </c>
      <c r="C20" s="5" t="s">
        <v>2</v>
      </c>
      <c r="D20" s="5" t="s">
        <v>3</v>
      </c>
      <c r="E20" s="5" t="s">
        <v>4</v>
      </c>
      <c r="F20" s="5" t="s">
        <v>5</v>
      </c>
      <c r="G20" s="5" t="s">
        <v>6</v>
      </c>
      <c r="H20" s="5" t="s">
        <v>100</v>
      </c>
      <c r="I20" s="5" t="s">
        <v>7</v>
      </c>
      <c r="J20" s="5" t="s">
        <v>8</v>
      </c>
      <c r="K20" s="5" t="s">
        <v>9</v>
      </c>
      <c r="L20" s="5" t="s">
        <v>10</v>
      </c>
      <c r="M20" s="5" t="s">
        <v>11</v>
      </c>
    </row>
    <row r="21" spans="1:14" x14ac:dyDescent="0.35">
      <c r="A21" s="6">
        <v>96637</v>
      </c>
      <c r="B21" s="6" t="s">
        <v>49</v>
      </c>
      <c r="C21" s="6" t="s">
        <v>13</v>
      </c>
      <c r="D21" s="6">
        <v>3110</v>
      </c>
      <c r="E21" s="6" t="s">
        <v>14</v>
      </c>
      <c r="F21" s="6">
        <v>168343</v>
      </c>
      <c r="G21" s="6" t="s">
        <v>197</v>
      </c>
      <c r="H21" s="6">
        <v>5</v>
      </c>
      <c r="I21" s="6">
        <v>20210426</v>
      </c>
      <c r="J21" s="7">
        <v>44342</v>
      </c>
      <c r="K21" s="6" t="s">
        <v>198</v>
      </c>
      <c r="L21" s="6" t="s">
        <v>17</v>
      </c>
      <c r="M21" s="8">
        <v>65000</v>
      </c>
    </row>
    <row r="22" spans="1:14" x14ac:dyDescent="0.35">
      <c r="A22" s="6">
        <v>95619</v>
      </c>
      <c r="B22" s="6" t="s">
        <v>29</v>
      </c>
      <c r="C22" s="6" t="s">
        <v>13</v>
      </c>
      <c r="D22" s="6">
        <v>243</v>
      </c>
      <c r="E22" s="6" t="s">
        <v>14</v>
      </c>
      <c r="F22" s="6">
        <v>314662</v>
      </c>
      <c r="G22" s="6" t="s">
        <v>190</v>
      </c>
      <c r="H22" s="6">
        <v>3</v>
      </c>
      <c r="I22" s="6">
        <v>20210414</v>
      </c>
      <c r="J22" s="7">
        <v>44424</v>
      </c>
      <c r="K22" s="6" t="s">
        <v>141</v>
      </c>
      <c r="L22" s="6" t="s">
        <v>17</v>
      </c>
      <c r="M22" s="8">
        <v>150000</v>
      </c>
    </row>
    <row r="23" spans="1:14" x14ac:dyDescent="0.35">
      <c r="M23" s="39">
        <f>SUM(M21:M22)</f>
        <v>215000</v>
      </c>
    </row>
    <row r="24" spans="1:14" ht="15" thickBot="1" x14ac:dyDescent="0.4"/>
    <row r="25" spans="1:14" x14ac:dyDescent="0.35">
      <c r="B25" s="4" t="s">
        <v>66</v>
      </c>
    </row>
    <row r="26" spans="1:14" x14ac:dyDescent="0.35">
      <c r="A26" s="5" t="s">
        <v>0</v>
      </c>
      <c r="B26" s="5" t="s">
        <v>1</v>
      </c>
      <c r="C26" s="5" t="s">
        <v>2</v>
      </c>
      <c r="D26" s="5" t="s">
        <v>3</v>
      </c>
      <c r="E26" s="5" t="s">
        <v>4</v>
      </c>
      <c r="F26" s="5" t="s">
        <v>5</v>
      </c>
      <c r="G26" s="5" t="s">
        <v>6</v>
      </c>
      <c r="H26" s="5" t="s">
        <v>100</v>
      </c>
      <c r="I26" s="5" t="s">
        <v>7</v>
      </c>
      <c r="J26" s="5" t="s">
        <v>8</v>
      </c>
      <c r="K26" s="5" t="s">
        <v>9</v>
      </c>
      <c r="L26" s="5" t="s">
        <v>10</v>
      </c>
      <c r="M26" s="5" t="s">
        <v>11</v>
      </c>
    </row>
    <row r="27" spans="1:14" x14ac:dyDescent="0.35">
      <c r="A27" s="6">
        <v>97723</v>
      </c>
      <c r="B27" s="6" t="s">
        <v>29</v>
      </c>
      <c r="C27" s="6" t="s">
        <v>13</v>
      </c>
      <c r="D27" s="6">
        <v>240</v>
      </c>
      <c r="E27" s="6" t="s">
        <v>14</v>
      </c>
      <c r="F27" s="6">
        <v>485229</v>
      </c>
      <c r="G27" s="6" t="s">
        <v>199</v>
      </c>
      <c r="H27" s="6">
        <v>3</v>
      </c>
      <c r="I27" s="6">
        <v>20210504</v>
      </c>
      <c r="J27" s="7">
        <v>44424</v>
      </c>
      <c r="K27" s="6" t="s">
        <v>200</v>
      </c>
      <c r="L27" s="6" t="s">
        <v>17</v>
      </c>
      <c r="M27" s="8">
        <v>10000</v>
      </c>
    </row>
    <row r="28" spans="1:14" x14ac:dyDescent="0.35">
      <c r="A28" s="6">
        <v>98133</v>
      </c>
      <c r="B28" s="6" t="s">
        <v>29</v>
      </c>
      <c r="C28" s="6" t="s">
        <v>13</v>
      </c>
      <c r="D28" s="6">
        <v>243</v>
      </c>
      <c r="E28" s="6" t="s">
        <v>14</v>
      </c>
      <c r="F28" s="6">
        <v>486925</v>
      </c>
      <c r="G28" s="6" t="s">
        <v>201</v>
      </c>
      <c r="H28" s="6">
        <v>3</v>
      </c>
      <c r="I28" s="6">
        <v>20210507</v>
      </c>
      <c r="J28" s="7">
        <v>44368</v>
      </c>
      <c r="K28" s="6" t="s">
        <v>108</v>
      </c>
      <c r="L28" s="6" t="s">
        <v>17</v>
      </c>
      <c r="M28" s="8">
        <v>60000</v>
      </c>
    </row>
    <row r="29" spans="1:14" x14ac:dyDescent="0.35">
      <c r="A29" s="6">
        <v>95317</v>
      </c>
      <c r="B29" s="6" t="s">
        <v>29</v>
      </c>
      <c r="C29" s="6" t="s">
        <v>13</v>
      </c>
      <c r="D29" s="6">
        <v>229</v>
      </c>
      <c r="E29" s="6" t="s">
        <v>14</v>
      </c>
      <c r="F29" s="6">
        <v>140264</v>
      </c>
      <c r="G29" s="6" t="s">
        <v>202</v>
      </c>
      <c r="H29" s="6">
        <v>1</v>
      </c>
      <c r="I29" s="6">
        <v>20210509</v>
      </c>
      <c r="J29" s="7">
        <v>44417</v>
      </c>
      <c r="K29" s="6" t="s">
        <v>183</v>
      </c>
      <c r="L29" s="6" t="s">
        <v>17</v>
      </c>
      <c r="M29" s="11">
        <v>50000</v>
      </c>
    </row>
    <row r="30" spans="1:14" x14ac:dyDescent="0.35">
      <c r="A30" s="6">
        <v>95082</v>
      </c>
      <c r="B30" s="6" t="s">
        <v>58</v>
      </c>
      <c r="C30" s="6" t="s">
        <v>13</v>
      </c>
      <c r="D30" s="6">
        <v>3012</v>
      </c>
      <c r="E30" s="6" t="s">
        <v>14</v>
      </c>
      <c r="F30" s="6">
        <v>431401</v>
      </c>
      <c r="G30" s="6" t="s">
        <v>203</v>
      </c>
      <c r="H30" s="6">
        <v>1</v>
      </c>
      <c r="I30" s="6">
        <v>20210508</v>
      </c>
      <c r="J30" s="7">
        <v>44399</v>
      </c>
      <c r="K30" s="6" t="s">
        <v>89</v>
      </c>
      <c r="L30" s="6" t="s">
        <v>17</v>
      </c>
      <c r="M30" s="8">
        <v>20000</v>
      </c>
    </row>
    <row r="31" spans="1:14" x14ac:dyDescent="0.35">
      <c r="A31" s="6">
        <v>95840</v>
      </c>
      <c r="B31" s="6" t="s">
        <v>35</v>
      </c>
      <c r="C31" s="6" t="s">
        <v>13</v>
      </c>
      <c r="D31" s="6">
        <v>2411</v>
      </c>
      <c r="E31" s="6" t="s">
        <v>14</v>
      </c>
      <c r="F31" s="6">
        <v>482669</v>
      </c>
      <c r="G31" s="6" t="s">
        <v>204</v>
      </c>
      <c r="H31" s="6">
        <v>6</v>
      </c>
      <c r="I31" s="6">
        <v>20210516</v>
      </c>
      <c r="J31" s="7">
        <v>44344</v>
      </c>
      <c r="K31" s="6" t="s">
        <v>20</v>
      </c>
      <c r="L31" s="6" t="s">
        <v>17</v>
      </c>
      <c r="M31" s="8">
        <v>30000</v>
      </c>
    </row>
    <row r="32" spans="1:14" x14ac:dyDescent="0.35">
      <c r="A32" s="6">
        <v>93440</v>
      </c>
      <c r="B32" s="6" t="s">
        <v>205</v>
      </c>
      <c r="C32" s="6" t="s">
        <v>13</v>
      </c>
      <c r="D32" s="6">
        <v>2326</v>
      </c>
      <c r="E32" s="6" t="s">
        <v>14</v>
      </c>
      <c r="F32" s="6">
        <v>255103</v>
      </c>
      <c r="G32" s="6" t="s">
        <v>206</v>
      </c>
      <c r="H32" s="6">
        <v>8</v>
      </c>
      <c r="I32" s="6">
        <v>20210524</v>
      </c>
      <c r="J32" s="7">
        <v>44372</v>
      </c>
      <c r="K32" s="6" t="s">
        <v>198</v>
      </c>
      <c r="L32" s="6" t="s">
        <v>17</v>
      </c>
      <c r="M32" s="8">
        <v>100000</v>
      </c>
      <c r="N32" s="2"/>
    </row>
    <row r="33" spans="1:13" x14ac:dyDescent="0.35">
      <c r="A33" s="6">
        <v>88019</v>
      </c>
      <c r="B33" s="6" t="s">
        <v>29</v>
      </c>
      <c r="C33" s="6" t="s">
        <v>13</v>
      </c>
      <c r="D33" s="6">
        <v>243</v>
      </c>
      <c r="E33" s="6" t="s">
        <v>14</v>
      </c>
      <c r="F33" s="6">
        <v>439995</v>
      </c>
      <c r="G33" s="6" t="s">
        <v>207</v>
      </c>
      <c r="H33" s="6">
        <v>1</v>
      </c>
      <c r="I33" s="6">
        <v>20210526</v>
      </c>
      <c r="J33" s="7">
        <v>44295</v>
      </c>
      <c r="K33" s="6" t="s">
        <v>208</v>
      </c>
      <c r="L33" s="6" t="s">
        <v>17</v>
      </c>
      <c r="M33" s="11">
        <v>40000</v>
      </c>
    </row>
    <row r="34" spans="1:13" x14ac:dyDescent="0.35">
      <c r="M34" s="39">
        <f>SUM(M27:M33)</f>
        <v>310000</v>
      </c>
    </row>
    <row r="35" spans="1:13" ht="15" thickBot="1" x14ac:dyDescent="0.4"/>
    <row r="36" spans="1:13" x14ac:dyDescent="0.35">
      <c r="B36" s="4" t="s">
        <v>79</v>
      </c>
    </row>
    <row r="37" spans="1:13" x14ac:dyDescent="0.35">
      <c r="A37" s="5" t="s">
        <v>0</v>
      </c>
      <c r="B37" s="5" t="s">
        <v>1</v>
      </c>
      <c r="C37" s="5" t="s">
        <v>2</v>
      </c>
      <c r="D37" s="5" t="s">
        <v>3</v>
      </c>
      <c r="E37" s="5" t="s">
        <v>4</v>
      </c>
      <c r="F37" s="5" t="s">
        <v>5</v>
      </c>
      <c r="G37" s="5" t="s">
        <v>6</v>
      </c>
      <c r="H37" s="5" t="s">
        <v>100</v>
      </c>
      <c r="I37" s="5" t="s">
        <v>7</v>
      </c>
      <c r="J37" s="5" t="s">
        <v>8</v>
      </c>
      <c r="K37" s="5" t="s">
        <v>9</v>
      </c>
      <c r="L37" s="5" t="s">
        <v>10</v>
      </c>
      <c r="M37" s="5" t="s">
        <v>11</v>
      </c>
    </row>
    <row r="38" spans="1:13" x14ac:dyDescent="0.35">
      <c r="A38" s="6">
        <v>100601</v>
      </c>
      <c r="B38" s="6" t="s">
        <v>58</v>
      </c>
      <c r="C38" s="6" t="s">
        <v>13</v>
      </c>
      <c r="D38" s="6">
        <v>3012</v>
      </c>
      <c r="E38" s="6" t="s">
        <v>14</v>
      </c>
      <c r="F38" s="6">
        <v>392101</v>
      </c>
      <c r="G38" s="6" t="s">
        <v>209</v>
      </c>
      <c r="H38" s="6">
        <v>1</v>
      </c>
      <c r="I38" s="6">
        <v>20210630</v>
      </c>
      <c r="J38" s="7">
        <v>44391</v>
      </c>
      <c r="K38" s="6" t="s">
        <v>28</v>
      </c>
      <c r="L38" s="6" t="s">
        <v>17</v>
      </c>
      <c r="M38" s="8">
        <v>50000</v>
      </c>
    </row>
    <row r="39" spans="1:13" x14ac:dyDescent="0.35">
      <c r="A39" s="6">
        <v>100123</v>
      </c>
      <c r="B39" s="6" t="s">
        <v>35</v>
      </c>
      <c r="C39" s="6" t="s">
        <v>13</v>
      </c>
      <c r="D39" s="6">
        <v>2406</v>
      </c>
      <c r="E39" s="6" t="s">
        <v>14</v>
      </c>
      <c r="F39" s="6">
        <v>40382</v>
      </c>
      <c r="G39" s="6" t="s">
        <v>210</v>
      </c>
      <c r="H39" s="6">
        <v>5</v>
      </c>
      <c r="I39" s="6">
        <v>20210625</v>
      </c>
      <c r="J39" s="7">
        <v>44392</v>
      </c>
      <c r="K39" s="6" t="s">
        <v>211</v>
      </c>
      <c r="L39" s="6" t="s">
        <v>17</v>
      </c>
      <c r="M39" s="8">
        <v>20000</v>
      </c>
    </row>
    <row r="40" spans="1:13" x14ac:dyDescent="0.35">
      <c r="A40" s="6">
        <v>100109</v>
      </c>
      <c r="B40" s="6" t="s">
        <v>29</v>
      </c>
      <c r="C40" s="6" t="s">
        <v>13</v>
      </c>
      <c r="D40" s="6">
        <v>234</v>
      </c>
      <c r="E40" s="6" t="s">
        <v>14</v>
      </c>
      <c r="F40" s="6">
        <v>417293</v>
      </c>
      <c r="G40" s="6" t="s">
        <v>212</v>
      </c>
      <c r="H40" s="6">
        <v>1</v>
      </c>
      <c r="I40" s="6">
        <v>20210625</v>
      </c>
      <c r="J40" s="7">
        <v>44389</v>
      </c>
      <c r="K40" s="6" t="s">
        <v>213</v>
      </c>
      <c r="L40" s="6" t="s">
        <v>17</v>
      </c>
      <c r="M40" s="8">
        <v>50000</v>
      </c>
    </row>
    <row r="41" spans="1:13" x14ac:dyDescent="0.35">
      <c r="A41" s="6">
        <v>100031</v>
      </c>
      <c r="B41" s="6" t="s">
        <v>12</v>
      </c>
      <c r="C41" s="6" t="s">
        <v>13</v>
      </c>
      <c r="D41" s="6">
        <v>803</v>
      </c>
      <c r="E41" s="6" t="s">
        <v>14</v>
      </c>
      <c r="F41" s="6">
        <v>193350</v>
      </c>
      <c r="G41" s="6" t="s">
        <v>214</v>
      </c>
      <c r="H41" s="6">
        <v>5</v>
      </c>
      <c r="I41" s="6">
        <v>20210624</v>
      </c>
      <c r="J41" s="7">
        <v>44454</v>
      </c>
      <c r="K41" s="6" t="s">
        <v>215</v>
      </c>
      <c r="L41" s="6" t="s">
        <v>17</v>
      </c>
      <c r="M41" s="8">
        <v>100000</v>
      </c>
    </row>
    <row r="42" spans="1:13" x14ac:dyDescent="0.35">
      <c r="A42" s="6">
        <v>99581</v>
      </c>
      <c r="B42" s="6" t="s">
        <v>29</v>
      </c>
      <c r="C42" s="6" t="s">
        <v>13</v>
      </c>
      <c r="D42" s="6">
        <v>211</v>
      </c>
      <c r="E42" s="6" t="s">
        <v>14</v>
      </c>
      <c r="F42" s="6">
        <v>482270</v>
      </c>
      <c r="G42" s="6" t="s">
        <v>216</v>
      </c>
      <c r="H42" s="6">
        <v>1</v>
      </c>
      <c r="I42" s="6">
        <v>20210621</v>
      </c>
      <c r="J42" s="7">
        <v>44382</v>
      </c>
      <c r="K42" s="6" t="s">
        <v>54</v>
      </c>
      <c r="L42" s="6" t="s">
        <v>17</v>
      </c>
      <c r="M42" s="8">
        <v>80000</v>
      </c>
    </row>
    <row r="43" spans="1:13" x14ac:dyDescent="0.35">
      <c r="A43" s="6">
        <v>99267</v>
      </c>
      <c r="B43" s="6" t="s">
        <v>29</v>
      </c>
      <c r="C43" s="6" t="s">
        <v>13</v>
      </c>
      <c r="D43" s="6">
        <v>243</v>
      </c>
      <c r="E43" s="6" t="s">
        <v>14</v>
      </c>
      <c r="F43" s="6">
        <v>486309</v>
      </c>
      <c r="G43" s="6" t="s">
        <v>217</v>
      </c>
      <c r="H43" s="6">
        <v>1</v>
      </c>
      <c r="I43" s="6">
        <v>20210618</v>
      </c>
      <c r="J43" s="7">
        <v>44427</v>
      </c>
      <c r="K43" s="6" t="s">
        <v>218</v>
      </c>
      <c r="L43" s="6" t="s">
        <v>17</v>
      </c>
      <c r="M43" s="8">
        <v>50000</v>
      </c>
    </row>
    <row r="44" spans="1:13" x14ac:dyDescent="0.35">
      <c r="A44" s="6">
        <v>98157</v>
      </c>
      <c r="B44" s="6" t="s">
        <v>35</v>
      </c>
      <c r="C44" s="6" t="s">
        <v>13</v>
      </c>
      <c r="D44" s="6">
        <v>2411</v>
      </c>
      <c r="E44" s="6" t="s">
        <v>14</v>
      </c>
      <c r="F44" s="6">
        <v>474658</v>
      </c>
      <c r="G44" s="97" t="s">
        <v>219</v>
      </c>
      <c r="H44" s="6">
        <v>4</v>
      </c>
      <c r="I44" s="6">
        <v>20210608</v>
      </c>
      <c r="J44" s="7">
        <v>44375</v>
      </c>
      <c r="K44" s="6" t="s">
        <v>69</v>
      </c>
      <c r="L44" s="6" t="s">
        <v>17</v>
      </c>
      <c r="M44" s="8">
        <v>20000</v>
      </c>
    </row>
    <row r="45" spans="1:13" x14ac:dyDescent="0.35">
      <c r="A45" s="6">
        <v>97998</v>
      </c>
      <c r="B45" s="6" t="s">
        <v>29</v>
      </c>
      <c r="C45" s="6" t="s">
        <v>22</v>
      </c>
      <c r="D45" s="6">
        <v>223</v>
      </c>
      <c r="E45" s="6" t="s">
        <v>14</v>
      </c>
      <c r="F45" s="6">
        <v>58110</v>
      </c>
      <c r="G45" s="6" t="s">
        <v>220</v>
      </c>
      <c r="H45" s="6">
        <v>4</v>
      </c>
      <c r="I45" s="6">
        <v>20210607</v>
      </c>
      <c r="J45" s="7">
        <v>44392</v>
      </c>
      <c r="K45" s="6" t="s">
        <v>221</v>
      </c>
      <c r="L45" s="6" t="s">
        <v>17</v>
      </c>
      <c r="M45" s="8">
        <v>6000</v>
      </c>
    </row>
    <row r="46" spans="1:13" x14ac:dyDescent="0.35">
      <c r="M46" s="39">
        <f>SUM(M38:M45)</f>
        <v>376000</v>
      </c>
    </row>
    <row r="47" spans="1:13" ht="15" thickBot="1" x14ac:dyDescent="0.4"/>
    <row r="48" spans="1:13" x14ac:dyDescent="0.35">
      <c r="B48" s="4" t="s">
        <v>81</v>
      </c>
    </row>
    <row r="49" spans="1:13" x14ac:dyDescent="0.35">
      <c r="A49" s="5" t="s">
        <v>0</v>
      </c>
      <c r="B49" s="5" t="s">
        <v>1</v>
      </c>
      <c r="C49" s="5" t="s">
        <v>2</v>
      </c>
      <c r="D49" s="5" t="s">
        <v>3</v>
      </c>
      <c r="E49" s="5" t="s">
        <v>4</v>
      </c>
      <c r="F49" s="5" t="s">
        <v>5</v>
      </c>
      <c r="G49" s="5" t="s">
        <v>6</v>
      </c>
      <c r="H49" s="5" t="s">
        <v>100</v>
      </c>
      <c r="I49" s="5" t="s">
        <v>7</v>
      </c>
      <c r="J49" s="5" t="s">
        <v>8</v>
      </c>
      <c r="K49" s="5" t="s">
        <v>9</v>
      </c>
      <c r="L49" s="5" t="s">
        <v>10</v>
      </c>
      <c r="M49" s="5" t="s">
        <v>11</v>
      </c>
    </row>
    <row r="50" spans="1:13" x14ac:dyDescent="0.35">
      <c r="A50" s="6">
        <v>101826</v>
      </c>
      <c r="B50" s="6" t="s">
        <v>29</v>
      </c>
      <c r="C50" s="6" t="s">
        <v>70</v>
      </c>
      <c r="D50" s="6">
        <v>237</v>
      </c>
      <c r="E50" s="6" t="s">
        <v>14</v>
      </c>
      <c r="F50" s="6">
        <v>431948</v>
      </c>
      <c r="G50" s="6" t="s">
        <v>222</v>
      </c>
      <c r="H50" s="6">
        <v>1</v>
      </c>
      <c r="I50" s="6">
        <v>20210714</v>
      </c>
      <c r="J50" s="7">
        <v>44466</v>
      </c>
      <c r="K50" s="6" t="s">
        <v>223</v>
      </c>
      <c r="L50" s="6" t="s">
        <v>17</v>
      </c>
      <c r="M50" s="8">
        <v>80000</v>
      </c>
    </row>
    <row r="51" spans="1:13" x14ac:dyDescent="0.35">
      <c r="A51" s="6">
        <v>101907</v>
      </c>
      <c r="B51" s="6" t="s">
        <v>58</v>
      </c>
      <c r="C51" s="6" t="s">
        <v>70</v>
      </c>
      <c r="D51" s="6">
        <v>3012</v>
      </c>
      <c r="E51" s="6" t="s">
        <v>14</v>
      </c>
      <c r="F51" s="6">
        <v>133853</v>
      </c>
      <c r="G51" s="6" t="s">
        <v>224</v>
      </c>
      <c r="H51" s="6">
        <v>7</v>
      </c>
      <c r="I51" s="6">
        <v>20210714</v>
      </c>
      <c r="J51" s="7">
        <v>44467</v>
      </c>
      <c r="K51" s="6" t="s">
        <v>89</v>
      </c>
      <c r="L51" s="6" t="s">
        <v>17</v>
      </c>
      <c r="M51" s="8">
        <v>100000</v>
      </c>
    </row>
    <row r="52" spans="1:13" x14ac:dyDescent="0.35">
      <c r="A52" s="6">
        <v>101737</v>
      </c>
      <c r="B52" s="6" t="s">
        <v>29</v>
      </c>
      <c r="C52" s="6" t="s">
        <v>13</v>
      </c>
      <c r="D52" s="6">
        <v>243</v>
      </c>
      <c r="E52" s="6" t="s">
        <v>14</v>
      </c>
      <c r="F52" s="6">
        <v>428435</v>
      </c>
      <c r="G52" s="6" t="s">
        <v>225</v>
      </c>
      <c r="H52" s="6">
        <v>1</v>
      </c>
      <c r="I52" s="6">
        <v>20210712</v>
      </c>
      <c r="J52" s="7">
        <v>44433</v>
      </c>
      <c r="K52" s="6" t="s">
        <v>226</v>
      </c>
      <c r="L52" s="6" t="s">
        <v>17</v>
      </c>
      <c r="M52" s="8">
        <v>10000</v>
      </c>
    </row>
    <row r="53" spans="1:13" x14ac:dyDescent="0.35">
      <c r="A53" s="6">
        <v>101195</v>
      </c>
      <c r="B53" s="6" t="s">
        <v>32</v>
      </c>
      <c r="C53" s="6" t="s">
        <v>13</v>
      </c>
      <c r="D53" s="6">
        <v>2002</v>
      </c>
      <c r="E53" s="6" t="s">
        <v>14</v>
      </c>
      <c r="F53" s="6">
        <v>331959</v>
      </c>
      <c r="G53" s="6" t="s">
        <v>77</v>
      </c>
      <c r="H53" s="6">
        <v>4</v>
      </c>
      <c r="I53" s="6">
        <v>20210707</v>
      </c>
      <c r="J53" s="7">
        <v>44449</v>
      </c>
      <c r="K53" s="6" t="s">
        <v>227</v>
      </c>
      <c r="L53" s="6" t="s">
        <v>17</v>
      </c>
      <c r="M53" s="8">
        <v>15000</v>
      </c>
    </row>
    <row r="54" spans="1:13" x14ac:dyDescent="0.35">
      <c r="A54" s="6">
        <v>104086</v>
      </c>
      <c r="B54" s="6" t="s">
        <v>29</v>
      </c>
      <c r="C54" s="6" t="s">
        <v>13</v>
      </c>
      <c r="D54" s="6">
        <v>243</v>
      </c>
      <c r="E54" s="6" t="s">
        <v>14</v>
      </c>
      <c r="F54" s="6">
        <v>14344</v>
      </c>
      <c r="G54" s="6" t="s">
        <v>228</v>
      </c>
      <c r="H54" s="6">
        <v>11</v>
      </c>
      <c r="I54" s="6">
        <v>20210730</v>
      </c>
      <c r="J54" s="7">
        <v>44477</v>
      </c>
      <c r="K54" s="6" t="s">
        <v>229</v>
      </c>
      <c r="L54" s="6" t="s">
        <v>17</v>
      </c>
      <c r="M54" s="8">
        <v>25000</v>
      </c>
    </row>
    <row r="55" spans="1:13" x14ac:dyDescent="0.35">
      <c r="A55" s="6">
        <v>103865</v>
      </c>
      <c r="B55" s="6" t="s">
        <v>29</v>
      </c>
      <c r="C55" s="6" t="s">
        <v>13</v>
      </c>
      <c r="D55" s="6">
        <v>238</v>
      </c>
      <c r="E55" s="6" t="s">
        <v>14</v>
      </c>
      <c r="F55" s="6">
        <v>471041</v>
      </c>
      <c r="G55" s="6" t="s">
        <v>230</v>
      </c>
      <c r="H55" s="6">
        <v>1</v>
      </c>
      <c r="I55" s="6">
        <v>20210730</v>
      </c>
      <c r="J55" s="7">
        <v>44424</v>
      </c>
      <c r="K55" s="6" t="s">
        <v>231</v>
      </c>
      <c r="L55" s="6" t="s">
        <v>17</v>
      </c>
      <c r="M55" s="8">
        <v>60000</v>
      </c>
    </row>
    <row r="56" spans="1:13" x14ac:dyDescent="0.35">
      <c r="A56" s="6">
        <v>106737</v>
      </c>
      <c r="B56" s="6" t="s">
        <v>12</v>
      </c>
      <c r="C56" s="6" t="s">
        <v>70</v>
      </c>
      <c r="D56" s="6">
        <v>805</v>
      </c>
      <c r="E56" s="6" t="s">
        <v>14</v>
      </c>
      <c r="F56" s="6">
        <v>201423</v>
      </c>
      <c r="G56" s="6" t="s">
        <v>105</v>
      </c>
      <c r="H56" s="6">
        <v>6</v>
      </c>
      <c r="I56" s="6">
        <v>20210729</v>
      </c>
      <c r="J56" s="7">
        <v>44501</v>
      </c>
      <c r="K56" s="6" t="s">
        <v>232</v>
      </c>
      <c r="L56" s="6" t="s">
        <v>17</v>
      </c>
      <c r="M56" s="8">
        <v>50000</v>
      </c>
    </row>
    <row r="57" spans="1:13" x14ac:dyDescent="0.35">
      <c r="A57" s="6">
        <v>106123</v>
      </c>
      <c r="B57" s="6" t="s">
        <v>32</v>
      </c>
      <c r="C57" s="6" t="s">
        <v>13</v>
      </c>
      <c r="D57" s="6">
        <v>2002</v>
      </c>
      <c r="E57" s="6" t="s">
        <v>14</v>
      </c>
      <c r="F57" s="6">
        <v>182403</v>
      </c>
      <c r="G57" s="6" t="s">
        <v>233</v>
      </c>
      <c r="H57" s="6">
        <v>5</v>
      </c>
      <c r="I57" s="6">
        <v>20210723</v>
      </c>
      <c r="J57" s="7">
        <v>44470</v>
      </c>
      <c r="K57" s="6" t="s">
        <v>221</v>
      </c>
      <c r="L57" s="6" t="s">
        <v>17</v>
      </c>
      <c r="M57" s="8">
        <v>25000</v>
      </c>
    </row>
    <row r="58" spans="1:13" x14ac:dyDescent="0.35">
      <c r="A58" s="6">
        <v>105786</v>
      </c>
      <c r="B58" s="6" t="s">
        <v>29</v>
      </c>
      <c r="C58" s="6" t="s">
        <v>13</v>
      </c>
      <c r="D58" s="6">
        <v>243</v>
      </c>
      <c r="E58" s="6" t="s">
        <v>14</v>
      </c>
      <c r="F58" s="6">
        <v>411726</v>
      </c>
      <c r="G58" s="6" t="s">
        <v>234</v>
      </c>
      <c r="H58" s="6">
        <v>2</v>
      </c>
      <c r="I58" s="6">
        <v>20210721</v>
      </c>
      <c r="J58" s="7">
        <v>44482</v>
      </c>
      <c r="K58" s="6" t="s">
        <v>235</v>
      </c>
      <c r="L58" s="6" t="s">
        <v>17</v>
      </c>
      <c r="M58" s="8">
        <v>40000</v>
      </c>
    </row>
    <row r="59" spans="1:13" x14ac:dyDescent="0.35">
      <c r="A59" s="6">
        <v>105435</v>
      </c>
      <c r="B59" s="6" t="s">
        <v>29</v>
      </c>
      <c r="C59" s="6" t="s">
        <v>13</v>
      </c>
      <c r="D59" s="6">
        <v>217</v>
      </c>
      <c r="E59" s="6" t="s">
        <v>14</v>
      </c>
      <c r="F59" s="6">
        <v>494629</v>
      </c>
      <c r="G59" s="6" t="s">
        <v>236</v>
      </c>
      <c r="H59" s="6">
        <v>1</v>
      </c>
      <c r="I59" s="6">
        <v>20210715</v>
      </c>
      <c r="J59" s="7">
        <v>44459</v>
      </c>
      <c r="K59" s="6" t="s">
        <v>104</v>
      </c>
      <c r="L59" s="6" t="s">
        <v>17</v>
      </c>
      <c r="M59" s="8">
        <v>100000</v>
      </c>
    </row>
    <row r="60" spans="1:13" x14ac:dyDescent="0.35">
      <c r="M60" s="39">
        <f>SUM(M50:M59)</f>
        <v>505000</v>
      </c>
    </row>
    <row r="61" spans="1:13" ht="15" thickBot="1" x14ac:dyDescent="0.4"/>
    <row r="62" spans="1:13" x14ac:dyDescent="0.35">
      <c r="B62" s="4" t="s">
        <v>90</v>
      </c>
    </row>
    <row r="63" spans="1:13" x14ac:dyDescent="0.35">
      <c r="A63" s="5" t="s">
        <v>0</v>
      </c>
      <c r="B63" s="5" t="s">
        <v>1</v>
      </c>
      <c r="C63" s="5" t="s">
        <v>2</v>
      </c>
      <c r="D63" s="5" t="s">
        <v>3</v>
      </c>
      <c r="E63" s="5" t="s">
        <v>4</v>
      </c>
      <c r="F63" s="5" t="s">
        <v>5</v>
      </c>
      <c r="G63" s="5" t="s">
        <v>6</v>
      </c>
      <c r="H63" s="5" t="s">
        <v>100</v>
      </c>
      <c r="I63" s="5" t="s">
        <v>7</v>
      </c>
      <c r="J63" s="5" t="s">
        <v>8</v>
      </c>
      <c r="K63" s="5" t="s">
        <v>9</v>
      </c>
      <c r="L63" s="5" t="s">
        <v>10</v>
      </c>
      <c r="M63" s="5" t="s">
        <v>11</v>
      </c>
    </row>
    <row r="64" spans="1:13" x14ac:dyDescent="0.35">
      <c r="A64" s="6">
        <v>110006</v>
      </c>
      <c r="B64" s="6" t="s">
        <v>29</v>
      </c>
      <c r="C64" s="6" t="s">
        <v>13</v>
      </c>
      <c r="D64" s="6">
        <v>243</v>
      </c>
      <c r="E64" s="6" t="s">
        <v>14</v>
      </c>
      <c r="F64" s="6">
        <v>161401</v>
      </c>
      <c r="G64" s="6" t="s">
        <v>138</v>
      </c>
      <c r="H64" s="6">
        <v>3</v>
      </c>
      <c r="I64" s="6">
        <v>20210830</v>
      </c>
      <c r="J64" s="7">
        <v>44484</v>
      </c>
      <c r="K64" s="6" t="s">
        <v>237</v>
      </c>
      <c r="L64" s="6" t="s">
        <v>17</v>
      </c>
      <c r="M64" s="8">
        <v>200000</v>
      </c>
    </row>
    <row r="65" spans="1:13" x14ac:dyDescent="0.35">
      <c r="A65" s="6">
        <v>110008</v>
      </c>
      <c r="B65" s="6" t="s">
        <v>29</v>
      </c>
      <c r="C65" s="6" t="s">
        <v>13</v>
      </c>
      <c r="D65" s="6">
        <v>232</v>
      </c>
      <c r="E65" s="6" t="s">
        <v>14</v>
      </c>
      <c r="F65" s="6">
        <v>485690</v>
      </c>
      <c r="G65" s="6" t="s">
        <v>238</v>
      </c>
      <c r="H65" s="6">
        <v>1</v>
      </c>
      <c r="I65" s="6">
        <v>20210830</v>
      </c>
      <c r="J65" s="7">
        <v>44482</v>
      </c>
      <c r="K65" s="6" t="s">
        <v>108</v>
      </c>
      <c r="L65" s="6" t="s">
        <v>17</v>
      </c>
      <c r="M65" s="8">
        <v>50000</v>
      </c>
    </row>
    <row r="66" spans="1:13" x14ac:dyDescent="0.35">
      <c r="A66" s="6">
        <v>109505</v>
      </c>
      <c r="B66" s="6" t="s">
        <v>132</v>
      </c>
      <c r="C66" s="6" t="s">
        <v>13</v>
      </c>
      <c r="D66" s="6">
        <v>2509</v>
      </c>
      <c r="E66" s="6" t="s">
        <v>14</v>
      </c>
      <c r="F66" s="6">
        <v>424927</v>
      </c>
      <c r="G66" s="6" t="s">
        <v>239</v>
      </c>
      <c r="H66" s="6">
        <v>2</v>
      </c>
      <c r="I66" s="6">
        <v>20210826</v>
      </c>
      <c r="J66" s="7">
        <v>44491</v>
      </c>
      <c r="K66" s="6" t="s">
        <v>240</v>
      </c>
      <c r="L66" s="6" t="s">
        <v>17</v>
      </c>
      <c r="M66" s="8">
        <v>25000</v>
      </c>
    </row>
    <row r="67" spans="1:13" x14ac:dyDescent="0.35">
      <c r="A67" s="6">
        <v>109528</v>
      </c>
      <c r="B67" s="6" t="s">
        <v>132</v>
      </c>
      <c r="C67" s="6" t="s">
        <v>70</v>
      </c>
      <c r="D67" s="6">
        <v>2509</v>
      </c>
      <c r="E67" s="6" t="s">
        <v>14</v>
      </c>
      <c r="F67" s="6">
        <v>413545</v>
      </c>
      <c r="G67" s="6" t="s">
        <v>241</v>
      </c>
      <c r="H67" s="6">
        <v>1</v>
      </c>
      <c r="I67" s="6">
        <v>20210826</v>
      </c>
      <c r="J67" s="7">
        <v>44497</v>
      </c>
      <c r="K67" s="6" t="s">
        <v>242</v>
      </c>
      <c r="L67" s="6" t="s">
        <v>17</v>
      </c>
      <c r="M67" s="8">
        <v>25000</v>
      </c>
    </row>
    <row r="68" spans="1:13" x14ac:dyDescent="0.35">
      <c r="A68" s="6">
        <v>109228</v>
      </c>
      <c r="B68" s="6" t="s">
        <v>29</v>
      </c>
      <c r="C68" s="6" t="s">
        <v>13</v>
      </c>
      <c r="D68" s="6">
        <v>234</v>
      </c>
      <c r="E68" s="6" t="s">
        <v>14</v>
      </c>
      <c r="F68" s="6">
        <v>480417</v>
      </c>
      <c r="G68" s="6" t="s">
        <v>243</v>
      </c>
      <c r="H68" s="6">
        <v>8</v>
      </c>
      <c r="I68" s="6">
        <v>20210824</v>
      </c>
      <c r="J68" s="7">
        <v>44515</v>
      </c>
      <c r="K68" s="6" t="s">
        <v>244</v>
      </c>
      <c r="L68" s="6" t="s">
        <v>17</v>
      </c>
      <c r="M68" s="8">
        <v>25000</v>
      </c>
    </row>
    <row r="69" spans="1:13" x14ac:dyDescent="0.35">
      <c r="A69" s="6">
        <v>109230</v>
      </c>
      <c r="B69" s="6" t="s">
        <v>18</v>
      </c>
      <c r="C69" s="6" t="s">
        <v>13</v>
      </c>
      <c r="D69" s="6">
        <v>4102</v>
      </c>
      <c r="E69" s="6" t="s">
        <v>14</v>
      </c>
      <c r="F69" s="6">
        <v>276128</v>
      </c>
      <c r="G69" s="6" t="s">
        <v>88</v>
      </c>
      <c r="H69" s="6">
        <v>4</v>
      </c>
      <c r="I69" s="6">
        <v>20210824</v>
      </c>
      <c r="J69" s="7">
        <v>44545</v>
      </c>
      <c r="K69" s="6" t="s">
        <v>245</v>
      </c>
      <c r="L69" s="6" t="s">
        <v>17</v>
      </c>
      <c r="M69" s="8">
        <v>70000</v>
      </c>
    </row>
    <row r="70" spans="1:13" x14ac:dyDescent="0.35">
      <c r="A70" s="6">
        <v>108812</v>
      </c>
      <c r="B70" s="6" t="s">
        <v>44</v>
      </c>
      <c r="C70" s="6" t="s">
        <v>22</v>
      </c>
      <c r="D70" s="6">
        <v>511</v>
      </c>
      <c r="E70" s="6" t="s">
        <v>14</v>
      </c>
      <c r="F70" s="6">
        <v>303523</v>
      </c>
      <c r="G70" s="6" t="s">
        <v>246</v>
      </c>
      <c r="H70" s="6">
        <v>6</v>
      </c>
      <c r="I70" s="6">
        <v>20210820</v>
      </c>
      <c r="J70" s="7">
        <v>44470</v>
      </c>
      <c r="K70" s="6" t="s">
        <v>247</v>
      </c>
      <c r="L70" s="6" t="s">
        <v>17</v>
      </c>
      <c r="M70" s="8">
        <v>4000</v>
      </c>
    </row>
    <row r="71" spans="1:13" x14ac:dyDescent="0.35">
      <c r="A71" s="6">
        <v>108768</v>
      </c>
      <c r="B71" s="6" t="s">
        <v>12</v>
      </c>
      <c r="C71" s="6" t="s">
        <v>22</v>
      </c>
      <c r="D71" s="6">
        <v>803</v>
      </c>
      <c r="E71" s="6" t="s">
        <v>14</v>
      </c>
      <c r="F71" s="6">
        <v>162456</v>
      </c>
      <c r="G71" s="6" t="s">
        <v>248</v>
      </c>
      <c r="H71" s="6">
        <v>6</v>
      </c>
      <c r="I71" s="6">
        <v>20210817</v>
      </c>
      <c r="J71" s="7">
        <v>44470</v>
      </c>
      <c r="K71" s="6" t="s">
        <v>63</v>
      </c>
      <c r="L71" s="6" t="s">
        <v>17</v>
      </c>
      <c r="M71" s="8">
        <v>5000</v>
      </c>
    </row>
    <row r="72" spans="1:13" x14ac:dyDescent="0.35">
      <c r="A72" s="6">
        <v>107900</v>
      </c>
      <c r="B72" s="6" t="s">
        <v>18</v>
      </c>
      <c r="C72" s="6" t="s">
        <v>70</v>
      </c>
      <c r="D72" s="6">
        <v>4102</v>
      </c>
      <c r="E72" s="6" t="s">
        <v>14</v>
      </c>
      <c r="F72" s="6">
        <v>500032</v>
      </c>
      <c r="G72" s="6" t="s">
        <v>249</v>
      </c>
      <c r="H72" s="6">
        <v>8</v>
      </c>
      <c r="I72" s="6">
        <v>20210811</v>
      </c>
      <c r="J72" s="7">
        <v>44440</v>
      </c>
      <c r="K72" s="6" t="s">
        <v>250</v>
      </c>
      <c r="L72" s="6" t="s">
        <v>17</v>
      </c>
      <c r="M72" s="8">
        <v>80000</v>
      </c>
    </row>
    <row r="73" spans="1:13" x14ac:dyDescent="0.35">
      <c r="A73" s="6">
        <v>107647</v>
      </c>
      <c r="B73" s="6" t="s">
        <v>29</v>
      </c>
      <c r="C73" s="6" t="s">
        <v>13</v>
      </c>
      <c r="D73" s="6">
        <v>211</v>
      </c>
      <c r="E73" s="6" t="s">
        <v>14</v>
      </c>
      <c r="F73" s="6">
        <v>479196</v>
      </c>
      <c r="G73" s="6" t="s">
        <v>251</v>
      </c>
      <c r="H73" s="6">
        <v>1</v>
      </c>
      <c r="I73" s="6">
        <v>20210809</v>
      </c>
      <c r="J73" s="7">
        <v>44461</v>
      </c>
      <c r="K73" s="6" t="s">
        <v>252</v>
      </c>
      <c r="L73" s="6" t="s">
        <v>17</v>
      </c>
      <c r="M73" s="8">
        <v>80000</v>
      </c>
    </row>
    <row r="74" spans="1:13" x14ac:dyDescent="0.35">
      <c r="A74" s="6">
        <v>107380</v>
      </c>
      <c r="B74" s="6" t="s">
        <v>49</v>
      </c>
      <c r="C74" s="6" t="s">
        <v>13</v>
      </c>
      <c r="D74" s="6">
        <v>3110</v>
      </c>
      <c r="E74" s="6" t="s">
        <v>14</v>
      </c>
      <c r="F74" s="6">
        <v>257839</v>
      </c>
      <c r="G74" s="6" t="s">
        <v>95</v>
      </c>
      <c r="H74" s="6">
        <v>9</v>
      </c>
      <c r="I74" s="6">
        <v>20210806</v>
      </c>
      <c r="J74" s="7">
        <v>44489</v>
      </c>
      <c r="K74" s="6" t="s">
        <v>253</v>
      </c>
      <c r="L74" s="6" t="s">
        <v>17</v>
      </c>
      <c r="M74" s="8">
        <v>100000</v>
      </c>
    </row>
    <row r="75" spans="1:13" x14ac:dyDescent="0.35">
      <c r="M75" s="39">
        <f>SUM(M64:M74)</f>
        <v>664000</v>
      </c>
    </row>
    <row r="76" spans="1:13" ht="15" thickBot="1" x14ac:dyDescent="0.4"/>
    <row r="77" spans="1:13" x14ac:dyDescent="0.35">
      <c r="B77" s="4" t="s">
        <v>99</v>
      </c>
    </row>
    <row r="78" spans="1:13" x14ac:dyDescent="0.35">
      <c r="A78" s="45" t="s">
        <v>0</v>
      </c>
      <c r="B78" s="45" t="s">
        <v>1</v>
      </c>
      <c r="C78" s="45" t="s">
        <v>2</v>
      </c>
      <c r="D78" s="45" t="s">
        <v>3</v>
      </c>
      <c r="E78" s="45" t="s">
        <v>4</v>
      </c>
      <c r="F78" s="45" t="s">
        <v>5</v>
      </c>
      <c r="G78" s="45" t="s">
        <v>6</v>
      </c>
      <c r="H78" s="45" t="s">
        <v>100</v>
      </c>
      <c r="I78" s="45" t="s">
        <v>7</v>
      </c>
      <c r="J78" s="45" t="s">
        <v>8</v>
      </c>
      <c r="K78" s="45" t="s">
        <v>9</v>
      </c>
      <c r="L78" s="45" t="s">
        <v>10</v>
      </c>
      <c r="M78" s="45" t="s">
        <v>11</v>
      </c>
    </row>
    <row r="79" spans="1:13" x14ac:dyDescent="0.35">
      <c r="A79" s="6">
        <v>111522</v>
      </c>
      <c r="B79" s="6" t="s">
        <v>58</v>
      </c>
      <c r="C79" s="6" t="s">
        <v>13</v>
      </c>
      <c r="D79" s="6">
        <v>3016</v>
      </c>
      <c r="E79" s="6" t="s">
        <v>14</v>
      </c>
      <c r="F79" s="6">
        <v>503651</v>
      </c>
      <c r="G79" s="6" t="s">
        <v>254</v>
      </c>
      <c r="H79" s="6">
        <v>2</v>
      </c>
      <c r="I79" s="6">
        <v>20210910</v>
      </c>
      <c r="J79" s="1">
        <v>44578</v>
      </c>
      <c r="K79" s="6" t="s">
        <v>255</v>
      </c>
      <c r="L79" s="6" t="s">
        <v>17</v>
      </c>
      <c r="M79" s="8">
        <v>50000</v>
      </c>
    </row>
    <row r="80" spans="1:13" x14ac:dyDescent="0.35">
      <c r="A80" s="6">
        <v>111181</v>
      </c>
      <c r="B80" s="6" t="s">
        <v>58</v>
      </c>
      <c r="C80" s="6" t="s">
        <v>13</v>
      </c>
      <c r="D80" s="6">
        <v>3016</v>
      </c>
      <c r="E80" s="6" t="s">
        <v>14</v>
      </c>
      <c r="F80" s="6">
        <v>504141</v>
      </c>
      <c r="G80" s="6" t="s">
        <v>256</v>
      </c>
      <c r="H80" s="6">
        <v>2</v>
      </c>
      <c r="I80" s="6">
        <v>20210908</v>
      </c>
      <c r="J80" s="7">
        <v>44571</v>
      </c>
      <c r="K80" s="6" t="s">
        <v>257</v>
      </c>
      <c r="L80" s="6" t="s">
        <v>17</v>
      </c>
      <c r="M80" s="8">
        <v>50000</v>
      </c>
    </row>
    <row r="81" spans="1:13" x14ac:dyDescent="0.35">
      <c r="A81" s="6">
        <v>113668</v>
      </c>
      <c r="B81" s="6" t="s">
        <v>29</v>
      </c>
      <c r="C81" s="6" t="s">
        <v>13</v>
      </c>
      <c r="D81" s="6">
        <v>243</v>
      </c>
      <c r="E81" s="6" t="s">
        <v>14</v>
      </c>
      <c r="F81" s="6">
        <v>438914</v>
      </c>
      <c r="G81" s="6" t="s">
        <v>258</v>
      </c>
      <c r="H81" s="6">
        <v>1</v>
      </c>
      <c r="I81" s="6">
        <v>20210929</v>
      </c>
      <c r="J81" s="7">
        <v>44567</v>
      </c>
      <c r="K81" s="6" t="s">
        <v>259</v>
      </c>
      <c r="L81" s="6" t="s">
        <v>17</v>
      </c>
      <c r="M81" s="8">
        <v>60000</v>
      </c>
    </row>
    <row r="82" spans="1:13" x14ac:dyDescent="0.35">
      <c r="A82" s="6">
        <v>113111</v>
      </c>
      <c r="B82" s="6" t="s">
        <v>29</v>
      </c>
      <c r="C82" s="6" t="s">
        <v>13</v>
      </c>
      <c r="D82" s="6">
        <v>238</v>
      </c>
      <c r="E82" s="6" t="s">
        <v>14</v>
      </c>
      <c r="F82" s="6">
        <v>501419</v>
      </c>
      <c r="G82" s="6" t="s">
        <v>260</v>
      </c>
      <c r="H82" s="6">
        <v>1</v>
      </c>
      <c r="I82" s="6">
        <v>20210927</v>
      </c>
      <c r="J82" s="7">
        <v>44543</v>
      </c>
      <c r="K82" s="6" t="s">
        <v>261</v>
      </c>
      <c r="L82" s="6" t="s">
        <v>17</v>
      </c>
      <c r="M82" s="8">
        <v>80000</v>
      </c>
    </row>
    <row r="83" spans="1:13" x14ac:dyDescent="0.35">
      <c r="A83" s="6">
        <v>111895</v>
      </c>
      <c r="B83" s="6" t="s">
        <v>29</v>
      </c>
      <c r="C83" s="6" t="s">
        <v>13</v>
      </c>
      <c r="D83" s="6">
        <v>217</v>
      </c>
      <c r="E83" s="6" t="s">
        <v>14</v>
      </c>
      <c r="F83" s="6">
        <v>500031</v>
      </c>
      <c r="G83" s="6" t="s">
        <v>262</v>
      </c>
      <c r="H83" s="6">
        <v>1</v>
      </c>
      <c r="I83" s="6">
        <v>20210915</v>
      </c>
      <c r="J83" s="7">
        <v>44550</v>
      </c>
      <c r="K83" s="6" t="s">
        <v>57</v>
      </c>
      <c r="L83" s="6" t="s">
        <v>17</v>
      </c>
      <c r="M83" s="8">
        <v>80000</v>
      </c>
    </row>
    <row r="84" spans="1:13" x14ac:dyDescent="0.35">
      <c r="A84" s="6">
        <v>108478</v>
      </c>
      <c r="B84" s="6" t="s">
        <v>29</v>
      </c>
      <c r="C84" s="6" t="s">
        <v>13</v>
      </c>
      <c r="D84" s="6">
        <v>217</v>
      </c>
      <c r="E84" s="6" t="s">
        <v>14</v>
      </c>
      <c r="F84" s="6">
        <v>489827</v>
      </c>
      <c r="G84" s="6" t="s">
        <v>263</v>
      </c>
      <c r="H84" s="6">
        <v>1</v>
      </c>
      <c r="I84" s="6">
        <v>20210917</v>
      </c>
      <c r="J84" s="7">
        <v>44489</v>
      </c>
      <c r="K84" s="6" t="s">
        <v>264</v>
      </c>
      <c r="L84" s="6" t="s">
        <v>17</v>
      </c>
      <c r="M84" s="8">
        <v>80000</v>
      </c>
    </row>
    <row r="85" spans="1:13" x14ac:dyDescent="0.35">
      <c r="A85" s="6">
        <v>106242</v>
      </c>
      <c r="B85" s="6" t="s">
        <v>29</v>
      </c>
      <c r="C85" s="6" t="s">
        <v>13</v>
      </c>
      <c r="D85" s="6">
        <v>238</v>
      </c>
      <c r="E85" s="6" t="s">
        <v>14</v>
      </c>
      <c r="F85" s="6">
        <v>491842</v>
      </c>
      <c r="G85" s="6" t="s">
        <v>265</v>
      </c>
      <c r="H85" s="6">
        <v>1</v>
      </c>
      <c r="I85" s="6">
        <v>20210927</v>
      </c>
      <c r="J85" s="7">
        <v>44496</v>
      </c>
      <c r="K85" s="6" t="s">
        <v>26</v>
      </c>
      <c r="L85" s="6" t="s">
        <v>17</v>
      </c>
      <c r="M85" s="8">
        <v>80000</v>
      </c>
    </row>
    <row r="86" spans="1:13" x14ac:dyDescent="0.35">
      <c r="A86" s="6">
        <v>106360</v>
      </c>
      <c r="B86" s="6" t="s">
        <v>29</v>
      </c>
      <c r="C86" s="6" t="s">
        <v>13</v>
      </c>
      <c r="D86" s="6">
        <v>229</v>
      </c>
      <c r="E86" s="6" t="s">
        <v>14</v>
      </c>
      <c r="F86" s="6">
        <v>307639</v>
      </c>
      <c r="G86" s="6" t="s">
        <v>266</v>
      </c>
      <c r="H86" s="6">
        <v>1</v>
      </c>
      <c r="I86" s="6">
        <v>20210927</v>
      </c>
      <c r="J86" s="7">
        <v>44496</v>
      </c>
      <c r="K86" s="6" t="s">
        <v>252</v>
      </c>
      <c r="L86" s="6" t="s">
        <v>17</v>
      </c>
      <c r="M86" s="8">
        <v>80000</v>
      </c>
    </row>
    <row r="87" spans="1:13" x14ac:dyDescent="0.35">
      <c r="A87" s="6">
        <v>113495</v>
      </c>
      <c r="B87" s="6" t="s">
        <v>109</v>
      </c>
      <c r="C87" s="6" t="s">
        <v>13</v>
      </c>
      <c r="D87" s="6">
        <v>4002</v>
      </c>
      <c r="E87" s="6" t="s">
        <v>14</v>
      </c>
      <c r="F87" s="6">
        <v>507144</v>
      </c>
      <c r="G87" s="6" t="s">
        <v>267</v>
      </c>
      <c r="H87" s="6">
        <v>2</v>
      </c>
      <c r="I87" s="6">
        <v>20210929</v>
      </c>
      <c r="J87" s="7">
        <v>44519</v>
      </c>
      <c r="K87" s="6" t="s">
        <v>268</v>
      </c>
      <c r="L87" s="6" t="s">
        <v>17</v>
      </c>
      <c r="M87" s="8">
        <v>15000</v>
      </c>
    </row>
    <row r="88" spans="1:13" x14ac:dyDescent="0.35">
      <c r="A88" s="6">
        <v>113582</v>
      </c>
      <c r="B88" s="6" t="s">
        <v>109</v>
      </c>
      <c r="C88" s="6" t="s">
        <v>13</v>
      </c>
      <c r="D88" s="6">
        <v>4002</v>
      </c>
      <c r="E88" s="6" t="s">
        <v>14</v>
      </c>
      <c r="F88" s="6">
        <v>507145</v>
      </c>
      <c r="G88" s="41" t="s">
        <v>269</v>
      </c>
      <c r="H88" s="6">
        <v>1</v>
      </c>
      <c r="I88" s="6">
        <v>20210929</v>
      </c>
      <c r="J88" s="7">
        <v>44545</v>
      </c>
      <c r="K88" s="6" t="s">
        <v>270</v>
      </c>
      <c r="L88" s="6" t="s">
        <v>17</v>
      </c>
      <c r="M88" s="8">
        <v>100000</v>
      </c>
    </row>
    <row r="89" spans="1:13" x14ac:dyDescent="0.35">
      <c r="A89" s="6">
        <v>112415</v>
      </c>
      <c r="B89" s="6" t="s">
        <v>109</v>
      </c>
      <c r="C89" s="6" t="s">
        <v>13</v>
      </c>
      <c r="D89" s="6">
        <v>4014</v>
      </c>
      <c r="E89" s="6" t="s">
        <v>14</v>
      </c>
      <c r="F89" s="6">
        <v>505554</v>
      </c>
      <c r="G89" s="6" t="s">
        <v>271</v>
      </c>
      <c r="H89" s="6">
        <v>3</v>
      </c>
      <c r="I89" s="6">
        <v>20210920</v>
      </c>
      <c r="J89" s="7">
        <v>44523</v>
      </c>
      <c r="K89" s="6" t="s">
        <v>242</v>
      </c>
      <c r="L89" s="6" t="s">
        <v>17</v>
      </c>
      <c r="M89" s="8">
        <v>50000</v>
      </c>
    </row>
    <row r="90" spans="1:13" x14ac:dyDescent="0.35">
      <c r="A90" s="6">
        <v>112416</v>
      </c>
      <c r="B90" s="6" t="s">
        <v>44</v>
      </c>
      <c r="C90" s="6" t="s">
        <v>13</v>
      </c>
      <c r="D90" s="6">
        <v>514</v>
      </c>
      <c r="E90" s="6" t="s">
        <v>14</v>
      </c>
      <c r="F90" s="6">
        <v>468414</v>
      </c>
      <c r="G90" s="6" t="s">
        <v>272</v>
      </c>
      <c r="H90" s="6">
        <v>1</v>
      </c>
      <c r="I90" s="6">
        <v>20210920</v>
      </c>
      <c r="J90" s="7">
        <v>44581</v>
      </c>
      <c r="K90" s="6" t="s">
        <v>183</v>
      </c>
      <c r="L90" s="6" t="s">
        <v>17</v>
      </c>
      <c r="M90" s="8">
        <v>65000</v>
      </c>
    </row>
    <row r="91" spans="1:13" x14ac:dyDescent="0.35">
      <c r="A91" s="6">
        <v>98837</v>
      </c>
      <c r="B91" s="6" t="s">
        <v>32</v>
      </c>
      <c r="C91" s="6" t="s">
        <v>13</v>
      </c>
      <c r="D91" s="6">
        <v>2002</v>
      </c>
      <c r="E91" s="6" t="s">
        <v>14</v>
      </c>
      <c r="F91" s="6">
        <v>332369</v>
      </c>
      <c r="G91" s="6" t="s">
        <v>273</v>
      </c>
      <c r="H91" s="6">
        <v>1</v>
      </c>
      <c r="I91" s="6">
        <v>20210914</v>
      </c>
      <c r="J91" s="7">
        <v>44483</v>
      </c>
      <c r="K91" s="6" t="s">
        <v>274</v>
      </c>
      <c r="L91" s="6" t="s">
        <v>17</v>
      </c>
      <c r="M91" s="8">
        <v>50000</v>
      </c>
    </row>
    <row r="92" spans="1:13" x14ac:dyDescent="0.35">
      <c r="A92" s="6">
        <v>112619</v>
      </c>
      <c r="B92" s="6" t="s">
        <v>18</v>
      </c>
      <c r="C92" s="6" t="s">
        <v>13</v>
      </c>
      <c r="D92" s="6">
        <v>4103</v>
      </c>
      <c r="E92" s="6" t="s">
        <v>14</v>
      </c>
      <c r="F92" s="6">
        <v>277987</v>
      </c>
      <c r="G92" s="6" t="s">
        <v>27</v>
      </c>
      <c r="H92" s="6">
        <v>4</v>
      </c>
      <c r="I92" s="6">
        <v>20210922</v>
      </c>
      <c r="J92" s="7">
        <v>44505</v>
      </c>
      <c r="K92" s="6" t="s">
        <v>65</v>
      </c>
      <c r="L92" s="6" t="s">
        <v>17</v>
      </c>
      <c r="M92" s="8">
        <v>30000</v>
      </c>
    </row>
    <row r="93" spans="1:13" x14ac:dyDescent="0.35">
      <c r="A93" s="6">
        <v>112471</v>
      </c>
      <c r="B93" s="6" t="s">
        <v>18</v>
      </c>
      <c r="C93" s="6" t="s">
        <v>70</v>
      </c>
      <c r="D93" s="6">
        <v>4102</v>
      </c>
      <c r="E93" s="6" t="s">
        <v>14</v>
      </c>
      <c r="F93" s="6">
        <v>220524</v>
      </c>
      <c r="G93" s="6" t="s">
        <v>275</v>
      </c>
      <c r="H93" s="6">
        <v>3</v>
      </c>
      <c r="I93" s="6">
        <v>20210920</v>
      </c>
      <c r="J93" s="7">
        <v>44489</v>
      </c>
      <c r="K93" s="6" t="s">
        <v>198</v>
      </c>
      <c r="L93" s="6" t="s">
        <v>17</v>
      </c>
      <c r="M93" s="8">
        <v>40000</v>
      </c>
    </row>
    <row r="94" spans="1:13" x14ac:dyDescent="0.35">
      <c r="A94" s="6">
        <v>113831</v>
      </c>
      <c r="B94" s="6" t="s">
        <v>12</v>
      </c>
      <c r="C94" s="6" t="s">
        <v>13</v>
      </c>
      <c r="D94" s="6">
        <v>805</v>
      </c>
      <c r="E94" s="6" t="s">
        <v>14</v>
      </c>
      <c r="F94" s="6">
        <v>296645</v>
      </c>
      <c r="G94" s="6" t="s">
        <v>276</v>
      </c>
      <c r="H94" s="6">
        <v>3</v>
      </c>
      <c r="I94" s="6">
        <v>20210930</v>
      </c>
      <c r="J94" s="7">
        <v>44617</v>
      </c>
      <c r="K94" s="6" t="s">
        <v>139</v>
      </c>
      <c r="L94" s="6" t="s">
        <v>17</v>
      </c>
      <c r="M94" s="8">
        <v>35000</v>
      </c>
    </row>
    <row r="95" spans="1:13" x14ac:dyDescent="0.35">
      <c r="A95" s="6">
        <v>111716</v>
      </c>
      <c r="B95" s="6" t="s">
        <v>277</v>
      </c>
      <c r="C95" s="6" t="s">
        <v>13</v>
      </c>
      <c r="D95" s="6">
        <v>2902</v>
      </c>
      <c r="E95" s="6" t="s">
        <v>14</v>
      </c>
      <c r="F95" s="6">
        <v>248783</v>
      </c>
      <c r="G95" s="41" t="s">
        <v>278</v>
      </c>
      <c r="H95" s="6">
        <v>5</v>
      </c>
      <c r="I95" s="6">
        <v>20210914</v>
      </c>
      <c r="J95" s="7">
        <v>44497</v>
      </c>
      <c r="K95" s="6" t="s">
        <v>91</v>
      </c>
      <c r="L95" s="6" t="s">
        <v>17</v>
      </c>
      <c r="M95" s="8">
        <v>3000</v>
      </c>
    </row>
    <row r="96" spans="1:13" x14ac:dyDescent="0.35">
      <c r="A96" s="6">
        <v>112414</v>
      </c>
      <c r="B96" s="6" t="s">
        <v>21</v>
      </c>
      <c r="C96" s="6" t="s">
        <v>13</v>
      </c>
      <c r="D96" s="6">
        <v>1302</v>
      </c>
      <c r="E96" s="6" t="s">
        <v>14</v>
      </c>
      <c r="F96" s="6">
        <v>504818</v>
      </c>
      <c r="G96" s="6" t="s">
        <v>279</v>
      </c>
      <c r="H96" s="6">
        <v>1</v>
      </c>
      <c r="I96" s="6">
        <v>20210917</v>
      </c>
      <c r="J96" s="7">
        <v>44519</v>
      </c>
      <c r="K96" s="6" t="s">
        <v>280</v>
      </c>
      <c r="L96" s="6" t="s">
        <v>17</v>
      </c>
      <c r="M96" s="8">
        <v>21000</v>
      </c>
    </row>
    <row r="97" spans="1:13" x14ac:dyDescent="0.35">
      <c r="A97" s="6">
        <v>111416</v>
      </c>
      <c r="B97" s="6" t="s">
        <v>21</v>
      </c>
      <c r="C97" s="6" t="s">
        <v>70</v>
      </c>
      <c r="D97" s="6">
        <v>1302</v>
      </c>
      <c r="E97" s="6" t="s">
        <v>14</v>
      </c>
      <c r="F97" s="6">
        <v>290848</v>
      </c>
      <c r="G97" s="6" t="s">
        <v>281</v>
      </c>
      <c r="H97" s="6">
        <v>4</v>
      </c>
      <c r="I97" s="6">
        <v>20210909</v>
      </c>
      <c r="J97" s="7">
        <v>44510</v>
      </c>
      <c r="K97" s="6" t="s">
        <v>191</v>
      </c>
      <c r="L97" s="6" t="s">
        <v>17</v>
      </c>
      <c r="M97" s="8">
        <v>3000</v>
      </c>
    </row>
    <row r="98" spans="1:13" x14ac:dyDescent="0.35">
      <c r="M98" s="39">
        <f>SUM(M79:M97)</f>
        <v>972000</v>
      </c>
    </row>
    <row r="99" spans="1:13" ht="15" thickBot="1" x14ac:dyDescent="0.4"/>
    <row r="100" spans="1:13" x14ac:dyDescent="0.35">
      <c r="B100" s="4" t="s">
        <v>119</v>
      </c>
    </row>
    <row r="101" spans="1:13" x14ac:dyDescent="0.35">
      <c r="A101" s="45" t="s">
        <v>0</v>
      </c>
      <c r="B101" s="45" t="s">
        <v>1</v>
      </c>
      <c r="C101" s="45" t="s">
        <v>2</v>
      </c>
      <c r="D101" s="45" t="s">
        <v>3</v>
      </c>
      <c r="E101" s="45" t="s">
        <v>4</v>
      </c>
      <c r="F101" s="45" t="s">
        <v>5</v>
      </c>
      <c r="G101" s="45" t="s">
        <v>6</v>
      </c>
      <c r="H101" s="45" t="s">
        <v>100</v>
      </c>
      <c r="I101" s="45" t="s">
        <v>7</v>
      </c>
      <c r="J101" s="45" t="s">
        <v>8</v>
      </c>
      <c r="K101" s="45" t="s">
        <v>9</v>
      </c>
      <c r="L101" s="45" t="s">
        <v>10</v>
      </c>
      <c r="M101" s="45" t="s">
        <v>11</v>
      </c>
    </row>
    <row r="102" spans="1:13" x14ac:dyDescent="0.35">
      <c r="A102" s="6">
        <v>117145</v>
      </c>
      <c r="B102" s="6" t="s">
        <v>109</v>
      </c>
      <c r="C102" s="6" t="s">
        <v>13</v>
      </c>
      <c r="D102" s="6">
        <v>4014</v>
      </c>
      <c r="E102" s="6" t="s">
        <v>14</v>
      </c>
      <c r="F102" s="6">
        <v>510914</v>
      </c>
      <c r="G102" s="6" t="s">
        <v>282</v>
      </c>
      <c r="H102" s="6">
        <v>2</v>
      </c>
      <c r="I102" s="6">
        <v>20211029</v>
      </c>
      <c r="J102" s="7">
        <v>44581</v>
      </c>
      <c r="K102" s="6" t="s">
        <v>244</v>
      </c>
      <c r="L102" s="6" t="s">
        <v>17</v>
      </c>
      <c r="M102" s="8">
        <v>30000</v>
      </c>
    </row>
    <row r="103" spans="1:13" x14ac:dyDescent="0.35">
      <c r="A103" s="6">
        <v>116233</v>
      </c>
      <c r="B103" s="6" t="s">
        <v>32</v>
      </c>
      <c r="C103" s="6" t="s">
        <v>13</v>
      </c>
      <c r="D103" s="6">
        <v>2023</v>
      </c>
      <c r="E103" s="6" t="s">
        <v>14</v>
      </c>
      <c r="F103" s="6">
        <v>508290</v>
      </c>
      <c r="G103" s="6" t="s">
        <v>283</v>
      </c>
      <c r="H103" s="6">
        <v>1</v>
      </c>
      <c r="I103" s="6">
        <v>20211025</v>
      </c>
      <c r="J103" s="7">
        <v>44533</v>
      </c>
      <c r="K103" s="6" t="s">
        <v>284</v>
      </c>
      <c r="L103" s="6" t="s">
        <v>17</v>
      </c>
      <c r="M103" s="8">
        <v>15000</v>
      </c>
    </row>
    <row r="104" spans="1:13" x14ac:dyDescent="0.35">
      <c r="A104" s="6">
        <v>115610</v>
      </c>
      <c r="B104" s="6" t="s">
        <v>29</v>
      </c>
      <c r="C104" s="6" t="s">
        <v>13</v>
      </c>
      <c r="D104" s="6">
        <v>243</v>
      </c>
      <c r="E104" s="6" t="s">
        <v>14</v>
      </c>
      <c r="F104" s="6">
        <v>505485</v>
      </c>
      <c r="G104" s="6" t="s">
        <v>285</v>
      </c>
      <c r="H104" s="6">
        <v>1</v>
      </c>
      <c r="I104" s="6">
        <v>20211019</v>
      </c>
      <c r="J104" s="7">
        <v>44580</v>
      </c>
      <c r="K104" s="6" t="s">
        <v>74</v>
      </c>
      <c r="L104" s="6" t="s">
        <v>17</v>
      </c>
      <c r="M104" s="8">
        <v>150000</v>
      </c>
    </row>
    <row r="105" spans="1:13" x14ac:dyDescent="0.35">
      <c r="A105" s="6">
        <v>115098</v>
      </c>
      <c r="B105" s="6" t="s">
        <v>18</v>
      </c>
      <c r="C105" s="6" t="s">
        <v>13</v>
      </c>
      <c r="D105" s="6">
        <v>4103</v>
      </c>
      <c r="E105" s="6" t="s">
        <v>14</v>
      </c>
      <c r="F105" s="6">
        <v>491919</v>
      </c>
      <c r="G105" s="6" t="s">
        <v>286</v>
      </c>
      <c r="H105" s="6">
        <v>1</v>
      </c>
      <c r="I105" s="6">
        <v>20211014</v>
      </c>
      <c r="J105" s="7">
        <v>44546</v>
      </c>
      <c r="K105" s="6" t="s">
        <v>287</v>
      </c>
      <c r="L105" s="6" t="s">
        <v>17</v>
      </c>
      <c r="M105" s="8">
        <v>80000</v>
      </c>
    </row>
    <row r="106" spans="1:13" x14ac:dyDescent="0.35">
      <c r="A106" s="6">
        <v>114605</v>
      </c>
      <c r="B106" s="6" t="s">
        <v>32</v>
      </c>
      <c r="C106" s="6" t="s">
        <v>13</v>
      </c>
      <c r="D106" s="6">
        <v>2023</v>
      </c>
      <c r="E106" s="6" t="s">
        <v>14</v>
      </c>
      <c r="F106" s="6">
        <v>342530</v>
      </c>
      <c r="G106" s="6" t="s">
        <v>288</v>
      </c>
      <c r="H106" s="6">
        <v>1</v>
      </c>
      <c r="I106" s="6">
        <v>20211008</v>
      </c>
      <c r="J106" s="7">
        <v>44515</v>
      </c>
      <c r="K106" s="6" t="s">
        <v>289</v>
      </c>
      <c r="L106" s="6" t="s">
        <v>17</v>
      </c>
      <c r="M106" s="8">
        <v>15000</v>
      </c>
    </row>
    <row r="107" spans="1:13" x14ac:dyDescent="0.35">
      <c r="A107" s="6">
        <v>114217</v>
      </c>
      <c r="B107" s="6" t="s">
        <v>58</v>
      </c>
      <c r="C107" s="6" t="s">
        <v>70</v>
      </c>
      <c r="D107" s="6">
        <v>3012</v>
      </c>
      <c r="E107" s="6" t="s">
        <v>14</v>
      </c>
      <c r="F107" s="6">
        <v>133853</v>
      </c>
      <c r="G107" s="6" t="s">
        <v>224</v>
      </c>
      <c r="H107" s="6">
        <v>8</v>
      </c>
      <c r="I107" s="6">
        <v>20211005</v>
      </c>
      <c r="J107" s="7">
        <v>44529</v>
      </c>
      <c r="K107" s="6" t="s">
        <v>290</v>
      </c>
      <c r="L107" s="6" t="s">
        <v>17</v>
      </c>
      <c r="M107" s="8">
        <v>80000</v>
      </c>
    </row>
    <row r="108" spans="1:13" x14ac:dyDescent="0.35">
      <c r="M108" s="39">
        <f>SUM(M102:M107)</f>
        <v>370000</v>
      </c>
    </row>
    <row r="109" spans="1:13" ht="15" thickBot="1" x14ac:dyDescent="0.4"/>
    <row r="110" spans="1:13" x14ac:dyDescent="0.35">
      <c r="B110" s="4" t="s">
        <v>129</v>
      </c>
    </row>
    <row r="111" spans="1:13" x14ac:dyDescent="0.35">
      <c r="A111" s="45" t="s">
        <v>0</v>
      </c>
      <c r="B111" s="45" t="s">
        <v>1</v>
      </c>
      <c r="C111" s="45" t="s">
        <v>2</v>
      </c>
      <c r="D111" s="45" t="s">
        <v>3</v>
      </c>
      <c r="E111" s="45" t="s">
        <v>4</v>
      </c>
      <c r="F111" s="45" t="s">
        <v>5</v>
      </c>
      <c r="G111" s="45" t="s">
        <v>6</v>
      </c>
      <c r="H111" s="45" t="s">
        <v>100</v>
      </c>
      <c r="I111" s="45" t="s">
        <v>7</v>
      </c>
      <c r="J111" s="45" t="s">
        <v>8</v>
      </c>
      <c r="K111" s="45" t="s">
        <v>9</v>
      </c>
      <c r="L111" s="45" t="s">
        <v>10</v>
      </c>
      <c r="M111" s="45" t="s">
        <v>11</v>
      </c>
    </row>
    <row r="112" spans="1:13" x14ac:dyDescent="0.35">
      <c r="A112" s="6">
        <v>120642</v>
      </c>
      <c r="B112" s="6" t="s">
        <v>18</v>
      </c>
      <c r="C112" s="6" t="s">
        <v>13</v>
      </c>
      <c r="D112" s="6">
        <v>4102</v>
      </c>
      <c r="E112" s="6" t="s">
        <v>14</v>
      </c>
      <c r="F112" s="6">
        <v>262328</v>
      </c>
      <c r="G112" s="6" t="s">
        <v>107</v>
      </c>
      <c r="H112" s="6">
        <v>4</v>
      </c>
      <c r="I112" s="6">
        <v>20211125</v>
      </c>
      <c r="J112" s="7">
        <v>44617</v>
      </c>
      <c r="K112" s="6" t="s">
        <v>291</v>
      </c>
      <c r="L112" s="6" t="s">
        <v>17</v>
      </c>
      <c r="M112" s="8">
        <v>50000</v>
      </c>
    </row>
    <row r="113" spans="1:13" x14ac:dyDescent="0.35">
      <c r="A113" s="6">
        <v>120117</v>
      </c>
      <c r="B113" s="6" t="s">
        <v>29</v>
      </c>
      <c r="C113" s="6" t="s">
        <v>13</v>
      </c>
      <c r="D113" s="6">
        <v>243</v>
      </c>
      <c r="E113" s="6" t="s">
        <v>14</v>
      </c>
      <c r="F113" s="6">
        <v>411726</v>
      </c>
      <c r="G113" s="6" t="s">
        <v>234</v>
      </c>
      <c r="H113" s="6">
        <v>3</v>
      </c>
      <c r="I113" s="6">
        <v>20211123</v>
      </c>
      <c r="J113" s="7">
        <v>44615</v>
      </c>
      <c r="K113" s="6" t="s">
        <v>218</v>
      </c>
      <c r="L113" s="6" t="s">
        <v>17</v>
      </c>
      <c r="M113" s="8">
        <v>80000</v>
      </c>
    </row>
    <row r="114" spans="1:13" x14ac:dyDescent="0.35">
      <c r="A114" s="6">
        <v>119224</v>
      </c>
      <c r="B114" s="6" t="s">
        <v>44</v>
      </c>
      <c r="C114" s="6" t="s">
        <v>70</v>
      </c>
      <c r="D114" s="6">
        <v>510</v>
      </c>
      <c r="E114" s="6" t="s">
        <v>14</v>
      </c>
      <c r="F114" s="6">
        <v>281481</v>
      </c>
      <c r="G114" s="6" t="s">
        <v>292</v>
      </c>
      <c r="H114" s="6">
        <v>2</v>
      </c>
      <c r="I114" s="6">
        <v>20211116</v>
      </c>
      <c r="J114" s="7">
        <v>44595</v>
      </c>
      <c r="K114" s="6" t="s">
        <v>293</v>
      </c>
      <c r="L114" s="6" t="s">
        <v>17</v>
      </c>
      <c r="M114" s="8">
        <v>70000</v>
      </c>
    </row>
    <row r="115" spans="1:13" x14ac:dyDescent="0.35">
      <c r="A115" s="6">
        <v>119028</v>
      </c>
      <c r="B115" s="6" t="s">
        <v>29</v>
      </c>
      <c r="C115" s="6" t="s">
        <v>70</v>
      </c>
      <c r="D115" s="6">
        <v>243</v>
      </c>
      <c r="E115" s="6" t="s">
        <v>14</v>
      </c>
      <c r="F115" s="6">
        <v>345379</v>
      </c>
      <c r="G115" s="6" t="s">
        <v>294</v>
      </c>
      <c r="H115" s="6">
        <v>1</v>
      </c>
      <c r="I115" s="6">
        <v>20211115</v>
      </c>
      <c r="J115" s="7">
        <v>44582</v>
      </c>
      <c r="K115" s="6" t="s">
        <v>295</v>
      </c>
      <c r="L115" s="6" t="s">
        <v>17</v>
      </c>
      <c r="M115" s="8">
        <v>60000</v>
      </c>
    </row>
    <row r="116" spans="1:13" x14ac:dyDescent="0.35">
      <c r="A116" s="6">
        <v>119131</v>
      </c>
      <c r="B116" s="6" t="s">
        <v>32</v>
      </c>
      <c r="C116" s="6" t="s">
        <v>13</v>
      </c>
      <c r="D116" s="6">
        <v>2002</v>
      </c>
      <c r="E116" s="6" t="s">
        <v>14</v>
      </c>
      <c r="F116" s="6">
        <v>513975</v>
      </c>
      <c r="G116" s="6" t="s">
        <v>296</v>
      </c>
      <c r="H116" s="6">
        <v>1</v>
      </c>
      <c r="I116" s="6">
        <v>20211115</v>
      </c>
      <c r="J116" s="7">
        <v>44581</v>
      </c>
      <c r="K116" s="6" t="s">
        <v>297</v>
      </c>
      <c r="L116" s="6" t="s">
        <v>17</v>
      </c>
      <c r="M116" s="8">
        <v>40000</v>
      </c>
    </row>
    <row r="117" spans="1:13" x14ac:dyDescent="0.35">
      <c r="A117" s="6">
        <v>118464</v>
      </c>
      <c r="B117" s="6" t="s">
        <v>29</v>
      </c>
      <c r="C117" s="6" t="s">
        <v>13</v>
      </c>
      <c r="D117" s="6">
        <v>238</v>
      </c>
      <c r="E117" s="6" t="s">
        <v>14</v>
      </c>
      <c r="F117" s="6">
        <v>504353</v>
      </c>
      <c r="G117" s="6" t="s">
        <v>298</v>
      </c>
      <c r="H117" s="6">
        <v>1</v>
      </c>
      <c r="I117" s="6">
        <v>20211110</v>
      </c>
      <c r="J117" s="7">
        <v>44571</v>
      </c>
      <c r="K117" s="6" t="s">
        <v>196</v>
      </c>
      <c r="L117" s="6" t="s">
        <v>17</v>
      </c>
      <c r="M117" s="8">
        <v>80000</v>
      </c>
    </row>
    <row r="118" spans="1:13" x14ac:dyDescent="0.35">
      <c r="A118" s="6">
        <v>118541</v>
      </c>
      <c r="B118" s="6" t="s">
        <v>29</v>
      </c>
      <c r="C118" s="6" t="s">
        <v>13</v>
      </c>
      <c r="D118" s="6">
        <v>217</v>
      </c>
      <c r="E118" s="6" t="s">
        <v>14</v>
      </c>
      <c r="F118" s="6">
        <v>500031</v>
      </c>
      <c r="G118" s="6" t="s">
        <v>262</v>
      </c>
      <c r="H118" s="6">
        <v>2</v>
      </c>
      <c r="I118" s="6">
        <v>20211110</v>
      </c>
      <c r="J118" s="7">
        <v>44612</v>
      </c>
      <c r="K118" s="6" t="s">
        <v>299</v>
      </c>
      <c r="L118" s="6" t="s">
        <v>17</v>
      </c>
      <c r="M118" s="8">
        <v>100000</v>
      </c>
    </row>
    <row r="119" spans="1:13" x14ac:dyDescent="0.35">
      <c r="A119" s="6">
        <v>118394</v>
      </c>
      <c r="B119" s="6" t="s">
        <v>49</v>
      </c>
      <c r="C119" s="6" t="s">
        <v>13</v>
      </c>
      <c r="D119" s="6">
        <v>3110</v>
      </c>
      <c r="E119" s="6" t="s">
        <v>14</v>
      </c>
      <c r="F119" s="6">
        <v>257839</v>
      </c>
      <c r="G119" s="6" t="s">
        <v>95</v>
      </c>
      <c r="H119" s="6">
        <v>10</v>
      </c>
      <c r="I119" s="6">
        <v>20211109</v>
      </c>
      <c r="J119" s="7">
        <v>44588</v>
      </c>
      <c r="K119" s="6" t="s">
        <v>293</v>
      </c>
      <c r="L119" s="6" t="s">
        <v>17</v>
      </c>
      <c r="M119" s="8">
        <v>100000</v>
      </c>
    </row>
    <row r="120" spans="1:13" x14ac:dyDescent="0.35">
      <c r="A120" s="6">
        <v>117840</v>
      </c>
      <c r="B120" s="6" t="s">
        <v>21</v>
      </c>
      <c r="C120" s="6" t="s">
        <v>13</v>
      </c>
      <c r="D120" s="6">
        <v>1302</v>
      </c>
      <c r="E120" s="6" t="s">
        <v>14</v>
      </c>
      <c r="F120" s="6">
        <v>183613</v>
      </c>
      <c r="G120" s="6" t="s">
        <v>67</v>
      </c>
      <c r="H120" s="6">
        <v>6</v>
      </c>
      <c r="I120" s="6">
        <v>20211103</v>
      </c>
      <c r="J120" s="7">
        <v>44581</v>
      </c>
      <c r="K120" s="6" t="s">
        <v>300</v>
      </c>
      <c r="L120" s="6" t="s">
        <v>17</v>
      </c>
      <c r="M120" s="8">
        <v>10000</v>
      </c>
    </row>
    <row r="121" spans="1:13" x14ac:dyDescent="0.35">
      <c r="M121" s="39">
        <f>SUM(M112:M120)</f>
        <v>590000</v>
      </c>
    </row>
    <row r="122" spans="1:13" ht="15" thickBot="1" x14ac:dyDescent="0.4"/>
    <row r="123" spans="1:13" x14ac:dyDescent="0.35">
      <c r="B123" s="4" t="s">
        <v>137</v>
      </c>
    </row>
    <row r="124" spans="1:13" x14ac:dyDescent="0.35">
      <c r="A124" s="45" t="s">
        <v>0</v>
      </c>
      <c r="B124" s="45" t="s">
        <v>1</v>
      </c>
      <c r="C124" s="45" t="s">
        <v>2</v>
      </c>
      <c r="D124" s="45" t="s">
        <v>3</v>
      </c>
      <c r="E124" s="45" t="s">
        <v>4</v>
      </c>
      <c r="F124" s="45" t="s">
        <v>5</v>
      </c>
      <c r="G124" s="45" t="s">
        <v>6</v>
      </c>
      <c r="H124" s="45" t="s">
        <v>100</v>
      </c>
      <c r="I124" s="45" t="s">
        <v>7</v>
      </c>
      <c r="J124" s="45" t="s">
        <v>8</v>
      </c>
      <c r="K124" s="45" t="s">
        <v>9</v>
      </c>
      <c r="L124" s="45" t="s">
        <v>10</v>
      </c>
      <c r="M124" s="45" t="s">
        <v>11</v>
      </c>
    </row>
    <row r="125" spans="1:13" x14ac:dyDescent="0.35">
      <c r="A125" s="6">
        <v>124663</v>
      </c>
      <c r="B125" s="6" t="s">
        <v>29</v>
      </c>
      <c r="C125" s="6" t="s">
        <v>13</v>
      </c>
      <c r="D125" s="6">
        <v>240</v>
      </c>
      <c r="E125" s="6" t="s">
        <v>14</v>
      </c>
      <c r="F125" s="6">
        <v>399646</v>
      </c>
      <c r="G125" s="6" t="s">
        <v>170</v>
      </c>
      <c r="H125" s="6">
        <v>2</v>
      </c>
      <c r="I125" s="6">
        <v>20211224</v>
      </c>
      <c r="J125" s="7">
        <v>44645</v>
      </c>
      <c r="K125" s="6" t="s">
        <v>301</v>
      </c>
      <c r="L125" s="6" t="s">
        <v>17</v>
      </c>
      <c r="M125" s="8">
        <v>20000</v>
      </c>
    </row>
    <row r="126" spans="1:13" x14ac:dyDescent="0.35">
      <c r="A126" s="6">
        <v>124754</v>
      </c>
      <c r="B126" s="6" t="s">
        <v>44</v>
      </c>
      <c r="C126" s="6" t="s">
        <v>13</v>
      </c>
      <c r="D126" s="6">
        <v>510</v>
      </c>
      <c r="E126" s="6" t="s">
        <v>14</v>
      </c>
      <c r="F126" s="6">
        <v>303658</v>
      </c>
      <c r="G126" s="6" t="s">
        <v>302</v>
      </c>
      <c r="H126" s="6">
        <v>4</v>
      </c>
      <c r="I126" s="6">
        <v>20211224</v>
      </c>
      <c r="J126" s="7">
        <v>44634</v>
      </c>
      <c r="K126" s="6" t="s">
        <v>303</v>
      </c>
      <c r="L126" s="6" t="s">
        <v>17</v>
      </c>
      <c r="M126" s="8">
        <v>10000</v>
      </c>
    </row>
    <row r="127" spans="1:13" x14ac:dyDescent="0.35">
      <c r="A127" s="6">
        <v>124594</v>
      </c>
      <c r="B127" s="6" t="s">
        <v>29</v>
      </c>
      <c r="C127" s="6" t="s">
        <v>13</v>
      </c>
      <c r="D127" s="6">
        <v>238</v>
      </c>
      <c r="E127" s="6" t="s">
        <v>14</v>
      </c>
      <c r="F127" s="6">
        <v>272663</v>
      </c>
      <c r="G127" s="6" t="s">
        <v>177</v>
      </c>
      <c r="H127" s="6">
        <v>7</v>
      </c>
      <c r="I127" s="6">
        <v>20211223</v>
      </c>
      <c r="J127" s="7">
        <v>44600</v>
      </c>
      <c r="K127" s="6" t="s">
        <v>213</v>
      </c>
      <c r="L127" s="6" t="s">
        <v>17</v>
      </c>
      <c r="M127" s="8">
        <v>10000</v>
      </c>
    </row>
    <row r="128" spans="1:13" x14ac:dyDescent="0.35">
      <c r="A128" s="6">
        <v>123823</v>
      </c>
      <c r="B128" s="6" t="s">
        <v>29</v>
      </c>
      <c r="C128" s="6" t="s">
        <v>13</v>
      </c>
      <c r="D128" s="6">
        <v>211</v>
      </c>
      <c r="E128" s="6" t="s">
        <v>14</v>
      </c>
      <c r="F128" s="6">
        <v>482270</v>
      </c>
      <c r="G128" s="6" t="s">
        <v>216</v>
      </c>
      <c r="H128" s="6">
        <v>2</v>
      </c>
      <c r="I128" s="6">
        <v>20211217</v>
      </c>
      <c r="J128" s="7">
        <v>44655</v>
      </c>
      <c r="K128" s="6" t="s">
        <v>304</v>
      </c>
      <c r="L128" s="6" t="s">
        <v>17</v>
      </c>
      <c r="M128" s="8">
        <v>150000</v>
      </c>
    </row>
    <row r="129" spans="1:13" x14ac:dyDescent="0.35">
      <c r="A129" s="6">
        <v>123362</v>
      </c>
      <c r="B129" s="6" t="s">
        <v>29</v>
      </c>
      <c r="C129" s="6" t="s">
        <v>13</v>
      </c>
      <c r="D129" s="6">
        <v>209</v>
      </c>
      <c r="E129" s="6" t="s">
        <v>14</v>
      </c>
      <c r="F129" s="6">
        <v>323534</v>
      </c>
      <c r="G129" s="6" t="s">
        <v>305</v>
      </c>
      <c r="H129" s="6">
        <v>3</v>
      </c>
      <c r="I129" s="6">
        <v>20211215</v>
      </c>
      <c r="J129" s="7">
        <v>44635</v>
      </c>
      <c r="K129" s="6" t="s">
        <v>306</v>
      </c>
      <c r="L129" s="6" t="s">
        <v>17</v>
      </c>
      <c r="M129" s="8">
        <v>30000</v>
      </c>
    </row>
    <row r="130" spans="1:13" x14ac:dyDescent="0.35">
      <c r="A130" s="6">
        <v>122443</v>
      </c>
      <c r="B130" s="6" t="s">
        <v>109</v>
      </c>
      <c r="C130" s="6" t="s">
        <v>13</v>
      </c>
      <c r="D130" s="6">
        <v>4014</v>
      </c>
      <c r="E130" s="6" t="s">
        <v>14</v>
      </c>
      <c r="F130" s="6">
        <v>516856</v>
      </c>
      <c r="G130" s="6" t="s">
        <v>307</v>
      </c>
      <c r="H130" s="6">
        <v>2</v>
      </c>
      <c r="I130" s="6">
        <v>20211208</v>
      </c>
      <c r="J130" s="7">
        <v>44671</v>
      </c>
      <c r="K130" s="6" t="s">
        <v>308</v>
      </c>
      <c r="L130" s="6" t="s">
        <v>17</v>
      </c>
      <c r="M130" s="8">
        <v>20000</v>
      </c>
    </row>
    <row r="131" spans="1:13" x14ac:dyDescent="0.35">
      <c r="A131" s="6">
        <v>122269</v>
      </c>
      <c r="B131" s="6" t="s">
        <v>29</v>
      </c>
      <c r="C131" s="6" t="s">
        <v>13</v>
      </c>
      <c r="D131" s="6">
        <v>244</v>
      </c>
      <c r="E131" s="6" t="s">
        <v>14</v>
      </c>
      <c r="F131" s="6">
        <v>502465</v>
      </c>
      <c r="G131" s="6" t="s">
        <v>309</v>
      </c>
      <c r="H131" s="6">
        <v>1</v>
      </c>
      <c r="I131" s="6">
        <v>20211207</v>
      </c>
      <c r="J131" s="7">
        <v>44630</v>
      </c>
      <c r="K131" s="6" t="s">
        <v>310</v>
      </c>
      <c r="L131" s="6" t="s">
        <v>17</v>
      </c>
      <c r="M131" s="8">
        <v>80000</v>
      </c>
    </row>
    <row r="132" spans="1:13" x14ac:dyDescent="0.35">
      <c r="A132" s="6">
        <v>122028</v>
      </c>
      <c r="B132" s="6" t="s">
        <v>29</v>
      </c>
      <c r="C132" s="6" t="s">
        <v>13</v>
      </c>
      <c r="D132" s="6">
        <v>238</v>
      </c>
      <c r="E132" s="6" t="s">
        <v>14</v>
      </c>
      <c r="F132" s="6">
        <v>512612</v>
      </c>
      <c r="G132" s="6" t="s">
        <v>311</v>
      </c>
      <c r="H132" s="6">
        <v>1</v>
      </c>
      <c r="I132" s="6">
        <v>20211206</v>
      </c>
      <c r="J132" s="7">
        <v>44571</v>
      </c>
      <c r="K132" s="6" t="s">
        <v>312</v>
      </c>
      <c r="L132" s="6" t="s">
        <v>17</v>
      </c>
      <c r="M132" s="8">
        <v>15000</v>
      </c>
    </row>
    <row r="133" spans="1:13" x14ac:dyDescent="0.35">
      <c r="A133" s="6">
        <v>121963</v>
      </c>
      <c r="B133" s="6" t="s">
        <v>109</v>
      </c>
      <c r="C133" s="6" t="s">
        <v>13</v>
      </c>
      <c r="D133" s="6">
        <v>4014</v>
      </c>
      <c r="E133" s="6" t="s">
        <v>14</v>
      </c>
      <c r="F133" s="6">
        <v>512548</v>
      </c>
      <c r="G133" s="6" t="s">
        <v>313</v>
      </c>
      <c r="H133" s="6">
        <v>2</v>
      </c>
      <c r="I133" s="6">
        <v>20211202</v>
      </c>
      <c r="J133" s="7">
        <v>44614</v>
      </c>
      <c r="K133" s="6" t="s">
        <v>314</v>
      </c>
      <c r="L133" s="6" t="s">
        <v>17</v>
      </c>
      <c r="M133" s="8">
        <v>40000</v>
      </c>
    </row>
    <row r="134" spans="1:13" x14ac:dyDescent="0.35">
      <c r="M134" s="39">
        <f>SUM(M125:M133)</f>
        <v>375000</v>
      </c>
    </row>
  </sheetData>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5CEB-C50C-4940-A895-290F44F2F6FF}">
  <sheetPr codeName="Sheet4"/>
  <dimension ref="A1:M158"/>
  <sheetViews>
    <sheetView topLeftCell="A93" zoomScale="90" zoomScaleNormal="90" workbookViewId="0">
      <selection activeCell="C110" sqref="C110"/>
    </sheetView>
  </sheetViews>
  <sheetFormatPr defaultColWidth="8.7265625" defaultRowHeight="14.5" x14ac:dyDescent="0.35"/>
  <cols>
    <col min="1" max="1" width="9.54296875" customWidth="1"/>
    <col min="2" max="2" width="18.1796875" bestFit="1" customWidth="1"/>
    <col min="3" max="3" width="14.1796875" bestFit="1" customWidth="1"/>
    <col min="5" max="5" width="22.81640625" customWidth="1"/>
    <col min="7" max="7" width="34.81640625" customWidth="1"/>
    <col min="8" max="8" width="7" customWidth="1"/>
    <col min="9" max="9" width="12.1796875" bestFit="1" customWidth="1"/>
    <col min="10" max="10" width="16.54296875" style="105" bestFit="1" customWidth="1"/>
    <col min="13" max="13" width="12.7265625" bestFit="1" customWidth="1"/>
  </cols>
  <sheetData>
    <row r="1" spans="1:13" ht="15" thickBot="1" x14ac:dyDescent="0.4"/>
    <row r="2" spans="1:13" x14ac:dyDescent="0.35">
      <c r="B2" s="4" t="s">
        <v>147</v>
      </c>
    </row>
    <row r="3" spans="1:13" x14ac:dyDescent="0.35">
      <c r="A3" s="5" t="s">
        <v>0</v>
      </c>
      <c r="B3" s="5" t="s">
        <v>1</v>
      </c>
      <c r="C3" s="5" t="s">
        <v>2</v>
      </c>
      <c r="D3" s="5" t="s">
        <v>3</v>
      </c>
      <c r="E3" s="5" t="s">
        <v>4</v>
      </c>
      <c r="F3" s="5" t="s">
        <v>5</v>
      </c>
      <c r="G3" s="5" t="s">
        <v>6</v>
      </c>
      <c r="H3" s="5" t="s">
        <v>100</v>
      </c>
      <c r="I3" s="5" t="s">
        <v>7</v>
      </c>
      <c r="J3" s="107" t="s">
        <v>8</v>
      </c>
      <c r="K3" s="5" t="s">
        <v>9</v>
      </c>
      <c r="L3" s="5" t="s">
        <v>10</v>
      </c>
      <c r="M3" s="5" t="s">
        <v>11</v>
      </c>
    </row>
    <row r="4" spans="1:13" x14ac:dyDescent="0.35">
      <c r="A4" s="6">
        <v>127068</v>
      </c>
      <c r="B4" s="6" t="s">
        <v>21</v>
      </c>
      <c r="C4" s="6" t="s">
        <v>70</v>
      </c>
      <c r="D4" s="6">
        <v>1301</v>
      </c>
      <c r="E4" s="6" t="s">
        <v>14</v>
      </c>
      <c r="F4" s="6">
        <v>509501</v>
      </c>
      <c r="G4" s="6" t="s">
        <v>315</v>
      </c>
      <c r="H4" s="6">
        <v>4</v>
      </c>
      <c r="I4" s="6">
        <v>20220131</v>
      </c>
      <c r="J4" s="106">
        <v>44635</v>
      </c>
      <c r="K4" s="6" t="s">
        <v>54</v>
      </c>
      <c r="L4" s="6" t="s">
        <v>17</v>
      </c>
      <c r="M4" s="8">
        <v>80000</v>
      </c>
    </row>
    <row r="5" spans="1:13" x14ac:dyDescent="0.35">
      <c r="A5" s="6">
        <v>126699</v>
      </c>
      <c r="B5" s="6" t="s">
        <v>58</v>
      </c>
      <c r="C5" s="6" t="s">
        <v>13</v>
      </c>
      <c r="D5" s="6">
        <v>3016</v>
      </c>
      <c r="E5" s="6" t="s">
        <v>14</v>
      </c>
      <c r="F5" s="6">
        <v>382075</v>
      </c>
      <c r="G5" s="6" t="s">
        <v>316</v>
      </c>
      <c r="H5" s="58">
        <v>1</v>
      </c>
      <c r="I5" s="6">
        <v>20220126</v>
      </c>
      <c r="J5" s="106">
        <v>44657</v>
      </c>
      <c r="K5" s="6" t="s">
        <v>153</v>
      </c>
      <c r="L5" s="6" t="s">
        <v>17</v>
      </c>
      <c r="M5" s="112">
        <v>80000</v>
      </c>
    </row>
    <row r="6" spans="1:13" x14ac:dyDescent="0.35">
      <c r="A6" s="6">
        <v>125648</v>
      </c>
      <c r="B6" s="6" t="s">
        <v>44</v>
      </c>
      <c r="C6" s="6" t="s">
        <v>22</v>
      </c>
      <c r="D6" s="6">
        <v>511</v>
      </c>
      <c r="E6" s="6" t="s">
        <v>14</v>
      </c>
      <c r="F6" s="6">
        <v>520714</v>
      </c>
      <c r="G6" s="6" t="s">
        <v>317</v>
      </c>
      <c r="H6" s="58">
        <v>1</v>
      </c>
      <c r="I6" s="6">
        <v>20220114</v>
      </c>
      <c r="J6" s="106">
        <v>44621</v>
      </c>
      <c r="K6" s="6" t="s">
        <v>318</v>
      </c>
      <c r="L6" s="6" t="s">
        <v>17</v>
      </c>
      <c r="M6" s="112">
        <v>10000</v>
      </c>
    </row>
    <row r="7" spans="1:13" x14ac:dyDescent="0.35">
      <c r="A7" s="6">
        <v>125309</v>
      </c>
      <c r="B7" s="6" t="s">
        <v>148</v>
      </c>
      <c r="C7" s="6" t="s">
        <v>13</v>
      </c>
      <c r="D7" s="6">
        <v>3510</v>
      </c>
      <c r="E7" s="6" t="s">
        <v>14</v>
      </c>
      <c r="F7" s="6">
        <v>520043</v>
      </c>
      <c r="G7" s="6" t="s">
        <v>161</v>
      </c>
      <c r="H7" s="6">
        <v>5</v>
      </c>
      <c r="I7" s="6">
        <v>20220111</v>
      </c>
      <c r="J7" s="106">
        <v>44648</v>
      </c>
      <c r="K7" s="6" t="s">
        <v>319</v>
      </c>
      <c r="L7" s="6" t="s">
        <v>17</v>
      </c>
      <c r="M7" s="8">
        <v>50000</v>
      </c>
    </row>
    <row r="8" spans="1:13" x14ac:dyDescent="0.35">
      <c r="A8" s="6">
        <v>124279</v>
      </c>
      <c r="B8" s="6" t="s">
        <v>29</v>
      </c>
      <c r="C8" s="6" t="s">
        <v>13</v>
      </c>
      <c r="D8" s="6">
        <v>229</v>
      </c>
      <c r="E8" s="6" t="s">
        <v>14</v>
      </c>
      <c r="F8" s="6">
        <v>501604</v>
      </c>
      <c r="G8" s="6" t="s">
        <v>320</v>
      </c>
      <c r="H8" s="58">
        <v>1</v>
      </c>
      <c r="I8" s="6">
        <v>20220121</v>
      </c>
      <c r="J8" s="106">
        <v>44612</v>
      </c>
      <c r="K8" s="6" t="s">
        <v>321</v>
      </c>
      <c r="L8" s="6" t="s">
        <v>17</v>
      </c>
      <c r="M8" s="112">
        <v>60000</v>
      </c>
    </row>
    <row r="9" spans="1:13" x14ac:dyDescent="0.35">
      <c r="M9" s="39">
        <f>SUM(M4:M8)</f>
        <v>280000</v>
      </c>
    </row>
    <row r="10" spans="1:13" ht="15" thickBot="1" x14ac:dyDescent="0.4"/>
    <row r="11" spans="1:13" x14ac:dyDescent="0.35">
      <c r="B11" s="4" t="s">
        <v>46</v>
      </c>
    </row>
    <row r="12" spans="1:13" x14ac:dyDescent="0.35">
      <c r="A12" s="5" t="s">
        <v>0</v>
      </c>
      <c r="B12" s="5" t="s">
        <v>1</v>
      </c>
      <c r="C12" s="5" t="s">
        <v>2</v>
      </c>
      <c r="D12" s="5" t="s">
        <v>3</v>
      </c>
      <c r="E12" s="5" t="s">
        <v>4</v>
      </c>
      <c r="F12" s="5" t="s">
        <v>5</v>
      </c>
      <c r="G12" s="5" t="s">
        <v>6</v>
      </c>
      <c r="H12" s="5" t="s">
        <v>100</v>
      </c>
      <c r="I12" s="5" t="s">
        <v>7</v>
      </c>
      <c r="J12" s="107" t="s">
        <v>8</v>
      </c>
      <c r="K12" s="5" t="s">
        <v>9</v>
      </c>
      <c r="L12" s="5" t="s">
        <v>10</v>
      </c>
      <c r="M12" s="5" t="s">
        <v>11</v>
      </c>
    </row>
    <row r="13" spans="1:13" x14ac:dyDescent="0.35">
      <c r="A13" s="6">
        <v>130058</v>
      </c>
      <c r="B13" s="6" t="s">
        <v>29</v>
      </c>
      <c r="C13" s="6" t="s">
        <v>13</v>
      </c>
      <c r="D13" s="6">
        <v>211</v>
      </c>
      <c r="E13" s="6" t="s">
        <v>14</v>
      </c>
      <c r="F13" s="6">
        <v>489862</v>
      </c>
      <c r="G13" s="41" t="s">
        <v>322</v>
      </c>
      <c r="H13" s="58">
        <v>1</v>
      </c>
      <c r="I13" s="6">
        <v>20220225</v>
      </c>
      <c r="J13" s="106">
        <v>44683</v>
      </c>
      <c r="K13" s="6" t="s">
        <v>323</v>
      </c>
      <c r="L13" s="6" t="s">
        <v>17</v>
      </c>
      <c r="M13" s="112">
        <v>30000</v>
      </c>
    </row>
    <row r="14" spans="1:13" x14ac:dyDescent="0.35">
      <c r="A14" s="6">
        <v>127894</v>
      </c>
      <c r="B14" s="6" t="s">
        <v>29</v>
      </c>
      <c r="C14" s="6" t="s">
        <v>13</v>
      </c>
      <c r="D14" s="6">
        <v>238</v>
      </c>
      <c r="E14" s="6" t="s">
        <v>14</v>
      </c>
      <c r="F14" s="6">
        <v>496958</v>
      </c>
      <c r="G14" s="41" t="s">
        <v>324</v>
      </c>
      <c r="H14" s="58">
        <v>1</v>
      </c>
      <c r="I14" s="6">
        <v>20220207</v>
      </c>
      <c r="J14" s="106">
        <v>44643</v>
      </c>
      <c r="K14" s="6" t="s">
        <v>325</v>
      </c>
      <c r="L14" s="6" t="s">
        <v>17</v>
      </c>
      <c r="M14" s="112">
        <v>40000</v>
      </c>
    </row>
    <row r="15" spans="1:13" x14ac:dyDescent="0.35">
      <c r="A15" s="6">
        <v>127907</v>
      </c>
      <c r="B15" s="6" t="s">
        <v>29</v>
      </c>
      <c r="C15" s="6" t="s">
        <v>13</v>
      </c>
      <c r="D15" s="6">
        <v>238</v>
      </c>
      <c r="E15" s="6" t="s">
        <v>14</v>
      </c>
      <c r="F15" s="6">
        <v>419576</v>
      </c>
      <c r="G15" s="41" t="s">
        <v>154</v>
      </c>
      <c r="H15" s="6">
        <v>2</v>
      </c>
      <c r="I15" s="6">
        <v>20220207</v>
      </c>
      <c r="J15" s="106">
        <v>44643</v>
      </c>
      <c r="K15" s="6" t="s">
        <v>325</v>
      </c>
      <c r="L15" s="6" t="s">
        <v>17</v>
      </c>
      <c r="M15" s="8">
        <v>30000</v>
      </c>
    </row>
    <row r="16" spans="1:13" x14ac:dyDescent="0.35">
      <c r="A16" s="6">
        <v>127381</v>
      </c>
      <c r="B16" s="6" t="s">
        <v>58</v>
      </c>
      <c r="C16" s="6" t="s">
        <v>13</v>
      </c>
      <c r="D16" s="6">
        <v>3012</v>
      </c>
      <c r="E16" s="6" t="s">
        <v>14</v>
      </c>
      <c r="F16" s="6">
        <v>155484</v>
      </c>
      <c r="G16" s="41" t="s">
        <v>326</v>
      </c>
      <c r="H16" s="58">
        <v>1</v>
      </c>
      <c r="I16" s="6">
        <v>20220202</v>
      </c>
      <c r="J16" s="106">
        <v>44679</v>
      </c>
      <c r="K16" s="6" t="s">
        <v>327</v>
      </c>
      <c r="L16" s="6" t="s">
        <v>17</v>
      </c>
      <c r="M16" s="112">
        <v>70000</v>
      </c>
    </row>
    <row r="17" spans="1:13" x14ac:dyDescent="0.35">
      <c r="M17" s="39">
        <f>SUM(M13:M16)</f>
        <v>170000</v>
      </c>
    </row>
    <row r="18" spans="1:13" ht="15" thickBot="1" x14ac:dyDescent="0.4"/>
    <row r="19" spans="1:13" x14ac:dyDescent="0.35">
      <c r="B19" s="4" t="s">
        <v>52</v>
      </c>
    </row>
    <row r="20" spans="1:13" x14ac:dyDescent="0.35">
      <c r="A20" s="5" t="s">
        <v>0</v>
      </c>
      <c r="B20" s="5" t="s">
        <v>1</v>
      </c>
      <c r="C20" s="5" t="s">
        <v>2</v>
      </c>
      <c r="D20" s="5" t="s">
        <v>3</v>
      </c>
      <c r="E20" s="5" t="s">
        <v>4</v>
      </c>
      <c r="F20" s="5" t="s">
        <v>5</v>
      </c>
      <c r="G20" s="5" t="s">
        <v>6</v>
      </c>
      <c r="H20" s="5" t="s">
        <v>100</v>
      </c>
      <c r="I20" s="5" t="s">
        <v>7</v>
      </c>
      <c r="J20" s="107" t="s">
        <v>8</v>
      </c>
      <c r="K20" s="5" t="s">
        <v>9</v>
      </c>
      <c r="L20" s="5" t="s">
        <v>10</v>
      </c>
      <c r="M20" s="5" t="s">
        <v>11</v>
      </c>
    </row>
    <row r="21" spans="1:13" x14ac:dyDescent="0.35">
      <c r="A21" s="6">
        <v>134111</v>
      </c>
      <c r="B21" s="6" t="s">
        <v>32</v>
      </c>
      <c r="C21" s="6" t="s">
        <v>70</v>
      </c>
      <c r="D21" s="6">
        <v>2002</v>
      </c>
      <c r="E21" s="6" t="s">
        <v>14</v>
      </c>
      <c r="F21" s="6">
        <v>530633</v>
      </c>
      <c r="G21" s="6" t="s">
        <v>328</v>
      </c>
      <c r="H21" s="6">
        <v>2</v>
      </c>
      <c r="I21" s="6">
        <v>20220331</v>
      </c>
      <c r="J21" s="106">
        <v>44693</v>
      </c>
      <c r="K21" s="6" t="s">
        <v>252</v>
      </c>
      <c r="L21" s="6" t="s">
        <v>17</v>
      </c>
      <c r="M21" s="48">
        <v>50000</v>
      </c>
    </row>
    <row r="22" spans="1:13" x14ac:dyDescent="0.35">
      <c r="A22" s="6">
        <v>133402</v>
      </c>
      <c r="B22" s="6" t="s">
        <v>44</v>
      </c>
      <c r="C22" s="6" t="s">
        <v>13</v>
      </c>
      <c r="D22" s="6">
        <v>510</v>
      </c>
      <c r="E22" s="6" t="s">
        <v>14</v>
      </c>
      <c r="F22" s="6">
        <v>326694</v>
      </c>
      <c r="G22" s="6" t="s">
        <v>329</v>
      </c>
      <c r="H22" s="6">
        <v>3</v>
      </c>
      <c r="I22" s="6">
        <v>20220328</v>
      </c>
      <c r="J22" s="106">
        <v>44727</v>
      </c>
      <c r="K22" s="6" t="s">
        <v>330</v>
      </c>
      <c r="L22" s="6" t="s">
        <v>17</v>
      </c>
      <c r="M22" s="48">
        <v>70000</v>
      </c>
    </row>
    <row r="23" spans="1:13" x14ac:dyDescent="0.35">
      <c r="A23" s="6">
        <v>132638</v>
      </c>
      <c r="B23" s="6" t="s">
        <v>29</v>
      </c>
      <c r="C23" s="6" t="s">
        <v>13</v>
      </c>
      <c r="D23" s="6">
        <v>211</v>
      </c>
      <c r="E23" s="6" t="s">
        <v>14</v>
      </c>
      <c r="F23" s="6">
        <v>479196</v>
      </c>
      <c r="G23" s="6" t="s">
        <v>251</v>
      </c>
      <c r="H23" s="6">
        <v>2</v>
      </c>
      <c r="I23" s="6">
        <v>20220322</v>
      </c>
      <c r="J23" s="106">
        <v>44704</v>
      </c>
      <c r="K23" s="6" t="s">
        <v>242</v>
      </c>
      <c r="L23" s="6" t="s">
        <v>17</v>
      </c>
      <c r="M23" s="48">
        <v>100000</v>
      </c>
    </row>
    <row r="24" spans="1:13" x14ac:dyDescent="0.35">
      <c r="A24" s="6">
        <v>132861</v>
      </c>
      <c r="B24" s="6" t="s">
        <v>109</v>
      </c>
      <c r="C24" s="6" t="s">
        <v>70</v>
      </c>
      <c r="D24" s="6">
        <v>4014</v>
      </c>
      <c r="E24" s="6" t="s">
        <v>14</v>
      </c>
      <c r="F24" s="6">
        <v>331057</v>
      </c>
      <c r="G24" s="6" t="s">
        <v>331</v>
      </c>
      <c r="H24" s="6">
        <v>4</v>
      </c>
      <c r="I24" s="6">
        <v>20220322</v>
      </c>
      <c r="J24" s="106">
        <v>44733</v>
      </c>
      <c r="K24" s="6" t="s">
        <v>218</v>
      </c>
      <c r="L24" s="6" t="s">
        <v>17</v>
      </c>
      <c r="M24" s="48">
        <v>50000</v>
      </c>
    </row>
    <row r="25" spans="1:13" x14ac:dyDescent="0.35">
      <c r="A25" s="6">
        <v>132097</v>
      </c>
      <c r="B25" s="6" t="s">
        <v>18</v>
      </c>
      <c r="C25" s="6" t="s">
        <v>13</v>
      </c>
      <c r="D25" s="6">
        <v>4102</v>
      </c>
      <c r="E25" s="6" t="s">
        <v>14</v>
      </c>
      <c r="F25" s="6">
        <v>503683</v>
      </c>
      <c r="G25" s="6" t="s">
        <v>332</v>
      </c>
      <c r="H25" s="6">
        <v>3</v>
      </c>
      <c r="I25" s="6">
        <v>20220317</v>
      </c>
      <c r="J25" s="106">
        <v>44701</v>
      </c>
      <c r="K25" s="6" t="s">
        <v>333</v>
      </c>
      <c r="L25" s="6" t="s">
        <v>17</v>
      </c>
      <c r="M25" s="48">
        <v>40000</v>
      </c>
    </row>
    <row r="26" spans="1:13" x14ac:dyDescent="0.35">
      <c r="A26" s="6">
        <v>132138</v>
      </c>
      <c r="B26" s="6" t="s">
        <v>18</v>
      </c>
      <c r="C26" s="6" t="s">
        <v>13</v>
      </c>
      <c r="D26" s="6">
        <v>4102</v>
      </c>
      <c r="E26" s="6" t="s">
        <v>14</v>
      </c>
      <c r="F26" s="6">
        <v>153789</v>
      </c>
      <c r="G26" s="6" t="s">
        <v>334</v>
      </c>
      <c r="H26" s="6">
        <v>2</v>
      </c>
      <c r="I26" s="6">
        <v>20220317</v>
      </c>
      <c r="J26" s="106">
        <v>44756</v>
      </c>
      <c r="K26" s="6" t="s">
        <v>173</v>
      </c>
      <c r="L26" s="6" t="s">
        <v>17</v>
      </c>
      <c r="M26" s="8">
        <v>40000</v>
      </c>
    </row>
    <row r="27" spans="1:13" x14ac:dyDescent="0.35">
      <c r="A27" s="6">
        <v>131991</v>
      </c>
      <c r="B27" s="6" t="s">
        <v>29</v>
      </c>
      <c r="C27" s="6" t="s">
        <v>13</v>
      </c>
      <c r="D27" s="6">
        <v>215</v>
      </c>
      <c r="E27" s="6" t="s">
        <v>14</v>
      </c>
      <c r="F27" s="6">
        <v>515628</v>
      </c>
      <c r="G27" s="6" t="s">
        <v>335</v>
      </c>
      <c r="H27" s="58">
        <v>1</v>
      </c>
      <c r="I27" s="6">
        <v>20220316</v>
      </c>
      <c r="J27" s="106">
        <v>44685</v>
      </c>
      <c r="K27" s="6" t="s">
        <v>336</v>
      </c>
      <c r="L27" s="6" t="s">
        <v>17</v>
      </c>
      <c r="M27" s="112">
        <v>20000</v>
      </c>
    </row>
    <row r="28" spans="1:13" x14ac:dyDescent="0.35">
      <c r="A28" s="6">
        <v>130895</v>
      </c>
      <c r="B28" s="6" t="s">
        <v>29</v>
      </c>
      <c r="C28" s="6" t="s">
        <v>13</v>
      </c>
      <c r="D28" s="6">
        <v>243</v>
      </c>
      <c r="E28" s="6" t="s">
        <v>14</v>
      </c>
      <c r="F28" s="6">
        <v>439995</v>
      </c>
      <c r="G28" s="6" t="s">
        <v>337</v>
      </c>
      <c r="H28" s="6">
        <v>2</v>
      </c>
      <c r="I28" s="6">
        <v>20220304</v>
      </c>
      <c r="J28" s="106">
        <v>44687</v>
      </c>
      <c r="K28" s="6" t="s">
        <v>287</v>
      </c>
      <c r="L28" s="6" t="s">
        <v>17</v>
      </c>
      <c r="M28" s="8">
        <v>40000</v>
      </c>
    </row>
    <row r="29" spans="1:13" x14ac:dyDescent="0.35">
      <c r="M29" s="39">
        <f>SUM(M21:M28)</f>
        <v>410000</v>
      </c>
    </row>
    <row r="30" spans="1:13" ht="15" thickBot="1" x14ac:dyDescent="0.4"/>
    <row r="31" spans="1:13" x14ac:dyDescent="0.35">
      <c r="B31" s="4" t="s">
        <v>64</v>
      </c>
    </row>
    <row r="32" spans="1:13" x14ac:dyDescent="0.35">
      <c r="A32" s="5" t="s">
        <v>0</v>
      </c>
      <c r="B32" s="5" t="s">
        <v>1</v>
      </c>
      <c r="C32" s="5" t="s">
        <v>2</v>
      </c>
      <c r="D32" s="5" t="s">
        <v>3</v>
      </c>
      <c r="E32" s="5" t="s">
        <v>4</v>
      </c>
      <c r="F32" s="5" t="s">
        <v>5</v>
      </c>
      <c r="G32" s="5" t="s">
        <v>6</v>
      </c>
      <c r="H32" s="5" t="s">
        <v>100</v>
      </c>
      <c r="I32" s="5" t="s">
        <v>7</v>
      </c>
      <c r="J32" s="107" t="s">
        <v>8</v>
      </c>
      <c r="K32" s="5" t="s">
        <v>9</v>
      </c>
      <c r="L32" s="5" t="s">
        <v>10</v>
      </c>
      <c r="M32" s="5" t="s">
        <v>11</v>
      </c>
    </row>
    <row r="33" spans="1:13" x14ac:dyDescent="0.35">
      <c r="A33" s="6">
        <v>136671</v>
      </c>
      <c r="B33" s="6" t="s">
        <v>29</v>
      </c>
      <c r="C33" s="6" t="s">
        <v>13</v>
      </c>
      <c r="D33" s="6">
        <v>229</v>
      </c>
      <c r="E33" s="6" t="s">
        <v>14</v>
      </c>
      <c r="F33" s="6">
        <v>307639</v>
      </c>
      <c r="G33" s="6" t="s">
        <v>266</v>
      </c>
      <c r="H33" s="6">
        <v>2</v>
      </c>
      <c r="I33" s="6">
        <v>20220422</v>
      </c>
      <c r="J33" s="106">
        <v>44718</v>
      </c>
      <c r="K33" s="6" t="s">
        <v>54</v>
      </c>
      <c r="L33" s="6" t="s">
        <v>17</v>
      </c>
      <c r="M33" s="8">
        <v>150000</v>
      </c>
    </row>
    <row r="34" spans="1:13" x14ac:dyDescent="0.35">
      <c r="A34" s="6">
        <v>136307</v>
      </c>
      <c r="B34" s="6" t="s">
        <v>29</v>
      </c>
      <c r="C34" s="6" t="s">
        <v>70</v>
      </c>
      <c r="D34" s="6">
        <v>238</v>
      </c>
      <c r="E34" s="6" t="s">
        <v>14</v>
      </c>
      <c r="F34" s="6">
        <v>504353</v>
      </c>
      <c r="G34" s="6" t="s">
        <v>298</v>
      </c>
      <c r="H34" s="6">
        <v>2</v>
      </c>
      <c r="I34" s="6">
        <v>20220421</v>
      </c>
      <c r="J34" s="106">
        <v>44716</v>
      </c>
      <c r="K34" s="6" t="s">
        <v>65</v>
      </c>
      <c r="L34" s="6" t="s">
        <v>17</v>
      </c>
      <c r="M34" s="8">
        <v>31000</v>
      </c>
    </row>
    <row r="35" spans="1:13" x14ac:dyDescent="0.35">
      <c r="A35" s="6">
        <v>135791</v>
      </c>
      <c r="B35" s="6" t="s">
        <v>29</v>
      </c>
      <c r="C35" s="6" t="s">
        <v>13</v>
      </c>
      <c r="D35" s="6">
        <v>211</v>
      </c>
      <c r="E35" s="6" t="s">
        <v>14</v>
      </c>
      <c r="F35" s="6">
        <v>390341</v>
      </c>
      <c r="G35" s="6" t="s">
        <v>338</v>
      </c>
      <c r="H35" s="58">
        <v>1</v>
      </c>
      <c r="I35" s="6">
        <v>20220414</v>
      </c>
      <c r="J35" s="106">
        <v>44711</v>
      </c>
      <c r="K35" s="6" t="s">
        <v>213</v>
      </c>
      <c r="L35" s="6" t="s">
        <v>17</v>
      </c>
      <c r="M35" s="112">
        <v>30000</v>
      </c>
    </row>
    <row r="36" spans="1:13" x14ac:dyDescent="0.35">
      <c r="A36" s="6">
        <v>135452</v>
      </c>
      <c r="B36" s="6" t="s">
        <v>44</v>
      </c>
      <c r="C36" s="6" t="s">
        <v>22</v>
      </c>
      <c r="D36" s="6">
        <v>511</v>
      </c>
      <c r="E36" s="6" t="s">
        <v>14</v>
      </c>
      <c r="F36" s="6">
        <v>531432</v>
      </c>
      <c r="G36" s="6" t="s">
        <v>339</v>
      </c>
      <c r="H36" s="6">
        <v>7</v>
      </c>
      <c r="I36" s="6">
        <v>20220413</v>
      </c>
      <c r="J36" s="106">
        <v>44713</v>
      </c>
      <c r="K36" s="6" t="s">
        <v>340</v>
      </c>
      <c r="L36" s="6" t="s">
        <v>17</v>
      </c>
      <c r="M36" s="8">
        <v>5000</v>
      </c>
    </row>
    <row r="37" spans="1:13" x14ac:dyDescent="0.35">
      <c r="A37" s="6">
        <v>135524</v>
      </c>
      <c r="B37" s="6" t="s">
        <v>109</v>
      </c>
      <c r="C37" s="6" t="s">
        <v>70</v>
      </c>
      <c r="D37" s="6">
        <v>4002</v>
      </c>
      <c r="E37" s="6" t="s">
        <v>14</v>
      </c>
      <c r="F37" s="6">
        <v>518901</v>
      </c>
      <c r="G37" s="6" t="s">
        <v>341</v>
      </c>
      <c r="H37" s="6">
        <v>2</v>
      </c>
      <c r="I37" s="6">
        <v>20220413</v>
      </c>
      <c r="J37" s="106">
        <v>44707</v>
      </c>
      <c r="K37" s="6" t="s">
        <v>342</v>
      </c>
      <c r="L37" s="6" t="s">
        <v>17</v>
      </c>
      <c r="M37" s="8">
        <v>5000</v>
      </c>
    </row>
    <row r="38" spans="1:13" x14ac:dyDescent="0.35">
      <c r="A38" s="6">
        <v>135263</v>
      </c>
      <c r="B38" s="6" t="s">
        <v>44</v>
      </c>
      <c r="C38" s="6" t="s">
        <v>22</v>
      </c>
      <c r="D38" s="6">
        <v>511</v>
      </c>
      <c r="E38" s="6" t="s">
        <v>14</v>
      </c>
      <c r="F38" s="6">
        <v>533508</v>
      </c>
      <c r="G38" s="6" t="s">
        <v>343</v>
      </c>
      <c r="H38" s="6">
        <v>7</v>
      </c>
      <c r="I38" s="6">
        <v>20220412</v>
      </c>
      <c r="J38" s="106">
        <v>44713</v>
      </c>
      <c r="K38" s="6" t="s">
        <v>344</v>
      </c>
      <c r="L38" s="6" t="s">
        <v>17</v>
      </c>
      <c r="M38" s="8">
        <v>10000</v>
      </c>
    </row>
    <row r="39" spans="1:13" x14ac:dyDescent="0.35">
      <c r="A39" s="6">
        <v>135097</v>
      </c>
      <c r="B39" s="6" t="s">
        <v>132</v>
      </c>
      <c r="C39" s="6" t="s">
        <v>70</v>
      </c>
      <c r="D39" s="6">
        <v>2510</v>
      </c>
      <c r="E39" s="6" t="s">
        <v>14</v>
      </c>
      <c r="F39" s="6">
        <v>424807</v>
      </c>
      <c r="G39" s="6" t="s">
        <v>345</v>
      </c>
      <c r="H39" s="6">
        <v>2</v>
      </c>
      <c r="I39" s="6">
        <v>20220408</v>
      </c>
      <c r="J39" s="106">
        <v>44704</v>
      </c>
      <c r="K39" s="6" t="s">
        <v>325</v>
      </c>
      <c r="L39" s="6" t="s">
        <v>17</v>
      </c>
      <c r="M39" s="8">
        <v>60000</v>
      </c>
    </row>
    <row r="40" spans="1:13" x14ac:dyDescent="0.35">
      <c r="A40" s="6">
        <v>134713</v>
      </c>
      <c r="B40" s="6" t="s">
        <v>29</v>
      </c>
      <c r="C40" s="6" t="s">
        <v>346</v>
      </c>
      <c r="D40" s="6">
        <v>229</v>
      </c>
      <c r="E40" s="6" t="s">
        <v>14</v>
      </c>
      <c r="F40" s="6">
        <v>282710</v>
      </c>
      <c r="G40" s="6" t="s">
        <v>84</v>
      </c>
      <c r="H40" s="6">
        <v>5</v>
      </c>
      <c r="I40" s="6">
        <v>20220406</v>
      </c>
      <c r="J40" s="106">
        <v>44766</v>
      </c>
      <c r="K40" s="6" t="s">
        <v>347</v>
      </c>
      <c r="L40" s="6" t="s">
        <v>17</v>
      </c>
      <c r="M40" s="8">
        <v>150000</v>
      </c>
    </row>
    <row r="41" spans="1:13" x14ac:dyDescent="0.35">
      <c r="M41" s="39">
        <f>SUM(M33:M40)</f>
        <v>441000</v>
      </c>
    </row>
    <row r="42" spans="1:13" ht="15" thickBot="1" x14ac:dyDescent="0.4"/>
    <row r="43" spans="1:13" x14ac:dyDescent="0.35">
      <c r="B43" s="4" t="s">
        <v>66</v>
      </c>
    </row>
    <row r="44" spans="1:13" x14ac:dyDescent="0.35">
      <c r="A44" s="5" t="s">
        <v>0</v>
      </c>
      <c r="B44" s="5" t="s">
        <v>1</v>
      </c>
      <c r="C44" s="5" t="s">
        <v>2</v>
      </c>
      <c r="D44" s="5" t="s">
        <v>3</v>
      </c>
      <c r="E44" s="5" t="s">
        <v>4</v>
      </c>
      <c r="F44" s="5" t="s">
        <v>5</v>
      </c>
      <c r="G44" s="5" t="s">
        <v>6</v>
      </c>
      <c r="H44" s="5" t="s">
        <v>100</v>
      </c>
      <c r="I44" s="5" t="s">
        <v>7</v>
      </c>
      <c r="J44" s="107" t="s">
        <v>8</v>
      </c>
      <c r="K44" s="5" t="s">
        <v>9</v>
      </c>
      <c r="L44" s="5" t="s">
        <v>10</v>
      </c>
      <c r="M44" s="5" t="s">
        <v>11</v>
      </c>
    </row>
    <row r="45" spans="1:13" x14ac:dyDescent="0.35">
      <c r="A45" s="6">
        <v>127729</v>
      </c>
      <c r="B45" s="6" t="s">
        <v>58</v>
      </c>
      <c r="C45" s="6" t="s">
        <v>13</v>
      </c>
      <c r="D45" s="6">
        <v>3012</v>
      </c>
      <c r="E45" s="6" t="s">
        <v>14</v>
      </c>
      <c r="F45" s="6">
        <v>427078</v>
      </c>
      <c r="G45" s="6" t="s">
        <v>348</v>
      </c>
      <c r="H45" s="58">
        <v>1</v>
      </c>
      <c r="I45" s="6">
        <v>20220527</v>
      </c>
      <c r="J45" s="7">
        <v>44771</v>
      </c>
      <c r="K45" s="6" t="s">
        <v>349</v>
      </c>
      <c r="L45" s="6" t="s">
        <v>17</v>
      </c>
      <c r="M45" s="113">
        <v>30000</v>
      </c>
    </row>
    <row r="46" spans="1:13" x14ac:dyDescent="0.35">
      <c r="A46" s="6">
        <v>127892</v>
      </c>
      <c r="B46" s="6" t="s">
        <v>58</v>
      </c>
      <c r="C46" s="6" t="s">
        <v>13</v>
      </c>
      <c r="D46" s="6">
        <v>3004</v>
      </c>
      <c r="E46" s="6" t="s">
        <v>14</v>
      </c>
      <c r="F46" s="6">
        <v>509637</v>
      </c>
      <c r="G46" s="6" t="s">
        <v>350</v>
      </c>
      <c r="H46" s="58">
        <v>1</v>
      </c>
      <c r="I46" s="6">
        <v>20220523</v>
      </c>
      <c r="J46" s="7">
        <v>44769</v>
      </c>
      <c r="K46" s="6" t="s">
        <v>351</v>
      </c>
      <c r="L46" s="6" t="s">
        <v>17</v>
      </c>
      <c r="M46" s="113">
        <v>35000</v>
      </c>
    </row>
    <row r="47" spans="1:13" x14ac:dyDescent="0.35">
      <c r="A47" s="6">
        <v>141543</v>
      </c>
      <c r="B47" s="6" t="s">
        <v>29</v>
      </c>
      <c r="C47" s="6" t="s">
        <v>13</v>
      </c>
      <c r="D47" s="6">
        <v>234</v>
      </c>
      <c r="E47" s="6" t="s">
        <v>14</v>
      </c>
      <c r="F47" s="6">
        <v>417293</v>
      </c>
      <c r="G47" s="6" t="s">
        <v>212</v>
      </c>
      <c r="H47" s="6">
        <v>2</v>
      </c>
      <c r="I47" s="6">
        <v>20220531</v>
      </c>
      <c r="J47" s="7">
        <v>44757</v>
      </c>
      <c r="K47" s="6" t="s">
        <v>352</v>
      </c>
      <c r="L47" s="6" t="s">
        <v>17</v>
      </c>
      <c r="M47" s="11">
        <v>50000</v>
      </c>
    </row>
    <row r="48" spans="1:13" x14ac:dyDescent="0.35">
      <c r="A48" s="6">
        <v>127913</v>
      </c>
      <c r="B48" s="6" t="s">
        <v>29</v>
      </c>
      <c r="C48" s="6" t="s">
        <v>70</v>
      </c>
      <c r="D48" s="6">
        <v>215</v>
      </c>
      <c r="E48" s="6" t="s">
        <v>14</v>
      </c>
      <c r="F48" s="6">
        <v>505660</v>
      </c>
      <c r="G48" s="6" t="s">
        <v>353</v>
      </c>
      <c r="H48" s="58">
        <v>1</v>
      </c>
      <c r="I48" s="6">
        <v>20220527</v>
      </c>
      <c r="J48" s="7">
        <v>44742</v>
      </c>
      <c r="K48" s="6" t="s">
        <v>213</v>
      </c>
      <c r="L48" s="6" t="s">
        <v>17</v>
      </c>
      <c r="M48" s="113">
        <v>70000</v>
      </c>
    </row>
    <row r="49" spans="1:13" x14ac:dyDescent="0.35">
      <c r="A49" s="6">
        <v>137367</v>
      </c>
      <c r="B49" s="6" t="s">
        <v>29</v>
      </c>
      <c r="C49" s="6" t="s">
        <v>70</v>
      </c>
      <c r="D49" s="6">
        <v>245</v>
      </c>
      <c r="E49" s="6" t="s">
        <v>14</v>
      </c>
      <c r="F49" s="6">
        <v>530261</v>
      </c>
      <c r="G49" s="6" t="s">
        <v>354</v>
      </c>
      <c r="H49" s="58">
        <v>1</v>
      </c>
      <c r="I49" s="6">
        <v>20220526</v>
      </c>
      <c r="J49" s="7">
        <v>44732</v>
      </c>
      <c r="K49" s="6" t="s">
        <v>252</v>
      </c>
      <c r="L49" s="6" t="s">
        <v>17</v>
      </c>
      <c r="M49" s="113">
        <v>50000</v>
      </c>
    </row>
    <row r="50" spans="1:13" x14ac:dyDescent="0.35">
      <c r="A50" s="6">
        <v>136666</v>
      </c>
      <c r="B50" s="6" t="s">
        <v>29</v>
      </c>
      <c r="C50" s="6" t="s">
        <v>13</v>
      </c>
      <c r="D50" s="6">
        <v>209</v>
      </c>
      <c r="E50" s="6" t="s">
        <v>14</v>
      </c>
      <c r="F50" s="6">
        <v>530174</v>
      </c>
      <c r="G50" s="6" t="s">
        <v>355</v>
      </c>
      <c r="H50" s="58">
        <v>1</v>
      </c>
      <c r="I50" s="6">
        <v>20220525</v>
      </c>
      <c r="J50" s="7">
        <v>44771</v>
      </c>
      <c r="K50" s="6" t="s">
        <v>28</v>
      </c>
      <c r="L50" s="6" t="s">
        <v>17</v>
      </c>
      <c r="M50" s="113">
        <v>70000</v>
      </c>
    </row>
    <row r="51" spans="1:13" x14ac:dyDescent="0.35">
      <c r="A51" s="6">
        <v>134631</v>
      </c>
      <c r="B51" s="6" t="s">
        <v>29</v>
      </c>
      <c r="C51" s="6" t="s">
        <v>70</v>
      </c>
      <c r="D51" s="6">
        <v>244</v>
      </c>
      <c r="E51" s="6" t="s">
        <v>14</v>
      </c>
      <c r="F51" s="6">
        <v>529460</v>
      </c>
      <c r="G51" s="6" t="s">
        <v>356</v>
      </c>
      <c r="H51" s="58">
        <v>1</v>
      </c>
      <c r="I51" s="6">
        <v>20220524</v>
      </c>
      <c r="J51" s="7">
        <v>44740</v>
      </c>
      <c r="K51" s="6" t="s">
        <v>54</v>
      </c>
      <c r="L51" s="6" t="s">
        <v>17</v>
      </c>
      <c r="M51" s="113">
        <v>80000</v>
      </c>
    </row>
    <row r="52" spans="1:13" x14ac:dyDescent="0.35">
      <c r="A52" s="6">
        <v>138376</v>
      </c>
      <c r="B52" s="6" t="s">
        <v>29</v>
      </c>
      <c r="C52" s="6" t="s">
        <v>70</v>
      </c>
      <c r="D52" s="6">
        <v>238</v>
      </c>
      <c r="E52" s="6" t="s">
        <v>14</v>
      </c>
      <c r="F52" s="6">
        <v>512612</v>
      </c>
      <c r="G52" s="6" t="s">
        <v>311</v>
      </c>
      <c r="H52" s="6">
        <v>2</v>
      </c>
      <c r="I52" s="6">
        <v>20220509</v>
      </c>
      <c r="J52" s="7">
        <v>44735</v>
      </c>
      <c r="K52" s="6" t="s">
        <v>54</v>
      </c>
      <c r="L52" s="6" t="s">
        <v>17</v>
      </c>
      <c r="M52" s="11">
        <v>70000</v>
      </c>
    </row>
    <row r="53" spans="1:13" x14ac:dyDescent="0.35">
      <c r="A53" s="6">
        <v>138457</v>
      </c>
      <c r="B53" s="6" t="s">
        <v>29</v>
      </c>
      <c r="C53" s="6" t="s">
        <v>13</v>
      </c>
      <c r="D53" s="6">
        <v>223</v>
      </c>
      <c r="E53" s="6" t="s">
        <v>14</v>
      </c>
      <c r="F53" s="6">
        <v>58110</v>
      </c>
      <c r="G53" s="6" t="s">
        <v>220</v>
      </c>
      <c r="H53" s="6">
        <v>5</v>
      </c>
      <c r="I53" s="6">
        <v>20220509</v>
      </c>
      <c r="J53" s="7">
        <v>44764</v>
      </c>
      <c r="K53" s="6" t="s">
        <v>226</v>
      </c>
      <c r="L53" s="6" t="s">
        <v>17</v>
      </c>
      <c r="M53" s="11">
        <v>15000</v>
      </c>
    </row>
    <row r="54" spans="1:13" x14ac:dyDescent="0.35">
      <c r="A54" s="6">
        <v>139823</v>
      </c>
      <c r="B54" s="6" t="s">
        <v>18</v>
      </c>
      <c r="C54" s="6" t="s">
        <v>13</v>
      </c>
      <c r="D54" s="6">
        <v>4102</v>
      </c>
      <c r="E54" s="6" t="s">
        <v>14</v>
      </c>
      <c r="F54" s="6">
        <v>237168</v>
      </c>
      <c r="G54" s="6" t="s">
        <v>357</v>
      </c>
      <c r="H54" s="6">
        <v>5</v>
      </c>
      <c r="I54" s="6">
        <v>20220520</v>
      </c>
      <c r="J54" s="7">
        <v>44746</v>
      </c>
      <c r="K54" s="6" t="s">
        <v>213</v>
      </c>
      <c r="L54" s="6" t="s">
        <v>17</v>
      </c>
      <c r="M54" s="11">
        <v>50000</v>
      </c>
    </row>
    <row r="55" spans="1:13" x14ac:dyDescent="0.35">
      <c r="A55" s="6">
        <v>138464</v>
      </c>
      <c r="B55" s="6" t="s">
        <v>12</v>
      </c>
      <c r="C55" s="6" t="s">
        <v>70</v>
      </c>
      <c r="D55" s="6">
        <v>805</v>
      </c>
      <c r="E55" s="6" t="s">
        <v>14</v>
      </c>
      <c r="F55" s="6">
        <v>180375</v>
      </c>
      <c r="G55" s="6" t="s">
        <v>358</v>
      </c>
      <c r="H55" s="6">
        <v>5</v>
      </c>
      <c r="I55" s="6">
        <v>20220509</v>
      </c>
      <c r="J55" s="7">
        <v>44770</v>
      </c>
      <c r="K55" s="6" t="s">
        <v>359</v>
      </c>
      <c r="L55" s="6" t="s">
        <v>17</v>
      </c>
      <c r="M55" s="11">
        <v>30000</v>
      </c>
    </row>
    <row r="56" spans="1:13" x14ac:dyDescent="0.35">
      <c r="A56" s="6">
        <v>139652</v>
      </c>
      <c r="B56" s="6" t="s">
        <v>277</v>
      </c>
      <c r="C56" s="6" t="s">
        <v>22</v>
      </c>
      <c r="D56" s="6">
        <v>2904</v>
      </c>
      <c r="E56" s="6" t="s">
        <v>14</v>
      </c>
      <c r="F56" s="6">
        <v>248783</v>
      </c>
      <c r="G56" s="41" t="s">
        <v>360</v>
      </c>
      <c r="H56" s="6">
        <v>6</v>
      </c>
      <c r="I56" s="6">
        <v>20220519</v>
      </c>
      <c r="J56" s="7">
        <v>44746</v>
      </c>
      <c r="K56" s="6" t="s">
        <v>361</v>
      </c>
      <c r="L56" s="6" t="s">
        <v>17</v>
      </c>
      <c r="M56" s="11">
        <v>3000</v>
      </c>
    </row>
    <row r="57" spans="1:13" x14ac:dyDescent="0.35">
      <c r="A57" s="6">
        <v>141570</v>
      </c>
      <c r="B57" s="6" t="s">
        <v>21</v>
      </c>
      <c r="C57" s="6" t="s">
        <v>13</v>
      </c>
      <c r="D57" s="6">
        <v>1302</v>
      </c>
      <c r="E57" s="6" t="s">
        <v>14</v>
      </c>
      <c r="F57" s="6">
        <v>291106</v>
      </c>
      <c r="G57" s="6" t="s">
        <v>40</v>
      </c>
      <c r="H57" s="6">
        <v>3</v>
      </c>
      <c r="I57" s="6">
        <v>20220530</v>
      </c>
      <c r="J57" s="7">
        <v>44854</v>
      </c>
      <c r="K57" s="6" t="s">
        <v>362</v>
      </c>
      <c r="L57" s="6" t="s">
        <v>17</v>
      </c>
      <c r="M57" s="11">
        <v>200000</v>
      </c>
    </row>
    <row r="58" spans="1:13" x14ac:dyDescent="0.35">
      <c r="M58" s="110">
        <f>SUM(M45:M57)</f>
        <v>753000</v>
      </c>
    </row>
    <row r="59" spans="1:13" ht="15" thickBot="1" x14ac:dyDescent="0.4"/>
    <row r="60" spans="1:13" x14ac:dyDescent="0.35">
      <c r="B60" s="4" t="s">
        <v>79</v>
      </c>
    </row>
    <row r="61" spans="1:13" x14ac:dyDescent="0.35">
      <c r="A61" s="5" t="s">
        <v>0</v>
      </c>
      <c r="B61" s="5" t="s">
        <v>1</v>
      </c>
      <c r="C61" s="5" t="s">
        <v>2</v>
      </c>
      <c r="D61" s="5" t="s">
        <v>3</v>
      </c>
      <c r="E61" s="5" t="s">
        <v>4</v>
      </c>
      <c r="F61" s="5" t="s">
        <v>5</v>
      </c>
      <c r="G61" s="5" t="s">
        <v>6</v>
      </c>
      <c r="H61" s="5" t="s">
        <v>100</v>
      </c>
      <c r="I61" s="5" t="s">
        <v>7</v>
      </c>
      <c r="J61" s="107" t="s">
        <v>8</v>
      </c>
      <c r="K61" s="5" t="s">
        <v>9</v>
      </c>
      <c r="L61" s="5" t="s">
        <v>10</v>
      </c>
      <c r="M61" s="5" t="s">
        <v>11</v>
      </c>
    </row>
    <row r="62" spans="1:13" x14ac:dyDescent="0.35">
      <c r="A62" s="6">
        <v>145584</v>
      </c>
      <c r="B62" s="6" t="s">
        <v>29</v>
      </c>
      <c r="C62" s="6" t="s">
        <v>13</v>
      </c>
      <c r="D62" s="6">
        <v>243</v>
      </c>
      <c r="E62" s="6" t="s">
        <v>14</v>
      </c>
      <c r="F62" s="6">
        <v>14344</v>
      </c>
      <c r="G62" t="s">
        <v>363</v>
      </c>
      <c r="H62" s="6">
        <v>12</v>
      </c>
      <c r="I62" s="6">
        <v>20220630</v>
      </c>
      <c r="J62" s="7">
        <v>44867</v>
      </c>
      <c r="K62" s="6" t="s">
        <v>364</v>
      </c>
      <c r="L62" s="6" t="s">
        <v>17</v>
      </c>
      <c r="M62" s="11">
        <v>50000</v>
      </c>
    </row>
    <row r="63" spans="1:13" x14ac:dyDescent="0.35">
      <c r="A63" s="6">
        <v>144977</v>
      </c>
      <c r="B63" s="6" t="s">
        <v>29</v>
      </c>
      <c r="C63" s="6" t="s">
        <v>13</v>
      </c>
      <c r="D63" s="6">
        <v>211</v>
      </c>
      <c r="E63" s="6" t="s">
        <v>14</v>
      </c>
      <c r="F63" s="6">
        <v>390341</v>
      </c>
      <c r="G63" s="6" t="s">
        <v>338</v>
      </c>
      <c r="H63" s="6">
        <v>2</v>
      </c>
      <c r="I63" s="6">
        <v>20220628</v>
      </c>
      <c r="J63" s="7">
        <v>44802</v>
      </c>
      <c r="K63" s="6" t="s">
        <v>280</v>
      </c>
      <c r="L63" s="6" t="s">
        <v>17</v>
      </c>
      <c r="M63" s="11">
        <v>150000</v>
      </c>
    </row>
    <row r="64" spans="1:13" x14ac:dyDescent="0.35">
      <c r="A64" s="6">
        <v>143028</v>
      </c>
      <c r="B64" s="6" t="s">
        <v>29</v>
      </c>
      <c r="C64" s="6" t="s">
        <v>13</v>
      </c>
      <c r="D64" s="6">
        <v>243</v>
      </c>
      <c r="E64" s="6" t="s">
        <v>14</v>
      </c>
      <c r="F64" s="6">
        <v>472276</v>
      </c>
      <c r="G64" s="6" t="s">
        <v>365</v>
      </c>
      <c r="H64" s="58">
        <v>1</v>
      </c>
      <c r="I64" s="6">
        <v>20220613</v>
      </c>
      <c r="J64" s="7">
        <v>44788</v>
      </c>
      <c r="K64" s="6" t="s">
        <v>242</v>
      </c>
      <c r="L64" s="6" t="s">
        <v>17</v>
      </c>
      <c r="M64" s="113">
        <v>80000</v>
      </c>
    </row>
    <row r="65" spans="1:13" x14ac:dyDescent="0.35">
      <c r="A65" s="6">
        <v>142856</v>
      </c>
      <c r="B65" s="6" t="s">
        <v>174</v>
      </c>
      <c r="C65" s="6" t="s">
        <v>13</v>
      </c>
      <c r="D65" s="6">
        <v>1113</v>
      </c>
      <c r="E65" s="6" t="s">
        <v>14</v>
      </c>
      <c r="F65" s="6">
        <v>478446</v>
      </c>
      <c r="G65" s="6" t="s">
        <v>366</v>
      </c>
      <c r="H65" s="58">
        <v>1</v>
      </c>
      <c r="I65" s="6">
        <v>20220610</v>
      </c>
      <c r="J65" s="7">
        <v>44795</v>
      </c>
      <c r="K65" s="6" t="s">
        <v>128</v>
      </c>
      <c r="L65" s="6" t="s">
        <v>17</v>
      </c>
      <c r="M65" s="113">
        <v>50000</v>
      </c>
    </row>
    <row r="66" spans="1:13" x14ac:dyDescent="0.35">
      <c r="A66" s="6">
        <v>145544</v>
      </c>
      <c r="B66" s="6" t="s">
        <v>109</v>
      </c>
      <c r="C66" s="6" t="s">
        <v>13</v>
      </c>
      <c r="D66" s="6">
        <v>4014</v>
      </c>
      <c r="E66" s="6" t="s">
        <v>14</v>
      </c>
      <c r="F66" s="6">
        <v>545030</v>
      </c>
      <c r="G66" s="6" t="s">
        <v>367</v>
      </c>
      <c r="H66" s="6">
        <v>2</v>
      </c>
      <c r="I66" s="6">
        <v>20220630</v>
      </c>
      <c r="J66" s="7">
        <v>44824</v>
      </c>
      <c r="K66" s="6" t="s">
        <v>244</v>
      </c>
      <c r="L66" s="6" t="s">
        <v>17</v>
      </c>
      <c r="M66" s="11">
        <v>100000</v>
      </c>
    </row>
    <row r="67" spans="1:13" x14ac:dyDescent="0.35">
      <c r="A67" s="6">
        <v>145106</v>
      </c>
      <c r="B67" s="6" t="s">
        <v>109</v>
      </c>
      <c r="C67" s="6" t="s">
        <v>13</v>
      </c>
      <c r="D67" s="6">
        <v>4002</v>
      </c>
      <c r="E67" s="6" t="s">
        <v>14</v>
      </c>
      <c r="F67" s="6">
        <v>527216</v>
      </c>
      <c r="G67" s="6" t="s">
        <v>368</v>
      </c>
      <c r="H67" s="58">
        <v>1</v>
      </c>
      <c r="I67" s="6">
        <v>20220628</v>
      </c>
      <c r="J67" s="7">
        <v>44809</v>
      </c>
      <c r="K67" s="6" t="s">
        <v>369</v>
      </c>
      <c r="L67" s="6" t="s">
        <v>17</v>
      </c>
      <c r="M67" s="113">
        <v>50000</v>
      </c>
    </row>
    <row r="68" spans="1:13" x14ac:dyDescent="0.35">
      <c r="A68" s="6">
        <v>145542</v>
      </c>
      <c r="B68" s="6" t="s">
        <v>18</v>
      </c>
      <c r="C68" s="6" t="s">
        <v>13</v>
      </c>
      <c r="D68" s="6">
        <v>4102</v>
      </c>
      <c r="E68" s="6" t="s">
        <v>14</v>
      </c>
      <c r="F68" s="6">
        <v>156575</v>
      </c>
      <c r="G68" s="6" t="s">
        <v>370</v>
      </c>
      <c r="H68" s="6">
        <v>4</v>
      </c>
      <c r="I68" s="6">
        <v>20220630</v>
      </c>
      <c r="J68" s="7">
        <v>44788</v>
      </c>
      <c r="K68" s="6" t="s">
        <v>325</v>
      </c>
      <c r="L68" s="6" t="s">
        <v>17</v>
      </c>
      <c r="M68" s="11">
        <v>30000</v>
      </c>
    </row>
    <row r="69" spans="1:13" x14ac:dyDescent="0.35">
      <c r="A69" s="6">
        <v>145559</v>
      </c>
      <c r="B69" s="6" t="s">
        <v>18</v>
      </c>
      <c r="C69" s="6" t="s">
        <v>13</v>
      </c>
      <c r="D69" s="6">
        <v>4102</v>
      </c>
      <c r="E69" s="6" t="s">
        <v>14</v>
      </c>
      <c r="F69" s="6">
        <v>320247</v>
      </c>
      <c r="G69" s="6" t="s">
        <v>371</v>
      </c>
      <c r="H69" s="6">
        <v>3</v>
      </c>
      <c r="I69" s="6">
        <v>20220630</v>
      </c>
      <c r="J69" s="7">
        <v>44788</v>
      </c>
      <c r="K69" s="6" t="s">
        <v>325</v>
      </c>
      <c r="L69" s="6" t="s">
        <v>17</v>
      </c>
      <c r="M69" s="11">
        <v>25000</v>
      </c>
    </row>
    <row r="70" spans="1:13" x14ac:dyDescent="0.35">
      <c r="A70" s="6">
        <v>145696</v>
      </c>
      <c r="B70" s="6" t="s">
        <v>21</v>
      </c>
      <c r="C70" s="6" t="s">
        <v>22</v>
      </c>
      <c r="D70" s="6">
        <v>1302</v>
      </c>
      <c r="E70" s="6" t="s">
        <v>14</v>
      </c>
      <c r="F70" s="6">
        <v>546468</v>
      </c>
      <c r="G70" s="6" t="s">
        <v>372</v>
      </c>
      <c r="H70" s="6">
        <v>4</v>
      </c>
      <c r="I70" s="6">
        <v>20220630</v>
      </c>
      <c r="J70" s="7">
        <v>44854</v>
      </c>
      <c r="K70" s="6" t="s">
        <v>373</v>
      </c>
      <c r="L70" s="6" t="s">
        <v>17</v>
      </c>
      <c r="M70" s="11">
        <v>35000</v>
      </c>
    </row>
    <row r="71" spans="1:13" x14ac:dyDescent="0.35">
      <c r="M71" s="110">
        <f>SUM(M62:M70)</f>
        <v>570000</v>
      </c>
    </row>
    <row r="73" spans="1:13" x14ac:dyDescent="0.35">
      <c r="B73" s="114" t="s">
        <v>81</v>
      </c>
      <c r="J73"/>
    </row>
    <row r="74" spans="1:13" x14ac:dyDescent="0.35">
      <c r="A74" s="5" t="s">
        <v>0</v>
      </c>
      <c r="B74" s="5" t="s">
        <v>1</v>
      </c>
      <c r="C74" s="5" t="s">
        <v>2</v>
      </c>
      <c r="D74" s="5" t="s">
        <v>3</v>
      </c>
      <c r="E74" s="5" t="s">
        <v>4</v>
      </c>
      <c r="F74" s="5" t="s">
        <v>5</v>
      </c>
      <c r="G74" s="5" t="s">
        <v>6</v>
      </c>
      <c r="H74" s="5" t="s">
        <v>374</v>
      </c>
      <c r="I74" s="5" t="s">
        <v>7</v>
      </c>
      <c r="J74" s="5" t="s">
        <v>8</v>
      </c>
      <c r="K74" s="5" t="s">
        <v>9</v>
      </c>
      <c r="L74" s="5" t="s">
        <v>10</v>
      </c>
      <c r="M74" s="5" t="s">
        <v>11</v>
      </c>
    </row>
    <row r="75" spans="1:13" x14ac:dyDescent="0.35">
      <c r="A75" s="6">
        <v>147988</v>
      </c>
      <c r="B75" s="6" t="s">
        <v>58</v>
      </c>
      <c r="C75" s="6" t="s">
        <v>13</v>
      </c>
      <c r="D75" s="6">
        <v>3016</v>
      </c>
      <c r="E75" s="6" t="s">
        <v>14</v>
      </c>
      <c r="F75" s="6">
        <v>143407</v>
      </c>
      <c r="G75" t="s">
        <v>135</v>
      </c>
      <c r="H75" s="6">
        <v>6</v>
      </c>
      <c r="I75" s="6">
        <v>20220722</v>
      </c>
      <c r="J75" s="7">
        <v>44827</v>
      </c>
      <c r="K75" s="6" t="s">
        <v>242</v>
      </c>
      <c r="L75" s="6" t="s">
        <v>17</v>
      </c>
      <c r="M75" s="11">
        <v>20000</v>
      </c>
    </row>
    <row r="76" spans="1:13" x14ac:dyDescent="0.35">
      <c r="A76" s="6">
        <v>147479</v>
      </c>
      <c r="B76" s="6" t="s">
        <v>29</v>
      </c>
      <c r="C76" s="6" t="s">
        <v>375</v>
      </c>
      <c r="D76" s="6">
        <v>243</v>
      </c>
      <c r="E76" s="6" t="s">
        <v>14</v>
      </c>
      <c r="F76" s="6">
        <v>345379</v>
      </c>
      <c r="G76" s="6" t="s">
        <v>294</v>
      </c>
      <c r="H76" s="6">
        <v>2</v>
      </c>
      <c r="I76" s="6">
        <v>20220719</v>
      </c>
      <c r="J76" s="7">
        <v>44806</v>
      </c>
      <c r="K76" s="6" t="s">
        <v>28</v>
      </c>
      <c r="L76" s="6" t="s">
        <v>17</v>
      </c>
      <c r="M76" s="11">
        <v>25000</v>
      </c>
    </row>
    <row r="77" spans="1:13" x14ac:dyDescent="0.35">
      <c r="A77" s="6">
        <v>146196</v>
      </c>
      <c r="B77" s="6" t="s">
        <v>29</v>
      </c>
      <c r="C77" s="6" t="s">
        <v>13</v>
      </c>
      <c r="D77" s="6">
        <v>240</v>
      </c>
      <c r="E77" s="6" t="s">
        <v>14</v>
      </c>
      <c r="F77" s="6">
        <v>504086</v>
      </c>
      <c r="G77" s="6" t="s">
        <v>225</v>
      </c>
      <c r="H77" s="6">
        <v>2</v>
      </c>
      <c r="I77" s="6">
        <v>20220706</v>
      </c>
      <c r="J77" s="7">
        <v>44798</v>
      </c>
      <c r="K77" s="6" t="s">
        <v>376</v>
      </c>
      <c r="L77" s="6" t="s">
        <v>17</v>
      </c>
      <c r="M77" s="11">
        <v>20000</v>
      </c>
    </row>
    <row r="78" spans="1:13" x14ac:dyDescent="0.35">
      <c r="A78" s="6">
        <v>145813</v>
      </c>
      <c r="B78" s="6" t="s">
        <v>29</v>
      </c>
      <c r="C78" s="6" t="s">
        <v>13</v>
      </c>
      <c r="D78" s="6">
        <v>240</v>
      </c>
      <c r="E78" s="6" t="s">
        <v>14</v>
      </c>
      <c r="F78" s="6">
        <v>530116</v>
      </c>
      <c r="G78" s="6" t="s">
        <v>377</v>
      </c>
      <c r="H78" s="58">
        <v>1</v>
      </c>
      <c r="I78" s="6">
        <v>20220701</v>
      </c>
      <c r="J78" s="7">
        <v>44788</v>
      </c>
      <c r="K78" s="6" t="s">
        <v>378</v>
      </c>
      <c r="L78" s="6" t="s">
        <v>17</v>
      </c>
      <c r="M78" s="113">
        <v>40000</v>
      </c>
    </row>
    <row r="79" spans="1:13" x14ac:dyDescent="0.35">
      <c r="A79" s="6">
        <v>148528</v>
      </c>
      <c r="B79" s="6" t="s">
        <v>44</v>
      </c>
      <c r="C79" s="6" t="s">
        <v>70</v>
      </c>
      <c r="D79" s="6">
        <v>510</v>
      </c>
      <c r="E79" s="6" t="s">
        <v>14</v>
      </c>
      <c r="F79" s="6">
        <v>281472</v>
      </c>
      <c r="G79" s="6" t="s">
        <v>379</v>
      </c>
      <c r="H79" s="6">
        <v>3</v>
      </c>
      <c r="I79" s="6">
        <v>20220727</v>
      </c>
      <c r="J79" s="7">
        <v>44815</v>
      </c>
      <c r="K79" s="6" t="s">
        <v>380</v>
      </c>
      <c r="L79" s="6" t="s">
        <v>17</v>
      </c>
      <c r="M79" s="11">
        <v>100000</v>
      </c>
    </row>
    <row r="80" spans="1:13" x14ac:dyDescent="0.35">
      <c r="A80" s="6">
        <v>147808</v>
      </c>
      <c r="B80" s="6" t="s">
        <v>35</v>
      </c>
      <c r="C80" s="6" t="s">
        <v>13</v>
      </c>
      <c r="D80" s="6">
        <v>2416</v>
      </c>
      <c r="E80" s="6" t="s">
        <v>14</v>
      </c>
      <c r="F80" s="6">
        <v>548861</v>
      </c>
      <c r="G80" s="6" t="s">
        <v>381</v>
      </c>
      <c r="H80" s="6">
        <v>3</v>
      </c>
      <c r="I80" s="6">
        <v>20220721</v>
      </c>
      <c r="J80" s="7">
        <v>44806</v>
      </c>
      <c r="K80" s="6" t="s">
        <v>20</v>
      </c>
      <c r="L80" s="6" t="s">
        <v>17</v>
      </c>
      <c r="M80" s="11">
        <v>10000</v>
      </c>
    </row>
    <row r="81" spans="1:13" x14ac:dyDescent="0.35">
      <c r="A81" s="6">
        <v>146816</v>
      </c>
      <c r="B81" s="6" t="s">
        <v>35</v>
      </c>
      <c r="C81" s="6" t="s">
        <v>13</v>
      </c>
      <c r="D81" s="6">
        <v>2411</v>
      </c>
      <c r="E81" s="6" t="s">
        <v>14</v>
      </c>
      <c r="F81" s="6">
        <v>482669</v>
      </c>
      <c r="G81" s="6" t="s">
        <v>204</v>
      </c>
      <c r="H81" s="6">
        <v>7</v>
      </c>
      <c r="I81" s="6">
        <v>20220712</v>
      </c>
      <c r="J81" s="7">
        <v>44837</v>
      </c>
      <c r="K81" s="6" t="s">
        <v>162</v>
      </c>
      <c r="L81" s="6" t="s">
        <v>17</v>
      </c>
      <c r="M81" s="11">
        <v>60000</v>
      </c>
    </row>
    <row r="82" spans="1:13" x14ac:dyDescent="0.35">
      <c r="M82" s="110">
        <f>SUM(M75:M81)</f>
        <v>275000</v>
      </c>
    </row>
    <row r="84" spans="1:13" x14ac:dyDescent="0.35">
      <c r="B84" s="114" t="s">
        <v>90</v>
      </c>
      <c r="J84"/>
    </row>
    <row r="85" spans="1:13" x14ac:dyDescent="0.35">
      <c r="A85" s="5" t="s">
        <v>0</v>
      </c>
      <c r="B85" s="5" t="s">
        <v>1</v>
      </c>
      <c r="C85" s="5" t="s">
        <v>2</v>
      </c>
      <c r="D85" s="5" t="s">
        <v>3</v>
      </c>
      <c r="E85" s="5" t="s">
        <v>4</v>
      </c>
      <c r="F85" s="5" t="s">
        <v>5</v>
      </c>
      <c r="G85" s="5" t="s">
        <v>6</v>
      </c>
      <c r="H85" s="5" t="s">
        <v>374</v>
      </c>
      <c r="I85" s="5" t="s">
        <v>7</v>
      </c>
      <c r="J85" s="5" t="s">
        <v>8</v>
      </c>
      <c r="K85" s="5" t="s">
        <v>9</v>
      </c>
      <c r="L85" s="5" t="s">
        <v>10</v>
      </c>
      <c r="M85" s="5" t="s">
        <v>11</v>
      </c>
    </row>
    <row r="86" spans="1:13" x14ac:dyDescent="0.35">
      <c r="A86" s="6">
        <v>150122</v>
      </c>
      <c r="B86" s="6" t="s">
        <v>58</v>
      </c>
      <c r="C86" s="6" t="s">
        <v>13</v>
      </c>
      <c r="D86" s="6">
        <v>3012</v>
      </c>
      <c r="E86" s="6" t="s">
        <v>14</v>
      </c>
      <c r="F86" s="6">
        <v>285149</v>
      </c>
      <c r="G86" s="6" t="s">
        <v>382</v>
      </c>
      <c r="H86" s="6">
        <v>2</v>
      </c>
      <c r="I86" s="6">
        <v>20220810</v>
      </c>
      <c r="J86" s="7">
        <v>44830</v>
      </c>
      <c r="K86" s="6" t="s">
        <v>383</v>
      </c>
      <c r="L86" s="6" t="s">
        <v>17</v>
      </c>
      <c r="M86" s="8">
        <v>8000</v>
      </c>
    </row>
    <row r="87" spans="1:13" x14ac:dyDescent="0.35">
      <c r="A87" s="6">
        <v>152188</v>
      </c>
      <c r="B87" s="6" t="s">
        <v>58</v>
      </c>
      <c r="C87" s="6" t="s">
        <v>13</v>
      </c>
      <c r="D87" s="6">
        <v>3012</v>
      </c>
      <c r="E87" s="6" t="s">
        <v>14</v>
      </c>
      <c r="F87" s="6">
        <v>392101</v>
      </c>
      <c r="G87" s="6" t="s">
        <v>209</v>
      </c>
      <c r="H87" s="6">
        <v>2</v>
      </c>
      <c r="I87" s="6">
        <v>20220825</v>
      </c>
      <c r="J87" s="7">
        <v>44889</v>
      </c>
      <c r="K87" s="6" t="s">
        <v>198</v>
      </c>
      <c r="L87" s="6" t="s">
        <v>17</v>
      </c>
      <c r="M87" s="11">
        <v>150000</v>
      </c>
    </row>
    <row r="88" spans="1:13" x14ac:dyDescent="0.35">
      <c r="A88" s="6">
        <v>150998</v>
      </c>
      <c r="B88" s="6" t="s">
        <v>29</v>
      </c>
      <c r="C88" s="6" t="s">
        <v>13</v>
      </c>
      <c r="D88" s="6">
        <v>218</v>
      </c>
      <c r="E88" s="6" t="s">
        <v>14</v>
      </c>
      <c r="F88" s="6">
        <v>551439</v>
      </c>
      <c r="G88" s="6" t="s">
        <v>384</v>
      </c>
      <c r="H88" s="58">
        <v>1</v>
      </c>
      <c r="I88" s="6">
        <v>20220817</v>
      </c>
      <c r="J88" s="7">
        <v>44851</v>
      </c>
      <c r="K88" s="6" t="s">
        <v>280</v>
      </c>
      <c r="L88" s="6" t="s">
        <v>17</v>
      </c>
      <c r="M88" s="112">
        <v>50000</v>
      </c>
    </row>
    <row r="89" spans="1:13" x14ac:dyDescent="0.35">
      <c r="A89" s="6">
        <v>145914</v>
      </c>
      <c r="B89" s="6" t="s">
        <v>29</v>
      </c>
      <c r="C89" s="6" t="s">
        <v>13</v>
      </c>
      <c r="D89" s="6">
        <v>228</v>
      </c>
      <c r="E89" s="6" t="s">
        <v>14</v>
      </c>
      <c r="F89" s="6">
        <v>541500</v>
      </c>
      <c r="G89" s="6" t="s">
        <v>385</v>
      </c>
      <c r="H89" s="58">
        <v>1</v>
      </c>
      <c r="I89" s="6">
        <v>20220804</v>
      </c>
      <c r="J89" s="7">
        <v>44869</v>
      </c>
      <c r="K89" s="6" t="s">
        <v>386</v>
      </c>
      <c r="L89" s="6" t="s">
        <v>17</v>
      </c>
      <c r="M89" s="113">
        <v>80000</v>
      </c>
    </row>
    <row r="90" spans="1:13" x14ac:dyDescent="0.35">
      <c r="A90" s="6">
        <v>150465</v>
      </c>
      <c r="B90" s="6" t="s">
        <v>29</v>
      </c>
      <c r="C90" s="6" t="s">
        <v>13</v>
      </c>
      <c r="D90" s="6">
        <v>238</v>
      </c>
      <c r="E90" s="6" t="s">
        <v>14</v>
      </c>
      <c r="F90" s="6">
        <v>272663</v>
      </c>
      <c r="G90" s="6" t="s">
        <v>177</v>
      </c>
      <c r="H90" s="6">
        <v>8</v>
      </c>
      <c r="I90" s="6">
        <v>20220812</v>
      </c>
      <c r="J90" s="7">
        <v>44830</v>
      </c>
      <c r="K90" s="6" t="s">
        <v>387</v>
      </c>
      <c r="L90" s="6" t="s">
        <v>17</v>
      </c>
      <c r="M90" s="8">
        <v>15000</v>
      </c>
    </row>
    <row r="91" spans="1:13" x14ac:dyDescent="0.35">
      <c r="A91" s="6">
        <v>152727</v>
      </c>
      <c r="B91" s="6" t="s">
        <v>29</v>
      </c>
      <c r="C91" s="6" t="s">
        <v>13</v>
      </c>
      <c r="D91" s="6">
        <v>229</v>
      </c>
      <c r="E91" s="6" t="s">
        <v>14</v>
      </c>
      <c r="F91" s="6">
        <v>140264</v>
      </c>
      <c r="G91" s="6" t="s">
        <v>388</v>
      </c>
      <c r="H91" s="6">
        <v>2</v>
      </c>
      <c r="I91" s="6">
        <v>20220829</v>
      </c>
      <c r="J91" s="7">
        <v>44862</v>
      </c>
      <c r="K91" s="6" t="s">
        <v>389</v>
      </c>
      <c r="L91" s="6" t="s">
        <v>17</v>
      </c>
      <c r="M91" s="11">
        <v>100000</v>
      </c>
    </row>
    <row r="92" spans="1:13" x14ac:dyDescent="0.35">
      <c r="A92" s="6">
        <v>146596</v>
      </c>
      <c r="B92" s="6" t="s">
        <v>29</v>
      </c>
      <c r="C92" s="6" t="s">
        <v>13</v>
      </c>
      <c r="D92" s="6">
        <v>238</v>
      </c>
      <c r="E92" s="6" t="s">
        <v>14</v>
      </c>
      <c r="F92" s="6">
        <v>444752</v>
      </c>
      <c r="G92" s="6" t="s">
        <v>390</v>
      </c>
      <c r="H92" s="58">
        <v>1</v>
      </c>
      <c r="I92" s="6">
        <v>20220808</v>
      </c>
      <c r="J92" s="7">
        <v>44826</v>
      </c>
      <c r="K92" s="6" t="s">
        <v>54</v>
      </c>
      <c r="L92" s="6" t="s">
        <v>17</v>
      </c>
      <c r="M92" s="113">
        <v>70000</v>
      </c>
    </row>
    <row r="93" spans="1:13" x14ac:dyDescent="0.35">
      <c r="A93" s="6">
        <v>149837</v>
      </c>
      <c r="B93" s="6" t="s">
        <v>29</v>
      </c>
      <c r="C93" s="6" t="s">
        <v>13</v>
      </c>
      <c r="D93" s="6">
        <v>244</v>
      </c>
      <c r="E93" s="115" t="s">
        <v>14</v>
      </c>
      <c r="F93" s="6">
        <v>529460</v>
      </c>
      <c r="G93" s="6" t="s">
        <v>356</v>
      </c>
      <c r="H93" s="6">
        <v>2</v>
      </c>
      <c r="I93" s="6">
        <v>20220808</v>
      </c>
      <c r="J93" s="7">
        <v>44824</v>
      </c>
      <c r="K93" s="6" t="s">
        <v>252</v>
      </c>
      <c r="L93" s="6" t="s">
        <v>17</v>
      </c>
      <c r="M93" s="8">
        <v>80000</v>
      </c>
    </row>
    <row r="94" spans="1:13" x14ac:dyDescent="0.35">
      <c r="A94" s="6">
        <v>148254</v>
      </c>
      <c r="B94" s="6" t="s">
        <v>29</v>
      </c>
      <c r="C94" s="6" t="s">
        <v>13</v>
      </c>
      <c r="D94" s="6">
        <v>217</v>
      </c>
      <c r="E94" s="115" t="s">
        <v>14</v>
      </c>
      <c r="F94" s="6">
        <v>541875</v>
      </c>
      <c r="G94" s="6" t="s">
        <v>391</v>
      </c>
      <c r="H94" s="58">
        <v>1</v>
      </c>
      <c r="I94" s="6">
        <v>20220825</v>
      </c>
      <c r="J94" s="7">
        <v>44835</v>
      </c>
      <c r="K94" s="6" t="s">
        <v>392</v>
      </c>
      <c r="L94" s="6" t="s">
        <v>17</v>
      </c>
      <c r="M94" s="113">
        <v>50000</v>
      </c>
    </row>
    <row r="95" spans="1:13" x14ac:dyDescent="0.35">
      <c r="A95" s="6">
        <v>151545</v>
      </c>
      <c r="B95" s="6" t="s">
        <v>29</v>
      </c>
      <c r="C95" s="6" t="s">
        <v>13</v>
      </c>
      <c r="D95" s="6">
        <v>209</v>
      </c>
      <c r="E95" s="115" t="s">
        <v>14</v>
      </c>
      <c r="F95" s="6">
        <v>552875</v>
      </c>
      <c r="G95" s="6" t="s">
        <v>393</v>
      </c>
      <c r="H95" s="58">
        <v>1</v>
      </c>
      <c r="I95" s="6">
        <v>20220822</v>
      </c>
      <c r="J95" s="7">
        <v>44839</v>
      </c>
      <c r="K95" s="6" t="s">
        <v>54</v>
      </c>
      <c r="L95" s="6" t="s">
        <v>17</v>
      </c>
      <c r="M95" s="113">
        <v>80000</v>
      </c>
    </row>
    <row r="96" spans="1:13" x14ac:dyDescent="0.35">
      <c r="A96" s="6">
        <v>152495</v>
      </c>
      <c r="B96" s="6" t="s">
        <v>29</v>
      </c>
      <c r="C96" s="6" t="s">
        <v>13</v>
      </c>
      <c r="D96" s="6">
        <v>217</v>
      </c>
      <c r="E96" s="115" t="s">
        <v>14</v>
      </c>
      <c r="F96" s="6">
        <v>489827</v>
      </c>
      <c r="G96" s="6" t="s">
        <v>263</v>
      </c>
      <c r="H96" s="6">
        <v>2</v>
      </c>
      <c r="I96" s="6">
        <v>20220826</v>
      </c>
      <c r="J96" s="7">
        <v>44896</v>
      </c>
      <c r="K96" s="6" t="s">
        <v>259</v>
      </c>
      <c r="L96" s="6" t="s">
        <v>17</v>
      </c>
      <c r="M96" s="11">
        <v>80000</v>
      </c>
    </row>
    <row r="97" spans="1:13" x14ac:dyDescent="0.35">
      <c r="A97" s="6">
        <v>148044</v>
      </c>
      <c r="B97" s="6" t="s">
        <v>29</v>
      </c>
      <c r="C97" s="6" t="s">
        <v>13</v>
      </c>
      <c r="D97" s="6">
        <v>217</v>
      </c>
      <c r="E97" s="6" t="s">
        <v>14</v>
      </c>
      <c r="F97" s="6">
        <v>544623</v>
      </c>
      <c r="G97" s="6" t="s">
        <v>394</v>
      </c>
      <c r="H97" s="58">
        <v>1</v>
      </c>
      <c r="I97" s="6">
        <v>20220822</v>
      </c>
      <c r="J97" s="7">
        <v>44856</v>
      </c>
      <c r="K97" s="6" t="s">
        <v>280</v>
      </c>
      <c r="L97" s="6" t="s">
        <v>17</v>
      </c>
      <c r="M97" s="113">
        <v>80000</v>
      </c>
    </row>
    <row r="98" spans="1:13" x14ac:dyDescent="0.35">
      <c r="A98" s="6">
        <v>152775</v>
      </c>
      <c r="B98" s="6" t="s">
        <v>109</v>
      </c>
      <c r="C98" s="6" t="s">
        <v>13</v>
      </c>
      <c r="D98" s="6">
        <v>4002</v>
      </c>
      <c r="E98" s="6" t="s">
        <v>14</v>
      </c>
      <c r="F98" s="6">
        <v>507144</v>
      </c>
      <c r="G98" s="6" t="s">
        <v>267</v>
      </c>
      <c r="H98" s="6">
        <v>3</v>
      </c>
      <c r="I98" s="6">
        <v>20220829</v>
      </c>
      <c r="J98" s="7">
        <v>44846</v>
      </c>
      <c r="K98" s="6" t="s">
        <v>54</v>
      </c>
      <c r="L98" s="6" t="s">
        <v>17</v>
      </c>
      <c r="M98" s="11">
        <v>30000</v>
      </c>
    </row>
    <row r="99" spans="1:13" x14ac:dyDescent="0.35">
      <c r="A99" s="6">
        <v>150077</v>
      </c>
      <c r="B99" s="6" t="s">
        <v>132</v>
      </c>
      <c r="C99" s="6" t="s">
        <v>13</v>
      </c>
      <c r="D99" s="6">
        <v>2509</v>
      </c>
      <c r="E99" s="6" t="s">
        <v>14</v>
      </c>
      <c r="F99" s="6">
        <v>293999</v>
      </c>
      <c r="G99" s="6" t="s">
        <v>167</v>
      </c>
      <c r="H99" s="6">
        <v>2</v>
      </c>
      <c r="I99" s="6">
        <v>20220810</v>
      </c>
      <c r="J99" s="7">
        <v>44839</v>
      </c>
      <c r="K99" s="6" t="s">
        <v>178</v>
      </c>
      <c r="L99" s="6" t="s">
        <v>17</v>
      </c>
      <c r="M99" s="8">
        <v>40000</v>
      </c>
    </row>
    <row r="100" spans="1:13" x14ac:dyDescent="0.35">
      <c r="A100" s="6">
        <v>152155</v>
      </c>
      <c r="B100" s="6" t="s">
        <v>21</v>
      </c>
      <c r="C100" s="6" t="s">
        <v>13</v>
      </c>
      <c r="D100" s="6">
        <v>1302</v>
      </c>
      <c r="E100" s="6" t="s">
        <v>14</v>
      </c>
      <c r="F100" s="6">
        <v>537916</v>
      </c>
      <c r="G100" s="6" t="s">
        <v>395</v>
      </c>
      <c r="H100" s="6">
        <v>5</v>
      </c>
      <c r="I100" s="6">
        <v>20220825</v>
      </c>
      <c r="J100" s="7">
        <v>44844</v>
      </c>
      <c r="K100" s="6" t="s">
        <v>131</v>
      </c>
      <c r="L100" s="6" t="s">
        <v>17</v>
      </c>
      <c r="M100" s="8">
        <v>20000</v>
      </c>
    </row>
    <row r="101" spans="1:13" x14ac:dyDescent="0.35">
      <c r="M101" s="39">
        <f>SUM(M86:M100)</f>
        <v>933000</v>
      </c>
    </row>
    <row r="103" spans="1:13" x14ac:dyDescent="0.35">
      <c r="B103" s="114" t="s">
        <v>99</v>
      </c>
      <c r="J103"/>
    </row>
    <row r="104" spans="1:13" x14ac:dyDescent="0.35">
      <c r="A104" s="5" t="s">
        <v>0</v>
      </c>
      <c r="B104" s="5" t="s">
        <v>1</v>
      </c>
      <c r="C104" s="5" t="s">
        <v>2</v>
      </c>
      <c r="D104" s="5" t="s">
        <v>3</v>
      </c>
      <c r="E104" s="5" t="s">
        <v>4</v>
      </c>
      <c r="F104" s="5" t="s">
        <v>5</v>
      </c>
      <c r="G104" s="5" t="s">
        <v>6</v>
      </c>
      <c r="H104" s="5" t="s">
        <v>374</v>
      </c>
      <c r="I104" s="5" t="s">
        <v>7</v>
      </c>
      <c r="J104" s="5" t="s">
        <v>8</v>
      </c>
      <c r="K104" s="5" t="s">
        <v>9</v>
      </c>
      <c r="L104" s="5" t="s">
        <v>10</v>
      </c>
      <c r="M104" s="5" t="s">
        <v>11</v>
      </c>
    </row>
    <row r="105" spans="1:13" x14ac:dyDescent="0.35">
      <c r="A105" s="6">
        <v>155785</v>
      </c>
      <c r="B105" s="6" t="s">
        <v>58</v>
      </c>
      <c r="C105" s="6" t="s">
        <v>13</v>
      </c>
      <c r="D105" s="6">
        <v>3012</v>
      </c>
      <c r="E105" s="6" t="s">
        <v>14</v>
      </c>
      <c r="F105" s="6">
        <v>394760</v>
      </c>
      <c r="G105" s="6" t="s">
        <v>396</v>
      </c>
      <c r="H105" s="58">
        <v>1</v>
      </c>
      <c r="I105" s="6">
        <v>20220923</v>
      </c>
      <c r="J105" s="7">
        <v>44918</v>
      </c>
      <c r="K105" s="6" t="s">
        <v>74</v>
      </c>
      <c r="L105" s="6" t="s">
        <v>17</v>
      </c>
      <c r="M105" s="113">
        <v>50000</v>
      </c>
    </row>
    <row r="106" spans="1:13" x14ac:dyDescent="0.35">
      <c r="A106" s="6">
        <v>156508</v>
      </c>
      <c r="B106" s="6" t="s">
        <v>29</v>
      </c>
      <c r="C106" s="6" t="s">
        <v>13</v>
      </c>
      <c r="D106" s="6">
        <v>243</v>
      </c>
      <c r="E106" s="6" t="s">
        <v>14</v>
      </c>
      <c r="F106" s="6">
        <v>411726</v>
      </c>
      <c r="G106" s="6" t="s">
        <v>234</v>
      </c>
      <c r="H106" s="6">
        <v>4</v>
      </c>
      <c r="I106" s="6">
        <v>20220929</v>
      </c>
      <c r="J106" s="7">
        <v>44893</v>
      </c>
      <c r="K106" s="6" t="s">
        <v>397</v>
      </c>
      <c r="L106" s="6" t="s">
        <v>17</v>
      </c>
      <c r="M106" s="11">
        <v>80000</v>
      </c>
    </row>
    <row r="107" spans="1:13" x14ac:dyDescent="0.35">
      <c r="A107" s="6">
        <v>153383</v>
      </c>
      <c r="B107" s="6" t="s">
        <v>29</v>
      </c>
      <c r="C107" s="6" t="s">
        <v>13</v>
      </c>
      <c r="D107" s="6">
        <v>237</v>
      </c>
      <c r="E107" s="6" t="s">
        <v>14</v>
      </c>
      <c r="F107" s="6">
        <v>483602</v>
      </c>
      <c r="G107" s="6" t="s">
        <v>398</v>
      </c>
      <c r="H107" s="58">
        <v>1</v>
      </c>
      <c r="I107" s="6">
        <v>20220901</v>
      </c>
      <c r="J107" s="7">
        <v>44848</v>
      </c>
      <c r="K107" s="6" t="s">
        <v>65</v>
      </c>
      <c r="L107" s="6" t="s">
        <v>17</v>
      </c>
      <c r="M107" s="113">
        <v>40000</v>
      </c>
    </row>
    <row r="108" spans="1:13" x14ac:dyDescent="0.35">
      <c r="A108" s="6">
        <v>154317</v>
      </c>
      <c r="B108" s="6" t="s">
        <v>29</v>
      </c>
      <c r="C108" s="6" t="s">
        <v>13</v>
      </c>
      <c r="D108" s="6">
        <v>240</v>
      </c>
      <c r="E108" s="6" t="s">
        <v>14</v>
      </c>
      <c r="F108" s="6">
        <v>428480</v>
      </c>
      <c r="G108" s="6" t="s">
        <v>399</v>
      </c>
      <c r="H108" s="58">
        <v>1</v>
      </c>
      <c r="I108" s="6">
        <v>20220912</v>
      </c>
      <c r="J108" s="7">
        <v>44860</v>
      </c>
      <c r="K108" s="6" t="s">
        <v>28</v>
      </c>
      <c r="L108" s="6" t="s">
        <v>17</v>
      </c>
      <c r="M108" s="113">
        <v>15000</v>
      </c>
    </row>
    <row r="109" spans="1:13" x14ac:dyDescent="0.35">
      <c r="A109" s="6">
        <v>153135</v>
      </c>
      <c r="B109" s="6" t="s">
        <v>29</v>
      </c>
      <c r="C109" s="6" t="s">
        <v>13</v>
      </c>
      <c r="D109" s="6">
        <v>211</v>
      </c>
      <c r="E109" s="6" t="s">
        <v>14</v>
      </c>
      <c r="F109" s="6">
        <v>479196</v>
      </c>
      <c r="G109" s="6" t="s">
        <v>251</v>
      </c>
      <c r="H109" s="6">
        <v>3</v>
      </c>
      <c r="I109" s="6">
        <v>20220930</v>
      </c>
      <c r="J109" s="7">
        <v>44879</v>
      </c>
      <c r="K109" s="6" t="s">
        <v>400</v>
      </c>
      <c r="L109" s="6" t="s">
        <v>17</v>
      </c>
      <c r="M109" s="11">
        <v>200000</v>
      </c>
    </row>
    <row r="110" spans="1:13" x14ac:dyDescent="0.35">
      <c r="A110" s="6">
        <v>156291</v>
      </c>
      <c r="B110" s="6" t="s">
        <v>29</v>
      </c>
      <c r="C110" s="6" t="s">
        <v>13</v>
      </c>
      <c r="D110" s="6">
        <v>238</v>
      </c>
      <c r="E110" s="6" t="s">
        <v>14</v>
      </c>
      <c r="F110" s="6">
        <v>504353</v>
      </c>
      <c r="G110" s="6" t="s">
        <v>298</v>
      </c>
      <c r="H110" s="6">
        <v>3</v>
      </c>
      <c r="I110" s="6">
        <v>20220928</v>
      </c>
      <c r="J110" s="7">
        <v>44888</v>
      </c>
      <c r="K110" s="6" t="s">
        <v>401</v>
      </c>
      <c r="L110" s="6" t="s">
        <v>17</v>
      </c>
      <c r="M110" s="11">
        <v>5000</v>
      </c>
    </row>
    <row r="111" spans="1:13" x14ac:dyDescent="0.35">
      <c r="A111" s="6">
        <v>153298</v>
      </c>
      <c r="B111" s="6" t="s">
        <v>29</v>
      </c>
      <c r="C111" s="6" t="s">
        <v>13</v>
      </c>
      <c r="D111" s="6">
        <v>244</v>
      </c>
      <c r="E111" s="6" t="s">
        <v>14</v>
      </c>
      <c r="F111" s="6">
        <v>502465</v>
      </c>
      <c r="G111" s="6" t="s">
        <v>309</v>
      </c>
      <c r="H111" s="6">
        <v>2</v>
      </c>
      <c r="I111" s="6">
        <v>20220930</v>
      </c>
      <c r="J111" s="7">
        <v>44893</v>
      </c>
      <c r="K111" s="6" t="s">
        <v>93</v>
      </c>
      <c r="L111" s="6" t="s">
        <v>17</v>
      </c>
      <c r="M111" s="11">
        <v>50000</v>
      </c>
    </row>
    <row r="112" spans="1:13" x14ac:dyDescent="0.35">
      <c r="A112" s="6">
        <v>153345</v>
      </c>
      <c r="B112" s="6" t="s">
        <v>29</v>
      </c>
      <c r="C112" s="6" t="s">
        <v>13</v>
      </c>
      <c r="D112" s="6">
        <v>237</v>
      </c>
      <c r="E112" s="6" t="s">
        <v>14</v>
      </c>
      <c r="F112" s="6">
        <v>551391</v>
      </c>
      <c r="G112" s="6" t="s">
        <v>402</v>
      </c>
      <c r="H112" s="58">
        <v>1</v>
      </c>
      <c r="I112" s="6">
        <v>20220901</v>
      </c>
      <c r="J112" s="7">
        <v>44896</v>
      </c>
      <c r="K112" s="6" t="s">
        <v>403</v>
      </c>
      <c r="L112" s="6" t="s">
        <v>17</v>
      </c>
      <c r="M112" s="113">
        <v>50000</v>
      </c>
    </row>
    <row r="113" spans="1:13" x14ac:dyDescent="0.35">
      <c r="A113" s="6">
        <v>152942</v>
      </c>
      <c r="B113" s="6" t="s">
        <v>29</v>
      </c>
      <c r="C113" s="6" t="s">
        <v>13</v>
      </c>
      <c r="D113" s="6">
        <v>224</v>
      </c>
      <c r="E113" s="115" t="s">
        <v>14</v>
      </c>
      <c r="F113" s="6">
        <v>538814</v>
      </c>
      <c r="G113" s="6" t="s">
        <v>404</v>
      </c>
      <c r="H113" s="58">
        <v>1</v>
      </c>
      <c r="I113" s="6">
        <v>20220930</v>
      </c>
      <c r="J113" s="7">
        <v>44878</v>
      </c>
      <c r="K113" s="6" t="s">
        <v>54</v>
      </c>
      <c r="L113" s="6" t="s">
        <v>17</v>
      </c>
      <c r="M113" s="113">
        <v>40000</v>
      </c>
    </row>
    <row r="114" spans="1:13" x14ac:dyDescent="0.35">
      <c r="A114" s="6">
        <v>153068</v>
      </c>
      <c r="B114" s="6" t="s">
        <v>29</v>
      </c>
      <c r="C114" s="6" t="s">
        <v>13</v>
      </c>
      <c r="D114" s="6">
        <v>243</v>
      </c>
      <c r="E114" s="115" t="s">
        <v>14</v>
      </c>
      <c r="F114" s="6">
        <v>505485</v>
      </c>
      <c r="G114" s="6" t="s">
        <v>285</v>
      </c>
      <c r="H114" s="6">
        <v>2</v>
      </c>
      <c r="I114" s="6">
        <v>20220930</v>
      </c>
      <c r="J114" s="7">
        <v>44879</v>
      </c>
      <c r="K114" s="6" t="s">
        <v>28</v>
      </c>
      <c r="L114" s="6" t="s">
        <v>17</v>
      </c>
      <c r="M114" s="11">
        <v>60000</v>
      </c>
    </row>
    <row r="115" spans="1:13" x14ac:dyDescent="0.35">
      <c r="A115" s="41">
        <v>148951</v>
      </c>
      <c r="B115" s="6" t="s">
        <v>29</v>
      </c>
      <c r="C115" s="41" t="s">
        <v>13</v>
      </c>
      <c r="D115" s="41">
        <v>2605</v>
      </c>
      <c r="E115" s="116" t="s">
        <v>14</v>
      </c>
      <c r="F115" s="41">
        <v>544335</v>
      </c>
      <c r="G115" s="41" t="s">
        <v>405</v>
      </c>
      <c r="H115" s="62">
        <v>1</v>
      </c>
      <c r="I115" s="41">
        <v>20220929</v>
      </c>
      <c r="J115" s="47">
        <v>44885</v>
      </c>
      <c r="K115" s="41" t="s">
        <v>406</v>
      </c>
      <c r="L115" s="41" t="s">
        <v>17</v>
      </c>
      <c r="M115" s="121">
        <v>50000</v>
      </c>
    </row>
    <row r="116" spans="1:13" x14ac:dyDescent="0.35">
      <c r="A116" s="6">
        <v>154667</v>
      </c>
      <c r="B116" s="6" t="s">
        <v>132</v>
      </c>
      <c r="C116" s="6" t="s">
        <v>407</v>
      </c>
      <c r="D116" s="6">
        <v>2509</v>
      </c>
      <c r="E116" s="115" t="s">
        <v>14</v>
      </c>
      <c r="F116" s="6">
        <v>422957</v>
      </c>
      <c r="G116" s="6" t="s">
        <v>163</v>
      </c>
      <c r="H116" s="6">
        <v>2</v>
      </c>
      <c r="I116" s="6">
        <v>20220915</v>
      </c>
      <c r="J116" s="7">
        <v>44866</v>
      </c>
      <c r="K116" s="6" t="s">
        <v>408</v>
      </c>
      <c r="L116" s="6" t="s">
        <v>17</v>
      </c>
      <c r="M116" s="11">
        <v>7000</v>
      </c>
    </row>
    <row r="117" spans="1:13" x14ac:dyDescent="0.35">
      <c r="A117" s="6">
        <v>150726</v>
      </c>
      <c r="B117" s="6" t="s">
        <v>18</v>
      </c>
      <c r="C117" s="6" t="s">
        <v>13</v>
      </c>
      <c r="D117" s="6">
        <v>4103</v>
      </c>
      <c r="E117" s="6" t="s">
        <v>14</v>
      </c>
      <c r="F117" s="6">
        <v>501621</v>
      </c>
      <c r="G117" s="6" t="s">
        <v>409</v>
      </c>
      <c r="H117" s="58">
        <v>1</v>
      </c>
      <c r="I117" s="6">
        <v>20220916</v>
      </c>
      <c r="J117" s="7">
        <v>44880</v>
      </c>
      <c r="K117" s="6" t="s">
        <v>410</v>
      </c>
      <c r="L117" s="6" t="s">
        <v>17</v>
      </c>
      <c r="M117" s="113">
        <v>50000</v>
      </c>
    </row>
    <row r="118" spans="1:13" x14ac:dyDescent="0.35">
      <c r="A118" s="6">
        <v>147967</v>
      </c>
      <c r="B118" s="6" t="s">
        <v>18</v>
      </c>
      <c r="C118" s="6" t="s">
        <v>13</v>
      </c>
      <c r="D118" s="6">
        <v>4116</v>
      </c>
      <c r="E118" s="6" t="s">
        <v>14</v>
      </c>
      <c r="F118" s="6">
        <v>539476</v>
      </c>
      <c r="G118" s="6" t="s">
        <v>411</v>
      </c>
      <c r="H118" s="58">
        <v>1</v>
      </c>
      <c r="I118" s="6">
        <v>20220922</v>
      </c>
      <c r="J118" s="7">
        <v>44839</v>
      </c>
      <c r="K118" s="6" t="s">
        <v>54</v>
      </c>
      <c r="L118" s="6" t="s">
        <v>17</v>
      </c>
      <c r="M118" s="113">
        <v>20000</v>
      </c>
    </row>
    <row r="119" spans="1:13" x14ac:dyDescent="0.35">
      <c r="A119" s="6">
        <v>153299</v>
      </c>
      <c r="B119" s="6" t="s">
        <v>277</v>
      </c>
      <c r="C119" s="6" t="s">
        <v>407</v>
      </c>
      <c r="D119" s="6">
        <v>2907</v>
      </c>
      <c r="E119" s="6" t="s">
        <v>14</v>
      </c>
      <c r="F119" s="6">
        <v>555687</v>
      </c>
      <c r="G119" s="6" t="s">
        <v>412</v>
      </c>
      <c r="H119" s="6">
        <v>4</v>
      </c>
      <c r="I119" s="6">
        <v>20220930</v>
      </c>
      <c r="J119" s="7">
        <v>44879</v>
      </c>
      <c r="K119" s="6" t="s">
        <v>28</v>
      </c>
      <c r="L119" s="6" t="s">
        <v>17</v>
      </c>
      <c r="M119" s="11">
        <v>12000</v>
      </c>
    </row>
    <row r="120" spans="1:13" x14ac:dyDescent="0.35">
      <c r="M120" s="110">
        <f>SUM(M105:M119)</f>
        <v>729000</v>
      </c>
    </row>
    <row r="122" spans="1:13" x14ac:dyDescent="0.35">
      <c r="B122" s="114" t="s">
        <v>119</v>
      </c>
      <c r="J122"/>
    </row>
    <row r="123" spans="1:13" x14ac:dyDescent="0.35">
      <c r="A123" s="5" t="s">
        <v>0</v>
      </c>
      <c r="B123" s="5" t="s">
        <v>1</v>
      </c>
      <c r="C123" s="5" t="s">
        <v>2</v>
      </c>
      <c r="D123" s="5" t="s">
        <v>3</v>
      </c>
      <c r="E123" s="5" t="s">
        <v>4</v>
      </c>
      <c r="F123" s="5" t="s">
        <v>5</v>
      </c>
      <c r="G123" s="5" t="s">
        <v>6</v>
      </c>
      <c r="H123" s="5" t="s">
        <v>374</v>
      </c>
      <c r="I123" s="5" t="s">
        <v>7</v>
      </c>
      <c r="J123" s="5" t="s">
        <v>8</v>
      </c>
      <c r="K123" s="5" t="s">
        <v>9</v>
      </c>
      <c r="L123" s="5" t="s">
        <v>10</v>
      </c>
      <c r="M123" s="5" t="s">
        <v>11</v>
      </c>
    </row>
    <row r="124" spans="1:13" x14ac:dyDescent="0.35">
      <c r="A124" s="41">
        <v>158066</v>
      </c>
      <c r="B124" s="41" t="s">
        <v>29</v>
      </c>
      <c r="C124" s="41" t="s">
        <v>13</v>
      </c>
      <c r="D124" s="41">
        <v>240</v>
      </c>
      <c r="E124" s="41" t="s">
        <v>14</v>
      </c>
      <c r="F124" s="41">
        <v>552872</v>
      </c>
      <c r="G124" s="41" t="s">
        <v>413</v>
      </c>
      <c r="H124" s="62">
        <v>1</v>
      </c>
      <c r="I124" s="41">
        <v>20221012</v>
      </c>
      <c r="J124" s="47">
        <v>44938</v>
      </c>
      <c r="K124" s="41" t="s">
        <v>143</v>
      </c>
      <c r="L124" s="41" t="s">
        <v>17</v>
      </c>
      <c r="M124" s="121">
        <v>150000</v>
      </c>
    </row>
    <row r="125" spans="1:13" x14ac:dyDescent="0.35">
      <c r="A125" s="6">
        <v>157290</v>
      </c>
      <c r="B125" s="6" t="s">
        <v>29</v>
      </c>
      <c r="C125" s="6" t="s">
        <v>13</v>
      </c>
      <c r="D125" s="6">
        <v>215</v>
      </c>
      <c r="E125" s="6" t="s">
        <v>14</v>
      </c>
      <c r="F125" s="6">
        <v>503103</v>
      </c>
      <c r="G125" s="6" t="s">
        <v>414</v>
      </c>
      <c r="H125" s="58">
        <v>1</v>
      </c>
      <c r="I125" s="6">
        <v>20221004</v>
      </c>
      <c r="J125" s="7">
        <v>44882</v>
      </c>
      <c r="K125" s="6" t="s">
        <v>108</v>
      </c>
      <c r="L125" s="6" t="s">
        <v>17</v>
      </c>
      <c r="M125" s="113">
        <v>50000</v>
      </c>
    </row>
    <row r="126" spans="1:13" x14ac:dyDescent="0.35">
      <c r="A126" s="6">
        <v>157379</v>
      </c>
      <c r="B126" s="6" t="s">
        <v>18</v>
      </c>
      <c r="C126" s="6" t="s">
        <v>13</v>
      </c>
      <c r="D126" s="6">
        <v>4122</v>
      </c>
      <c r="E126" s="6" t="s">
        <v>14</v>
      </c>
      <c r="F126" s="6">
        <v>553953</v>
      </c>
      <c r="G126" s="6" t="s">
        <v>415</v>
      </c>
      <c r="H126" s="6">
        <v>2</v>
      </c>
      <c r="I126" s="6">
        <v>20221005</v>
      </c>
      <c r="J126" s="7">
        <v>44883</v>
      </c>
      <c r="K126" s="6" t="s">
        <v>416</v>
      </c>
      <c r="L126" s="6" t="s">
        <v>17</v>
      </c>
      <c r="M126" s="11">
        <v>35000</v>
      </c>
    </row>
    <row r="127" spans="1:13" x14ac:dyDescent="0.35">
      <c r="M127" s="110">
        <f>SUM(M124:M126)</f>
        <v>235000</v>
      </c>
    </row>
    <row r="129" spans="1:13" x14ac:dyDescent="0.35">
      <c r="B129" s="114" t="s">
        <v>129</v>
      </c>
      <c r="J129"/>
    </row>
    <row r="130" spans="1:13" x14ac:dyDescent="0.35">
      <c r="A130" s="5" t="s">
        <v>0</v>
      </c>
      <c r="B130" s="5" t="s">
        <v>1</v>
      </c>
      <c r="C130" s="5" t="s">
        <v>2</v>
      </c>
      <c r="D130" s="5" t="s">
        <v>3</v>
      </c>
      <c r="E130" s="5" t="s">
        <v>4</v>
      </c>
      <c r="F130" s="5" t="s">
        <v>5</v>
      </c>
      <c r="G130" s="5" t="s">
        <v>6</v>
      </c>
      <c r="H130" s="5" t="s">
        <v>374</v>
      </c>
      <c r="I130" s="5" t="s">
        <v>7</v>
      </c>
      <c r="J130" s="5" t="s">
        <v>8</v>
      </c>
      <c r="K130" s="5" t="s">
        <v>9</v>
      </c>
      <c r="L130" s="5" t="s">
        <v>10</v>
      </c>
      <c r="M130" s="5" t="s">
        <v>11</v>
      </c>
    </row>
    <row r="131" spans="1:13" x14ac:dyDescent="0.35">
      <c r="A131" s="6">
        <v>10904166</v>
      </c>
      <c r="B131" s="6" t="s">
        <v>58</v>
      </c>
      <c r="C131" s="41" t="s">
        <v>13</v>
      </c>
      <c r="D131" s="6">
        <v>30012</v>
      </c>
      <c r="E131" s="6" t="s">
        <v>417</v>
      </c>
      <c r="F131" s="6">
        <v>504141</v>
      </c>
      <c r="G131" s="6" t="s">
        <v>256</v>
      </c>
      <c r="H131" s="6">
        <v>3</v>
      </c>
      <c r="I131" s="6">
        <v>20221123</v>
      </c>
      <c r="J131" s="7">
        <v>44980</v>
      </c>
      <c r="K131" s="6" t="s">
        <v>418</v>
      </c>
      <c r="L131" s="6" t="s">
        <v>17</v>
      </c>
      <c r="M131" s="11">
        <v>30000</v>
      </c>
    </row>
    <row r="132" spans="1:13" x14ac:dyDescent="0.35">
      <c r="A132" s="6">
        <v>10902490</v>
      </c>
      <c r="B132" s="6" t="s">
        <v>58</v>
      </c>
      <c r="C132" s="41" t="s">
        <v>55</v>
      </c>
      <c r="D132" s="6">
        <v>30007</v>
      </c>
      <c r="E132" s="6" t="s">
        <v>417</v>
      </c>
      <c r="F132" s="6">
        <v>562065</v>
      </c>
      <c r="G132" s="6" t="s">
        <v>419</v>
      </c>
      <c r="H132" s="58">
        <v>1</v>
      </c>
      <c r="I132" s="6">
        <v>20221116</v>
      </c>
      <c r="J132" s="7">
        <v>44972</v>
      </c>
      <c r="K132" s="6" t="s">
        <v>218</v>
      </c>
      <c r="L132" s="6" t="s">
        <v>17</v>
      </c>
      <c r="M132" s="113">
        <v>50000</v>
      </c>
    </row>
    <row r="133" spans="1:13" x14ac:dyDescent="0.35">
      <c r="A133" s="6">
        <v>10904531</v>
      </c>
      <c r="B133" s="6" t="s">
        <v>29</v>
      </c>
      <c r="C133" s="41" t="s">
        <v>13</v>
      </c>
      <c r="D133" s="6">
        <v>2009</v>
      </c>
      <c r="E133" s="6" t="s">
        <v>417</v>
      </c>
      <c r="F133" s="6">
        <v>446248</v>
      </c>
      <c r="G133" s="6" t="s">
        <v>420</v>
      </c>
      <c r="H133" s="58">
        <v>1</v>
      </c>
      <c r="I133" s="6">
        <v>20221124</v>
      </c>
      <c r="J133" s="7">
        <v>44932</v>
      </c>
      <c r="K133" s="6" t="s">
        <v>252</v>
      </c>
      <c r="L133" s="6" t="s">
        <v>17</v>
      </c>
      <c r="M133" s="113">
        <v>80000</v>
      </c>
    </row>
    <row r="134" spans="1:13" x14ac:dyDescent="0.35">
      <c r="A134" s="6">
        <v>10904844</v>
      </c>
      <c r="B134" s="6" t="s">
        <v>29</v>
      </c>
      <c r="C134" s="41" t="s">
        <v>22</v>
      </c>
      <c r="D134" s="6">
        <v>2038</v>
      </c>
      <c r="E134" s="6" t="s">
        <v>417</v>
      </c>
      <c r="F134" s="6">
        <v>512612</v>
      </c>
      <c r="G134" s="6" t="s">
        <v>311</v>
      </c>
      <c r="H134" s="6">
        <v>3</v>
      </c>
      <c r="I134" s="6">
        <v>20221125</v>
      </c>
      <c r="J134" s="7">
        <v>44932</v>
      </c>
      <c r="K134" s="6" t="s">
        <v>421</v>
      </c>
      <c r="L134" s="6" t="s">
        <v>17</v>
      </c>
      <c r="M134" s="11">
        <v>10000</v>
      </c>
    </row>
    <row r="135" spans="1:13" x14ac:dyDescent="0.35">
      <c r="A135" s="6">
        <v>10903021</v>
      </c>
      <c r="B135" s="6" t="s">
        <v>29</v>
      </c>
      <c r="C135" s="41" t="s">
        <v>13</v>
      </c>
      <c r="D135" s="6">
        <v>2038</v>
      </c>
      <c r="E135" s="6" t="s">
        <v>417</v>
      </c>
      <c r="F135" s="6">
        <v>565127</v>
      </c>
      <c r="G135" s="6" t="s">
        <v>422</v>
      </c>
      <c r="H135" s="58">
        <v>1</v>
      </c>
      <c r="I135" s="6">
        <v>20221118</v>
      </c>
      <c r="J135" s="7">
        <v>44927</v>
      </c>
      <c r="K135" s="6" t="s">
        <v>65</v>
      </c>
      <c r="L135" s="6" t="s">
        <v>17</v>
      </c>
      <c r="M135" s="113">
        <v>80000</v>
      </c>
    </row>
    <row r="136" spans="1:13" x14ac:dyDescent="0.35">
      <c r="A136" s="6">
        <v>10905573</v>
      </c>
      <c r="B136" s="6" t="s">
        <v>109</v>
      </c>
      <c r="C136" s="41" t="s">
        <v>13</v>
      </c>
      <c r="D136" s="6">
        <v>40014</v>
      </c>
      <c r="E136" s="6" t="s">
        <v>417</v>
      </c>
      <c r="F136" s="6">
        <v>562512</v>
      </c>
      <c r="G136" s="6" t="s">
        <v>423</v>
      </c>
      <c r="H136" s="58">
        <v>1</v>
      </c>
      <c r="I136" s="6">
        <v>20221130</v>
      </c>
      <c r="J136" s="7">
        <v>44999</v>
      </c>
      <c r="K136" s="6" t="s">
        <v>424</v>
      </c>
      <c r="L136" s="6" t="s">
        <v>17</v>
      </c>
      <c r="M136" s="113">
        <v>80000</v>
      </c>
    </row>
    <row r="137" spans="1:13" x14ac:dyDescent="0.35">
      <c r="A137" s="6">
        <v>10904755</v>
      </c>
      <c r="B137" s="6" t="s">
        <v>44</v>
      </c>
      <c r="C137" s="41" t="s">
        <v>13</v>
      </c>
      <c r="D137" s="6">
        <v>5010</v>
      </c>
      <c r="E137" s="6" t="s">
        <v>417</v>
      </c>
      <c r="F137" s="6">
        <v>520714</v>
      </c>
      <c r="G137" s="6" t="s">
        <v>317</v>
      </c>
      <c r="H137" s="6">
        <v>2</v>
      </c>
      <c r="I137" s="6">
        <v>20221124</v>
      </c>
      <c r="J137" s="7">
        <v>44981</v>
      </c>
      <c r="K137" s="6" t="s">
        <v>425</v>
      </c>
      <c r="L137" s="6" t="s">
        <v>17</v>
      </c>
      <c r="M137" s="11">
        <v>100000</v>
      </c>
    </row>
    <row r="138" spans="1:13" x14ac:dyDescent="0.35">
      <c r="A138" s="6">
        <v>10900602</v>
      </c>
      <c r="B138" s="6" t="s">
        <v>32</v>
      </c>
      <c r="C138" s="41" t="s">
        <v>70</v>
      </c>
      <c r="D138" s="6">
        <v>20002</v>
      </c>
      <c r="E138" s="6" t="s">
        <v>417</v>
      </c>
      <c r="F138" s="6">
        <v>153851</v>
      </c>
      <c r="G138" s="6" t="s">
        <v>426</v>
      </c>
      <c r="H138" s="6">
        <v>4</v>
      </c>
      <c r="I138" s="6">
        <v>20221108</v>
      </c>
      <c r="J138" s="7">
        <v>44946</v>
      </c>
      <c r="K138" s="6" t="s">
        <v>128</v>
      </c>
      <c r="L138" s="6" t="s">
        <v>17</v>
      </c>
      <c r="M138" s="11">
        <v>80000</v>
      </c>
    </row>
    <row r="139" spans="1:13" x14ac:dyDescent="0.35">
      <c r="A139" s="6">
        <v>10904771</v>
      </c>
      <c r="B139" s="6" t="s">
        <v>18</v>
      </c>
      <c r="C139" s="41" t="s">
        <v>13</v>
      </c>
      <c r="D139" s="6">
        <v>41001</v>
      </c>
      <c r="E139" s="6" t="s">
        <v>417</v>
      </c>
      <c r="F139" s="6">
        <v>345427</v>
      </c>
      <c r="G139" s="6" t="s">
        <v>427</v>
      </c>
      <c r="H139" s="58">
        <v>1</v>
      </c>
      <c r="I139" s="6">
        <v>20221125</v>
      </c>
      <c r="J139" s="7">
        <v>44946</v>
      </c>
      <c r="K139" s="6" t="s">
        <v>428</v>
      </c>
      <c r="L139" s="6" t="s">
        <v>17</v>
      </c>
      <c r="M139" s="113">
        <v>200000</v>
      </c>
    </row>
    <row r="140" spans="1:13" x14ac:dyDescent="0.35">
      <c r="A140" s="6">
        <v>10902575</v>
      </c>
      <c r="B140" s="6" t="s">
        <v>18</v>
      </c>
      <c r="C140" s="41" t="s">
        <v>13</v>
      </c>
      <c r="D140" s="6">
        <v>41002</v>
      </c>
      <c r="E140" s="6" t="s">
        <v>417</v>
      </c>
      <c r="F140" s="6">
        <v>561695</v>
      </c>
      <c r="G140" s="6" t="s">
        <v>429</v>
      </c>
      <c r="H140" s="58">
        <v>1</v>
      </c>
      <c r="I140" s="6">
        <v>20221117</v>
      </c>
      <c r="J140" s="7">
        <v>44938</v>
      </c>
      <c r="K140" s="6" t="s">
        <v>430</v>
      </c>
      <c r="L140" s="6" t="s">
        <v>17</v>
      </c>
      <c r="M140" s="113">
        <v>80000</v>
      </c>
    </row>
    <row r="141" spans="1:13" x14ac:dyDescent="0.35">
      <c r="A141" s="6">
        <v>10903275</v>
      </c>
      <c r="B141" s="6" t="s">
        <v>18</v>
      </c>
      <c r="C141" s="41" t="s">
        <v>13</v>
      </c>
      <c r="D141" s="6">
        <v>41003</v>
      </c>
      <c r="E141" s="6" t="s">
        <v>417</v>
      </c>
      <c r="F141" s="6">
        <v>491919</v>
      </c>
      <c r="G141" s="6" t="s">
        <v>286</v>
      </c>
      <c r="H141" s="6">
        <v>2</v>
      </c>
      <c r="I141" s="6">
        <v>20221121</v>
      </c>
      <c r="J141" s="7">
        <v>44942</v>
      </c>
      <c r="K141" s="6" t="s">
        <v>240</v>
      </c>
      <c r="L141" s="6" t="s">
        <v>17</v>
      </c>
      <c r="M141" s="11">
        <v>100000</v>
      </c>
    </row>
    <row r="142" spans="1:13" x14ac:dyDescent="0.35">
      <c r="A142" s="6">
        <v>10903925</v>
      </c>
      <c r="B142" s="6" t="s">
        <v>21</v>
      </c>
      <c r="C142" s="41" t="s">
        <v>13</v>
      </c>
      <c r="D142" s="6">
        <v>13005</v>
      </c>
      <c r="E142" s="6" t="s">
        <v>417</v>
      </c>
      <c r="F142" s="6">
        <v>290848</v>
      </c>
      <c r="G142" s="6" t="s">
        <v>431</v>
      </c>
      <c r="H142" s="6">
        <v>5</v>
      </c>
      <c r="I142" s="6">
        <v>20221115</v>
      </c>
      <c r="J142" s="7">
        <v>44938</v>
      </c>
      <c r="K142" s="6" t="s">
        <v>69</v>
      </c>
      <c r="L142" s="6" t="s">
        <v>17</v>
      </c>
      <c r="M142" s="11">
        <v>4000</v>
      </c>
    </row>
    <row r="143" spans="1:13" x14ac:dyDescent="0.35">
      <c r="M143" s="110">
        <f>SUM(M131:M142)</f>
        <v>894000</v>
      </c>
    </row>
    <row r="145" spans="1:13" x14ac:dyDescent="0.35">
      <c r="B145" s="114" t="s">
        <v>137</v>
      </c>
      <c r="J145"/>
    </row>
    <row r="146" spans="1:13" x14ac:dyDescent="0.35">
      <c r="A146" s="5" t="s">
        <v>0</v>
      </c>
      <c r="B146" s="5" t="s">
        <v>1</v>
      </c>
      <c r="C146" s="5" t="s">
        <v>2</v>
      </c>
      <c r="D146" s="5" t="s">
        <v>3</v>
      </c>
      <c r="E146" s="5" t="s">
        <v>4</v>
      </c>
      <c r="F146" s="5" t="s">
        <v>5</v>
      </c>
      <c r="G146" s="5" t="s">
        <v>6</v>
      </c>
      <c r="H146" s="5" t="s">
        <v>374</v>
      </c>
      <c r="I146" s="5" t="s">
        <v>7</v>
      </c>
      <c r="J146" s="5" t="s">
        <v>8</v>
      </c>
      <c r="K146" s="5" t="s">
        <v>9</v>
      </c>
      <c r="L146" s="5" t="s">
        <v>10</v>
      </c>
      <c r="M146" s="5" t="s">
        <v>11</v>
      </c>
    </row>
    <row r="147" spans="1:13" x14ac:dyDescent="0.35">
      <c r="A147" s="6">
        <v>10907436</v>
      </c>
      <c r="B147" s="6" t="s">
        <v>58</v>
      </c>
      <c r="C147" s="41" t="s">
        <v>13</v>
      </c>
      <c r="D147" s="6">
        <v>30016</v>
      </c>
      <c r="E147" s="6" t="s">
        <v>432</v>
      </c>
      <c r="F147" s="6">
        <v>411668</v>
      </c>
      <c r="G147" s="6" t="s">
        <v>433</v>
      </c>
      <c r="H147" s="58">
        <v>1</v>
      </c>
      <c r="I147" s="6">
        <v>20221212</v>
      </c>
      <c r="J147" s="7">
        <v>44970</v>
      </c>
      <c r="K147" s="6" t="s">
        <v>434</v>
      </c>
      <c r="L147" s="6" t="s">
        <v>17</v>
      </c>
      <c r="M147" s="113">
        <v>100000</v>
      </c>
    </row>
    <row r="148" spans="1:13" x14ac:dyDescent="0.35">
      <c r="A148" s="6">
        <v>10908542</v>
      </c>
      <c r="B148" s="6" t="s">
        <v>29</v>
      </c>
      <c r="C148" s="41" t="s">
        <v>13</v>
      </c>
      <c r="D148" s="6">
        <v>2038</v>
      </c>
      <c r="E148" s="6" t="s">
        <v>432</v>
      </c>
      <c r="F148" s="6">
        <v>295136</v>
      </c>
      <c r="G148" s="6" t="s">
        <v>435</v>
      </c>
      <c r="H148" s="58">
        <v>1</v>
      </c>
      <c r="I148" s="6">
        <v>20221216</v>
      </c>
      <c r="J148" s="7">
        <v>44958</v>
      </c>
      <c r="K148" s="6" t="s">
        <v>213</v>
      </c>
      <c r="L148" s="6" t="s">
        <v>17</v>
      </c>
      <c r="M148" s="113">
        <v>50000</v>
      </c>
    </row>
    <row r="149" spans="1:13" x14ac:dyDescent="0.35">
      <c r="A149" s="6">
        <v>10906845</v>
      </c>
      <c r="B149" s="6" t="s">
        <v>29</v>
      </c>
      <c r="C149" s="41" t="s">
        <v>70</v>
      </c>
      <c r="D149" s="6">
        <v>2040</v>
      </c>
      <c r="E149" s="6" t="s">
        <v>432</v>
      </c>
      <c r="F149" s="6">
        <v>399646</v>
      </c>
      <c r="G149" s="6" t="s">
        <v>170</v>
      </c>
      <c r="H149" s="6">
        <v>3</v>
      </c>
      <c r="I149" s="6">
        <v>20221207</v>
      </c>
      <c r="J149" s="7">
        <v>44992</v>
      </c>
      <c r="K149" s="6" t="s">
        <v>436</v>
      </c>
      <c r="L149" s="6" t="s">
        <v>17</v>
      </c>
      <c r="M149" s="11">
        <v>50000</v>
      </c>
    </row>
    <row r="150" spans="1:13" x14ac:dyDescent="0.35">
      <c r="A150" s="6">
        <v>10908274</v>
      </c>
      <c r="B150" s="6" t="s">
        <v>29</v>
      </c>
      <c r="C150" s="41" t="s">
        <v>70</v>
      </c>
      <c r="D150" s="6">
        <v>2044</v>
      </c>
      <c r="E150" s="6" t="s">
        <v>432</v>
      </c>
      <c r="F150" s="6">
        <v>529460</v>
      </c>
      <c r="G150" s="6" t="s">
        <v>356</v>
      </c>
      <c r="H150" s="6">
        <v>3</v>
      </c>
      <c r="I150" s="6">
        <v>20221215</v>
      </c>
      <c r="J150" s="7">
        <v>44952</v>
      </c>
      <c r="K150" s="6" t="s">
        <v>437</v>
      </c>
      <c r="L150" s="6" t="s">
        <v>17</v>
      </c>
      <c r="M150" s="44">
        <v>200000</v>
      </c>
    </row>
    <row r="151" spans="1:13" x14ac:dyDescent="0.35">
      <c r="A151" s="6">
        <v>10908971</v>
      </c>
      <c r="B151" s="6" t="s">
        <v>29</v>
      </c>
      <c r="C151" s="41" t="s">
        <v>13</v>
      </c>
      <c r="D151" s="6">
        <v>2040</v>
      </c>
      <c r="E151" s="6" t="s">
        <v>432</v>
      </c>
      <c r="F151" s="6">
        <v>486309</v>
      </c>
      <c r="G151" s="6" t="s">
        <v>217</v>
      </c>
      <c r="H151" s="6">
        <v>2</v>
      </c>
      <c r="I151" s="6">
        <v>20221220</v>
      </c>
      <c r="J151" s="7">
        <v>45005</v>
      </c>
      <c r="K151" s="6" t="s">
        <v>386</v>
      </c>
      <c r="L151" s="6" t="s">
        <v>17</v>
      </c>
      <c r="M151" s="11">
        <v>100000</v>
      </c>
    </row>
    <row r="152" spans="1:13" x14ac:dyDescent="0.35">
      <c r="A152" s="6">
        <v>10906543</v>
      </c>
      <c r="B152" s="6" t="s">
        <v>29</v>
      </c>
      <c r="C152" s="41" t="s">
        <v>13</v>
      </c>
      <c r="D152" s="6">
        <v>2037</v>
      </c>
      <c r="E152" s="6" t="s">
        <v>432</v>
      </c>
      <c r="F152" s="6">
        <v>552320</v>
      </c>
      <c r="G152" s="6" t="s">
        <v>438</v>
      </c>
      <c r="H152" s="58">
        <v>1</v>
      </c>
      <c r="I152" s="6">
        <v>20221205</v>
      </c>
      <c r="J152" s="7">
        <v>44944</v>
      </c>
      <c r="K152" s="6" t="s">
        <v>108</v>
      </c>
      <c r="L152" s="6" t="s">
        <v>17</v>
      </c>
      <c r="M152" s="113">
        <v>50000</v>
      </c>
    </row>
    <row r="153" spans="1:13" x14ac:dyDescent="0.35">
      <c r="A153" s="6">
        <v>10906297</v>
      </c>
      <c r="B153" s="6" t="s">
        <v>29</v>
      </c>
      <c r="C153" s="41" t="s">
        <v>13</v>
      </c>
      <c r="D153" s="6">
        <v>26030</v>
      </c>
      <c r="E153" s="6" t="s">
        <v>432</v>
      </c>
      <c r="F153" s="6">
        <v>548626</v>
      </c>
      <c r="G153" s="6" t="s">
        <v>439</v>
      </c>
      <c r="H153" s="58">
        <v>1</v>
      </c>
      <c r="I153" s="6">
        <v>20221201</v>
      </c>
      <c r="J153" s="7">
        <v>44978</v>
      </c>
      <c r="K153" s="6" t="s">
        <v>440</v>
      </c>
      <c r="L153" s="6" t="s">
        <v>17</v>
      </c>
      <c r="M153" s="113">
        <v>50000</v>
      </c>
    </row>
    <row r="154" spans="1:13" x14ac:dyDescent="0.35">
      <c r="A154" s="6">
        <v>10906588</v>
      </c>
      <c r="B154" s="6" t="s">
        <v>29</v>
      </c>
      <c r="C154" s="41" t="s">
        <v>13</v>
      </c>
      <c r="D154" s="6">
        <v>2028</v>
      </c>
      <c r="E154" s="6" t="s">
        <v>432</v>
      </c>
      <c r="F154" s="6">
        <v>561106</v>
      </c>
      <c r="G154" s="6" t="s">
        <v>441</v>
      </c>
      <c r="H154" s="58">
        <v>1</v>
      </c>
      <c r="I154" s="6">
        <v>20221206</v>
      </c>
      <c r="J154" s="7">
        <v>44993</v>
      </c>
      <c r="K154" s="6" t="s">
        <v>232</v>
      </c>
      <c r="L154" s="6" t="s">
        <v>17</v>
      </c>
      <c r="M154" s="113">
        <v>60000</v>
      </c>
    </row>
    <row r="155" spans="1:13" x14ac:dyDescent="0.35">
      <c r="A155" s="6">
        <v>10908222</v>
      </c>
      <c r="B155" s="6" t="s">
        <v>32</v>
      </c>
      <c r="C155" s="41" t="s">
        <v>13</v>
      </c>
      <c r="D155" s="6">
        <v>20002</v>
      </c>
      <c r="E155" s="6" t="s">
        <v>432</v>
      </c>
      <c r="F155" s="6">
        <v>235584</v>
      </c>
      <c r="G155" s="6" t="s">
        <v>442</v>
      </c>
      <c r="H155" s="6">
        <v>5</v>
      </c>
      <c r="I155" s="6">
        <v>20221215</v>
      </c>
      <c r="J155" s="7">
        <v>44953</v>
      </c>
      <c r="K155" s="6" t="s">
        <v>443</v>
      </c>
      <c r="L155" s="6" t="s">
        <v>17</v>
      </c>
      <c r="M155" s="11">
        <v>30000</v>
      </c>
    </row>
    <row r="156" spans="1:13" x14ac:dyDescent="0.35">
      <c r="A156" s="6">
        <v>10908751</v>
      </c>
      <c r="B156" s="6" t="s">
        <v>18</v>
      </c>
      <c r="C156" s="41" t="s">
        <v>13</v>
      </c>
      <c r="D156" s="6">
        <v>41022</v>
      </c>
      <c r="E156" s="6" t="s">
        <v>432</v>
      </c>
      <c r="F156" s="6">
        <v>565599</v>
      </c>
      <c r="G156" s="6" t="s">
        <v>444</v>
      </c>
      <c r="H156" s="58">
        <v>1</v>
      </c>
      <c r="I156" s="6">
        <v>20221219</v>
      </c>
      <c r="J156" s="7">
        <v>44958</v>
      </c>
      <c r="K156" s="6" t="s">
        <v>445</v>
      </c>
      <c r="L156" s="6" t="s">
        <v>17</v>
      </c>
      <c r="M156" s="113">
        <v>80000</v>
      </c>
    </row>
    <row r="157" spans="1:13" x14ac:dyDescent="0.35">
      <c r="A157" s="6">
        <v>10906805</v>
      </c>
      <c r="B157" s="6" t="s">
        <v>18</v>
      </c>
      <c r="C157" s="41" t="s">
        <v>13</v>
      </c>
      <c r="D157" s="6">
        <v>41003</v>
      </c>
      <c r="E157" s="6" t="s">
        <v>432</v>
      </c>
      <c r="F157" s="6">
        <v>556920</v>
      </c>
      <c r="G157" s="6" t="s">
        <v>446</v>
      </c>
      <c r="H157" s="58">
        <v>1</v>
      </c>
      <c r="I157" s="6">
        <v>20221207</v>
      </c>
      <c r="J157" s="7">
        <v>44959</v>
      </c>
      <c r="K157" s="6" t="s">
        <v>240</v>
      </c>
      <c r="L157" s="6" t="s">
        <v>17</v>
      </c>
      <c r="M157" s="113">
        <v>80000</v>
      </c>
    </row>
    <row r="158" spans="1:13" x14ac:dyDescent="0.35">
      <c r="M158" s="110">
        <f>SUM(M147:M157)</f>
        <v>850000</v>
      </c>
    </row>
  </sheetData>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ADD7-2995-4396-BD1D-6CF9715ED647}">
  <sheetPr codeName="Sheet5"/>
  <dimension ref="A1:M138"/>
  <sheetViews>
    <sheetView zoomScale="90" zoomScaleNormal="90" workbookViewId="0">
      <selection activeCell="C14" sqref="C14"/>
    </sheetView>
  </sheetViews>
  <sheetFormatPr defaultColWidth="8.7265625" defaultRowHeight="14.5" x14ac:dyDescent="0.35"/>
  <cols>
    <col min="1" max="1" width="11" bestFit="1" customWidth="1"/>
    <col min="2" max="2" width="18.1796875" bestFit="1" customWidth="1"/>
    <col min="3" max="3" width="14.1796875" bestFit="1" customWidth="1"/>
    <col min="5" max="5" width="21.1796875" customWidth="1"/>
    <col min="7" max="7" width="34.81640625" customWidth="1"/>
    <col min="8" max="8" width="7" customWidth="1"/>
    <col min="9" max="9" width="12.1796875" bestFit="1" customWidth="1"/>
    <col min="10" max="10" width="16.54296875" style="105" bestFit="1" customWidth="1"/>
    <col min="13" max="13" width="12.7265625" bestFit="1" customWidth="1"/>
  </cols>
  <sheetData>
    <row r="1" spans="1:13" ht="15" thickBot="1" x14ac:dyDescent="0.4"/>
    <row r="2" spans="1:13" x14ac:dyDescent="0.35">
      <c r="B2" s="4" t="s">
        <v>147</v>
      </c>
    </row>
    <row r="3" spans="1:13" x14ac:dyDescent="0.35">
      <c r="A3" s="5" t="s">
        <v>0</v>
      </c>
      <c r="B3" s="5" t="s">
        <v>1</v>
      </c>
      <c r="C3" s="5" t="s">
        <v>2</v>
      </c>
      <c r="D3" s="5" t="s">
        <v>3</v>
      </c>
      <c r="E3" s="5" t="s">
        <v>4</v>
      </c>
      <c r="F3" s="5" t="s">
        <v>5</v>
      </c>
      <c r="G3" s="5" t="s">
        <v>6</v>
      </c>
      <c r="H3" s="5" t="s">
        <v>100</v>
      </c>
      <c r="I3" s="5" t="s">
        <v>7</v>
      </c>
      <c r="J3" s="107" t="s">
        <v>8</v>
      </c>
      <c r="K3" s="5" t="s">
        <v>9</v>
      </c>
      <c r="L3" s="5" t="s">
        <v>10</v>
      </c>
      <c r="M3" s="5" t="s">
        <v>11</v>
      </c>
    </row>
    <row r="4" spans="1:13" x14ac:dyDescent="0.35">
      <c r="A4" s="6">
        <v>10912379</v>
      </c>
      <c r="B4" s="6" t="s">
        <v>58</v>
      </c>
      <c r="C4" s="41" t="s">
        <v>13</v>
      </c>
      <c r="D4" s="6">
        <v>30016</v>
      </c>
      <c r="E4" s="6" t="s">
        <v>432</v>
      </c>
      <c r="F4" s="6">
        <v>382075</v>
      </c>
      <c r="G4" s="6" t="s">
        <v>316</v>
      </c>
      <c r="H4" s="6">
        <v>2</v>
      </c>
      <c r="I4" s="6">
        <v>20230120</v>
      </c>
      <c r="J4" s="7">
        <v>45005</v>
      </c>
      <c r="K4" s="6" t="s">
        <v>191</v>
      </c>
      <c r="L4" s="6" t="s">
        <v>17</v>
      </c>
      <c r="M4" s="11">
        <v>150000</v>
      </c>
    </row>
    <row r="5" spans="1:13" x14ac:dyDescent="0.35">
      <c r="A5" s="6">
        <v>10911564</v>
      </c>
      <c r="B5" s="6" t="s">
        <v>29</v>
      </c>
      <c r="C5" s="41" t="s">
        <v>13</v>
      </c>
      <c r="D5" s="6">
        <v>2038</v>
      </c>
      <c r="E5" s="6" t="s">
        <v>432</v>
      </c>
      <c r="F5" s="6">
        <v>390980</v>
      </c>
      <c r="G5" s="6" t="s">
        <v>447</v>
      </c>
      <c r="H5" s="58">
        <v>1</v>
      </c>
      <c r="I5" s="6">
        <v>20230116</v>
      </c>
      <c r="J5" s="7">
        <v>44973</v>
      </c>
      <c r="K5" s="6" t="s">
        <v>418</v>
      </c>
      <c r="L5" s="6" t="s">
        <v>17</v>
      </c>
      <c r="M5" s="11">
        <v>80000</v>
      </c>
    </row>
    <row r="6" spans="1:13" x14ac:dyDescent="0.35">
      <c r="A6" s="6">
        <v>10911178</v>
      </c>
      <c r="B6" s="6" t="s">
        <v>29</v>
      </c>
      <c r="C6" s="41" t="s">
        <v>13</v>
      </c>
      <c r="D6" s="6">
        <v>2028</v>
      </c>
      <c r="E6" s="6" t="s">
        <v>432</v>
      </c>
      <c r="F6" s="6">
        <v>480417</v>
      </c>
      <c r="G6" s="6" t="s">
        <v>243</v>
      </c>
      <c r="H6" s="6">
        <v>9</v>
      </c>
      <c r="I6" s="6">
        <v>20230111</v>
      </c>
      <c r="J6" s="7">
        <v>44995</v>
      </c>
      <c r="K6" s="6" t="s">
        <v>196</v>
      </c>
      <c r="L6" s="6" t="s">
        <v>17</v>
      </c>
      <c r="M6" s="11">
        <v>15000</v>
      </c>
    </row>
    <row r="7" spans="1:13" x14ac:dyDescent="0.35">
      <c r="A7" s="6">
        <v>10911374</v>
      </c>
      <c r="B7" s="6" t="s">
        <v>44</v>
      </c>
      <c r="C7" s="41" t="s">
        <v>70</v>
      </c>
      <c r="D7" s="6">
        <v>5010</v>
      </c>
      <c r="E7" s="6" t="s">
        <v>432</v>
      </c>
      <c r="F7" s="6">
        <v>572995</v>
      </c>
      <c r="G7" s="6" t="s">
        <v>448</v>
      </c>
      <c r="H7" s="6">
        <v>5</v>
      </c>
      <c r="I7" s="6">
        <v>20230113</v>
      </c>
      <c r="J7" s="7">
        <v>44971</v>
      </c>
      <c r="K7" s="6" t="s">
        <v>449</v>
      </c>
      <c r="L7" s="6" t="s">
        <v>17</v>
      </c>
      <c r="M7" s="44">
        <v>10000</v>
      </c>
    </row>
    <row r="8" spans="1:13" x14ac:dyDescent="0.35">
      <c r="A8" s="6">
        <v>10911501</v>
      </c>
      <c r="B8" s="6" t="s">
        <v>32</v>
      </c>
      <c r="C8" s="41" t="s">
        <v>13</v>
      </c>
      <c r="D8" s="6">
        <v>20023</v>
      </c>
      <c r="E8" s="6" t="s">
        <v>432</v>
      </c>
      <c r="F8" s="6">
        <v>508290</v>
      </c>
      <c r="G8" s="6" t="s">
        <v>450</v>
      </c>
      <c r="H8" s="6">
        <v>2</v>
      </c>
      <c r="I8" s="6">
        <v>20230116</v>
      </c>
      <c r="J8" s="7">
        <v>44987</v>
      </c>
      <c r="K8" s="6" t="s">
        <v>408</v>
      </c>
      <c r="L8" s="6" t="s">
        <v>17</v>
      </c>
      <c r="M8" s="11">
        <v>50000</v>
      </c>
    </row>
    <row r="9" spans="1:13" x14ac:dyDescent="0.35">
      <c r="A9" s="6">
        <v>10911891</v>
      </c>
      <c r="B9" s="6" t="s">
        <v>18</v>
      </c>
      <c r="C9" s="41" t="s">
        <v>13</v>
      </c>
      <c r="D9" s="6">
        <v>41016</v>
      </c>
      <c r="E9" s="6" t="s">
        <v>432</v>
      </c>
      <c r="F9" s="6">
        <v>262328</v>
      </c>
      <c r="G9" s="6" t="s">
        <v>107</v>
      </c>
      <c r="H9" s="6">
        <v>5</v>
      </c>
      <c r="I9" s="6">
        <v>20230118</v>
      </c>
      <c r="J9" s="7">
        <v>44988</v>
      </c>
      <c r="K9" s="6" t="s">
        <v>383</v>
      </c>
      <c r="L9" s="6" t="s">
        <v>17</v>
      </c>
      <c r="M9" s="11">
        <v>70000</v>
      </c>
    </row>
    <row r="10" spans="1:13" x14ac:dyDescent="0.35">
      <c r="M10" s="110">
        <f>SUM(M4:M9)</f>
        <v>375000</v>
      </c>
    </row>
    <row r="11" spans="1:13" ht="15" thickBot="1" x14ac:dyDescent="0.4"/>
    <row r="12" spans="1:13" x14ac:dyDescent="0.35">
      <c r="B12" s="4" t="s">
        <v>451</v>
      </c>
    </row>
    <row r="13" spans="1:13" x14ac:dyDescent="0.35">
      <c r="A13" s="5" t="s">
        <v>0</v>
      </c>
      <c r="B13" s="5" t="s">
        <v>1</v>
      </c>
      <c r="C13" s="5" t="s">
        <v>2</v>
      </c>
      <c r="D13" s="5" t="s">
        <v>3</v>
      </c>
      <c r="E13" s="5" t="s">
        <v>4</v>
      </c>
      <c r="F13" s="5" t="s">
        <v>5</v>
      </c>
      <c r="G13" s="5" t="s">
        <v>6</v>
      </c>
      <c r="H13" s="5" t="s">
        <v>374</v>
      </c>
      <c r="I13" s="5" t="s">
        <v>7</v>
      </c>
      <c r="J13" s="107" t="s">
        <v>8</v>
      </c>
      <c r="K13" s="5" t="s">
        <v>9</v>
      </c>
      <c r="L13" s="5" t="s">
        <v>10</v>
      </c>
      <c r="M13" s="5" t="s">
        <v>11</v>
      </c>
    </row>
    <row r="14" spans="1:13" x14ac:dyDescent="0.35">
      <c r="A14" s="6">
        <v>11060682</v>
      </c>
      <c r="B14" s="6" t="s">
        <v>29</v>
      </c>
      <c r="C14" s="41" t="s">
        <v>13</v>
      </c>
      <c r="D14" s="6">
        <v>26003</v>
      </c>
      <c r="E14" s="6" t="s">
        <v>432</v>
      </c>
      <c r="F14" s="6">
        <v>569160</v>
      </c>
      <c r="G14" s="6" t="s">
        <v>452</v>
      </c>
      <c r="H14" s="58">
        <v>1</v>
      </c>
      <c r="I14" s="6">
        <v>20230217</v>
      </c>
      <c r="J14" s="7">
        <v>45354</v>
      </c>
      <c r="K14" s="6">
        <v>380</v>
      </c>
      <c r="L14" s="6" t="s">
        <v>17</v>
      </c>
      <c r="M14" s="11">
        <v>50000</v>
      </c>
    </row>
    <row r="15" spans="1:13" x14ac:dyDescent="0.35">
      <c r="A15" s="6">
        <v>10997996</v>
      </c>
      <c r="B15" s="6" t="s">
        <v>18</v>
      </c>
      <c r="C15" s="41" t="s">
        <v>22</v>
      </c>
      <c r="D15" s="6">
        <v>41002</v>
      </c>
      <c r="E15" s="6" t="s">
        <v>432</v>
      </c>
      <c r="F15" s="6">
        <v>431351</v>
      </c>
      <c r="G15" s="6" t="s">
        <v>453</v>
      </c>
      <c r="H15" s="58">
        <v>1</v>
      </c>
      <c r="I15" s="6">
        <v>20230208</v>
      </c>
      <c r="J15" s="7">
        <v>45346</v>
      </c>
      <c r="K15" s="6">
        <v>381</v>
      </c>
      <c r="L15" s="6" t="s">
        <v>17</v>
      </c>
      <c r="M15" s="44">
        <v>15000</v>
      </c>
    </row>
    <row r="16" spans="1:13" x14ac:dyDescent="0.35">
      <c r="A16" s="6">
        <v>10957853</v>
      </c>
      <c r="B16" s="6" t="s">
        <v>12</v>
      </c>
      <c r="C16" s="41" t="s">
        <v>13</v>
      </c>
      <c r="D16" s="6">
        <v>8005</v>
      </c>
      <c r="E16" s="6" t="s">
        <v>432</v>
      </c>
      <c r="F16" s="6">
        <v>138985</v>
      </c>
      <c r="G16" s="6" t="s">
        <v>454</v>
      </c>
      <c r="H16" s="6">
        <v>2</v>
      </c>
      <c r="I16" s="6">
        <v>20230202</v>
      </c>
      <c r="J16" s="7">
        <v>45329</v>
      </c>
      <c r="K16" s="6">
        <v>370</v>
      </c>
      <c r="L16" s="6" t="s">
        <v>17</v>
      </c>
      <c r="M16" s="11">
        <v>5000</v>
      </c>
    </row>
    <row r="17" spans="1:13" x14ac:dyDescent="0.35">
      <c r="M17" s="110">
        <f>SUM(M14:M16)</f>
        <v>70000</v>
      </c>
    </row>
    <row r="18" spans="1:13" ht="15" thickBot="1" x14ac:dyDescent="0.4"/>
    <row r="19" spans="1:13" x14ac:dyDescent="0.35">
      <c r="B19" s="4" t="s">
        <v>52</v>
      </c>
    </row>
    <row r="20" spans="1:13" x14ac:dyDescent="0.35">
      <c r="A20" s="5" t="s">
        <v>0</v>
      </c>
      <c r="B20" s="5" t="s">
        <v>1</v>
      </c>
      <c r="C20" s="5" t="s">
        <v>2</v>
      </c>
      <c r="D20" s="5" t="s">
        <v>3</v>
      </c>
      <c r="E20" s="5" t="s">
        <v>4</v>
      </c>
      <c r="F20" s="5" t="s">
        <v>5</v>
      </c>
      <c r="G20" s="5" t="s">
        <v>6</v>
      </c>
      <c r="H20" s="5" t="s">
        <v>374</v>
      </c>
      <c r="I20" s="5" t="s">
        <v>7</v>
      </c>
      <c r="J20" s="107" t="s">
        <v>8</v>
      </c>
      <c r="K20" s="5" t="s">
        <v>9</v>
      </c>
      <c r="L20" s="5" t="s">
        <v>10</v>
      </c>
      <c r="M20" s="5" t="s">
        <v>11</v>
      </c>
    </row>
    <row r="21" spans="1:13" x14ac:dyDescent="0.35">
      <c r="A21" s="6">
        <v>11236156</v>
      </c>
      <c r="B21" s="6" t="s">
        <v>58</v>
      </c>
      <c r="C21" s="6" t="s">
        <v>455</v>
      </c>
      <c r="D21" s="6">
        <v>30012</v>
      </c>
      <c r="E21" s="6" t="s">
        <v>432</v>
      </c>
      <c r="F21" s="6">
        <v>427078</v>
      </c>
      <c r="G21" s="6" t="s">
        <v>348</v>
      </c>
      <c r="H21" s="6">
        <v>2</v>
      </c>
      <c r="I21" s="6">
        <v>20230324</v>
      </c>
      <c r="J21" s="106">
        <v>45051</v>
      </c>
      <c r="K21" s="6" t="s">
        <v>416</v>
      </c>
      <c r="L21" s="6" t="s">
        <v>17</v>
      </c>
      <c r="M21" s="8">
        <v>30000</v>
      </c>
    </row>
    <row r="22" spans="1:13" x14ac:dyDescent="0.35">
      <c r="A22" s="6">
        <v>11205237</v>
      </c>
      <c r="B22" s="6" t="s">
        <v>29</v>
      </c>
      <c r="C22" s="6" t="s">
        <v>455</v>
      </c>
      <c r="D22" s="6">
        <v>2010</v>
      </c>
      <c r="E22" s="6" t="s">
        <v>432</v>
      </c>
      <c r="F22" s="6">
        <v>411726</v>
      </c>
      <c r="G22" s="6" t="s">
        <v>234</v>
      </c>
      <c r="H22" s="6">
        <v>5</v>
      </c>
      <c r="I22" s="6">
        <v>20230316</v>
      </c>
      <c r="J22" s="106">
        <v>45048</v>
      </c>
      <c r="K22" s="6" t="s">
        <v>383</v>
      </c>
      <c r="L22" s="6" t="s">
        <v>17</v>
      </c>
      <c r="M22" s="8">
        <v>150000</v>
      </c>
    </row>
    <row r="23" spans="1:13" x14ac:dyDescent="0.35">
      <c r="A23" s="6">
        <v>11267413</v>
      </c>
      <c r="B23" s="6" t="s">
        <v>29</v>
      </c>
      <c r="C23" s="6" t="s">
        <v>455</v>
      </c>
      <c r="D23" s="6">
        <v>2010</v>
      </c>
      <c r="E23" s="6" t="s">
        <v>432</v>
      </c>
      <c r="F23" s="6">
        <v>486925</v>
      </c>
      <c r="G23" s="6" t="s">
        <v>201</v>
      </c>
      <c r="H23" s="6">
        <v>4</v>
      </c>
      <c r="I23" s="6">
        <v>20230330</v>
      </c>
      <c r="J23" s="106">
        <v>45082</v>
      </c>
      <c r="K23" s="6" t="s">
        <v>456</v>
      </c>
      <c r="L23" s="6" t="s">
        <v>17</v>
      </c>
      <c r="M23" s="8">
        <v>60000</v>
      </c>
    </row>
    <row r="24" spans="1:13" x14ac:dyDescent="0.35">
      <c r="A24" s="6">
        <v>11160348</v>
      </c>
      <c r="B24" s="6" t="s">
        <v>29</v>
      </c>
      <c r="C24" s="6" t="s">
        <v>455</v>
      </c>
      <c r="D24" s="6">
        <v>2009</v>
      </c>
      <c r="E24" s="6" t="s">
        <v>432</v>
      </c>
      <c r="F24" s="6">
        <v>530174</v>
      </c>
      <c r="G24" s="6" t="s">
        <v>355</v>
      </c>
      <c r="H24" s="6">
        <v>2</v>
      </c>
      <c r="I24" s="6">
        <v>20230308</v>
      </c>
      <c r="J24" s="106">
        <v>45037</v>
      </c>
      <c r="K24" s="6" t="s">
        <v>28</v>
      </c>
      <c r="L24" s="6" t="s">
        <v>17</v>
      </c>
      <c r="M24" s="8">
        <v>100000</v>
      </c>
    </row>
    <row r="25" spans="1:13" x14ac:dyDescent="0.35">
      <c r="A25" s="6">
        <v>11252220</v>
      </c>
      <c r="B25" s="6" t="s">
        <v>35</v>
      </c>
      <c r="C25" s="6" t="s">
        <v>455</v>
      </c>
      <c r="D25" s="6">
        <v>24011</v>
      </c>
      <c r="E25" s="6" t="s">
        <v>432</v>
      </c>
      <c r="F25" s="6">
        <v>40382</v>
      </c>
      <c r="G25" s="6" t="s">
        <v>457</v>
      </c>
      <c r="H25" s="6">
        <v>6</v>
      </c>
      <c r="I25" s="6">
        <v>20230327</v>
      </c>
      <c r="J25" s="106">
        <v>45049</v>
      </c>
      <c r="K25" s="6" t="s">
        <v>458</v>
      </c>
      <c r="L25" s="6" t="s">
        <v>17</v>
      </c>
      <c r="M25" s="8">
        <v>30000</v>
      </c>
    </row>
    <row r="26" spans="1:13" x14ac:dyDescent="0.35">
      <c r="M26" s="39">
        <f>SUM(M21:M25)</f>
        <v>370000</v>
      </c>
    </row>
    <row r="27" spans="1:13" ht="15" thickBot="1" x14ac:dyDescent="0.4"/>
    <row r="28" spans="1:13" x14ac:dyDescent="0.35">
      <c r="B28" s="4" t="s">
        <v>64</v>
      </c>
    </row>
    <row r="29" spans="1:13" x14ac:dyDescent="0.35">
      <c r="A29" s="5" t="s">
        <v>0</v>
      </c>
      <c r="B29" s="5" t="s">
        <v>1</v>
      </c>
      <c r="C29" s="5" t="s">
        <v>2</v>
      </c>
      <c r="D29" s="5" t="s">
        <v>3</v>
      </c>
      <c r="E29" s="5" t="s">
        <v>4</v>
      </c>
      <c r="F29" s="5" t="s">
        <v>5</v>
      </c>
      <c r="G29" s="5" t="s">
        <v>6</v>
      </c>
      <c r="H29" s="5" t="s">
        <v>374</v>
      </c>
      <c r="I29" s="5" t="s">
        <v>7</v>
      </c>
      <c r="J29" s="107" t="s">
        <v>8</v>
      </c>
      <c r="K29" s="5" t="s">
        <v>9</v>
      </c>
      <c r="L29" s="5" t="s">
        <v>10</v>
      </c>
      <c r="M29" s="5" t="s">
        <v>11</v>
      </c>
    </row>
    <row r="30" spans="1:13" x14ac:dyDescent="0.35">
      <c r="A30" s="6">
        <v>11387019</v>
      </c>
      <c r="B30" s="6" t="s">
        <v>29</v>
      </c>
      <c r="C30" s="6" t="s">
        <v>455</v>
      </c>
      <c r="D30" s="6">
        <v>2018</v>
      </c>
      <c r="E30" s="6" t="s">
        <v>432</v>
      </c>
      <c r="F30" s="6">
        <v>551439</v>
      </c>
      <c r="G30" s="6" t="s">
        <v>384</v>
      </c>
      <c r="H30" s="6">
        <v>2</v>
      </c>
      <c r="I30" s="6">
        <v>20230428</v>
      </c>
      <c r="J30" s="106">
        <v>45089</v>
      </c>
      <c r="K30" s="6" t="s">
        <v>54</v>
      </c>
      <c r="L30" s="6" t="s">
        <v>17</v>
      </c>
      <c r="M30" s="8">
        <v>300000</v>
      </c>
    </row>
    <row r="31" spans="1:13" x14ac:dyDescent="0.35">
      <c r="A31" s="6">
        <v>11382973</v>
      </c>
      <c r="B31" s="6" t="s">
        <v>29</v>
      </c>
      <c r="C31" s="6" t="s">
        <v>455</v>
      </c>
      <c r="D31" s="6">
        <v>38006</v>
      </c>
      <c r="E31" s="6" t="s">
        <v>432</v>
      </c>
      <c r="F31" s="6">
        <v>390341</v>
      </c>
      <c r="G31" s="6" t="s">
        <v>338</v>
      </c>
      <c r="H31" s="6">
        <v>3</v>
      </c>
      <c r="I31" s="6">
        <v>20230427</v>
      </c>
      <c r="J31" s="106">
        <v>45103</v>
      </c>
      <c r="K31" s="6" t="s">
        <v>196</v>
      </c>
      <c r="L31" s="6" t="s">
        <v>17</v>
      </c>
      <c r="M31" s="8">
        <v>300000</v>
      </c>
    </row>
    <row r="32" spans="1:13" x14ac:dyDescent="0.35">
      <c r="A32" s="6">
        <v>11354317</v>
      </c>
      <c r="B32" s="6" t="s">
        <v>29</v>
      </c>
      <c r="C32" s="6" t="s">
        <v>455</v>
      </c>
      <c r="D32" s="6">
        <v>2037</v>
      </c>
      <c r="E32" s="6" t="s">
        <v>432</v>
      </c>
      <c r="F32" s="6">
        <v>544623</v>
      </c>
      <c r="G32" s="6" t="s">
        <v>394</v>
      </c>
      <c r="H32" s="6">
        <v>2</v>
      </c>
      <c r="I32" s="6">
        <v>20230420</v>
      </c>
      <c r="J32" s="106">
        <v>45097</v>
      </c>
      <c r="K32" s="6" t="s">
        <v>459</v>
      </c>
      <c r="L32" s="6" t="s">
        <v>17</v>
      </c>
      <c r="M32" s="8">
        <v>50000</v>
      </c>
    </row>
    <row r="33" spans="1:13" x14ac:dyDescent="0.35">
      <c r="M33" s="39">
        <f>SUM(M30:M32)</f>
        <v>650000</v>
      </c>
    </row>
    <row r="34" spans="1:13" ht="15" thickBot="1" x14ac:dyDescent="0.4"/>
    <row r="35" spans="1:13" x14ac:dyDescent="0.35">
      <c r="B35" s="4" t="s">
        <v>66</v>
      </c>
    </row>
    <row r="36" spans="1:13" x14ac:dyDescent="0.35">
      <c r="A36" s="5" t="s">
        <v>0</v>
      </c>
      <c r="B36" s="5" t="s">
        <v>1</v>
      </c>
      <c r="C36" s="5" t="s">
        <v>2</v>
      </c>
      <c r="D36" s="5" t="s">
        <v>3</v>
      </c>
      <c r="E36" s="5" t="s">
        <v>4</v>
      </c>
      <c r="F36" s="5" t="s">
        <v>5</v>
      </c>
      <c r="G36" s="5" t="s">
        <v>6</v>
      </c>
      <c r="H36" s="5" t="s">
        <v>374</v>
      </c>
      <c r="I36" s="5" t="s">
        <v>7</v>
      </c>
      <c r="J36" s="107" t="s">
        <v>8</v>
      </c>
      <c r="K36" s="5" t="s">
        <v>9</v>
      </c>
      <c r="L36" s="5" t="s">
        <v>10</v>
      </c>
      <c r="M36" s="5" t="s">
        <v>11</v>
      </c>
    </row>
    <row r="37" spans="1:13" x14ac:dyDescent="0.35">
      <c r="A37" s="6">
        <v>11500276</v>
      </c>
      <c r="B37" s="6" t="s">
        <v>58</v>
      </c>
      <c r="C37" s="6" t="s">
        <v>455</v>
      </c>
      <c r="D37" s="6">
        <v>30006</v>
      </c>
      <c r="E37" s="6" t="s">
        <v>432</v>
      </c>
      <c r="F37" s="6">
        <v>394760</v>
      </c>
      <c r="G37" s="6" t="s">
        <v>460</v>
      </c>
      <c r="H37" s="6">
        <v>2</v>
      </c>
      <c r="I37" s="6">
        <v>20230526</v>
      </c>
      <c r="J37" s="106">
        <v>45103</v>
      </c>
      <c r="K37" s="6" t="s">
        <v>434</v>
      </c>
      <c r="L37" s="6" t="s">
        <v>17</v>
      </c>
      <c r="M37" s="8">
        <v>50000</v>
      </c>
    </row>
    <row r="38" spans="1:13" x14ac:dyDescent="0.35">
      <c r="A38" s="6">
        <v>11465634</v>
      </c>
      <c r="B38" s="6" t="s">
        <v>29</v>
      </c>
      <c r="C38" s="6" t="s">
        <v>455</v>
      </c>
      <c r="D38" s="6">
        <v>2009</v>
      </c>
      <c r="E38" s="6" t="s">
        <v>432</v>
      </c>
      <c r="F38" s="6">
        <v>14344</v>
      </c>
      <c r="G38" s="6" t="s">
        <v>461</v>
      </c>
      <c r="H38" s="6">
        <v>13</v>
      </c>
      <c r="I38" s="6">
        <v>20230517</v>
      </c>
      <c r="J38" s="106">
        <v>45153</v>
      </c>
      <c r="K38" s="6" t="s">
        <v>462</v>
      </c>
      <c r="L38" s="6" t="s">
        <v>17</v>
      </c>
      <c r="M38" s="8">
        <v>150000</v>
      </c>
    </row>
    <row r="39" spans="1:13" x14ac:dyDescent="0.35">
      <c r="A39" s="6">
        <v>5636840001</v>
      </c>
      <c r="B39" s="6" t="s">
        <v>29</v>
      </c>
      <c r="C39" s="6" t="s">
        <v>455</v>
      </c>
      <c r="D39" s="6">
        <v>2035</v>
      </c>
      <c r="E39" s="6" t="s">
        <v>432</v>
      </c>
      <c r="F39" s="6">
        <v>563684</v>
      </c>
      <c r="G39" s="6" t="s">
        <v>463</v>
      </c>
      <c r="H39" s="58">
        <v>1</v>
      </c>
      <c r="I39" s="6">
        <v>20230530</v>
      </c>
      <c r="J39" s="106">
        <v>45120</v>
      </c>
      <c r="K39" s="6" t="s">
        <v>54</v>
      </c>
      <c r="L39" s="6" t="s">
        <v>17</v>
      </c>
      <c r="M39" s="8">
        <v>50000</v>
      </c>
    </row>
    <row r="40" spans="1:13" x14ac:dyDescent="0.35">
      <c r="A40" s="6">
        <v>11431165</v>
      </c>
      <c r="B40" s="6" t="s">
        <v>29</v>
      </c>
      <c r="C40" s="6" t="s">
        <v>22</v>
      </c>
      <c r="D40" s="6">
        <v>2010</v>
      </c>
      <c r="E40" s="6" t="s">
        <v>432</v>
      </c>
      <c r="F40" s="6">
        <v>439995</v>
      </c>
      <c r="G40" s="6" t="s">
        <v>337</v>
      </c>
      <c r="H40" s="6">
        <v>3</v>
      </c>
      <c r="I40" s="6">
        <v>20230508</v>
      </c>
      <c r="J40" s="106">
        <v>45099</v>
      </c>
      <c r="K40" s="6" t="s">
        <v>352</v>
      </c>
      <c r="L40" s="6" t="s">
        <v>17</v>
      </c>
      <c r="M40" s="8">
        <v>25000</v>
      </c>
    </row>
    <row r="41" spans="1:13" x14ac:dyDescent="0.35">
      <c r="A41" s="6">
        <v>11446234</v>
      </c>
      <c r="B41" s="6" t="s">
        <v>464</v>
      </c>
      <c r="C41" s="6" t="s">
        <v>455</v>
      </c>
      <c r="D41" s="6">
        <v>15009</v>
      </c>
      <c r="E41" s="6" t="s">
        <v>432</v>
      </c>
      <c r="F41" s="6">
        <v>265268</v>
      </c>
      <c r="G41" s="6" t="s">
        <v>465</v>
      </c>
      <c r="H41" s="6">
        <v>5</v>
      </c>
      <c r="I41" s="6">
        <v>20230511</v>
      </c>
      <c r="J41" s="106">
        <v>45086</v>
      </c>
      <c r="K41" s="6" t="s">
        <v>466</v>
      </c>
      <c r="L41" s="6" t="s">
        <v>17</v>
      </c>
      <c r="M41" s="8">
        <v>40000</v>
      </c>
    </row>
    <row r="42" spans="1:13" x14ac:dyDescent="0.35">
      <c r="M42" s="39">
        <f>SUM(M37:M41)</f>
        <v>315000</v>
      </c>
    </row>
    <row r="43" spans="1:13" ht="15" thickBot="1" x14ac:dyDescent="0.4"/>
    <row r="44" spans="1:13" x14ac:dyDescent="0.35">
      <c r="B44" s="4" t="s">
        <v>79</v>
      </c>
    </row>
    <row r="45" spans="1:13" x14ac:dyDescent="0.35">
      <c r="A45" s="5" t="s">
        <v>0</v>
      </c>
      <c r="B45" s="5" t="s">
        <v>1</v>
      </c>
      <c r="C45" s="5" t="s">
        <v>2</v>
      </c>
      <c r="D45" s="5" t="s">
        <v>3</v>
      </c>
      <c r="E45" s="5" t="s">
        <v>4</v>
      </c>
      <c r="F45" s="5" t="s">
        <v>5</v>
      </c>
      <c r="G45" s="5" t="s">
        <v>6</v>
      </c>
      <c r="H45" s="5" t="s">
        <v>374</v>
      </c>
      <c r="I45" s="5" t="s">
        <v>7</v>
      </c>
      <c r="J45" s="107" t="s">
        <v>8</v>
      </c>
      <c r="K45" s="5" t="s">
        <v>9</v>
      </c>
      <c r="L45" s="5" t="s">
        <v>10</v>
      </c>
      <c r="M45" s="5" t="s">
        <v>11</v>
      </c>
    </row>
    <row r="46" spans="1:13" x14ac:dyDescent="0.35">
      <c r="A46" s="6">
        <v>4921520001</v>
      </c>
      <c r="B46" s="6" t="s">
        <v>58</v>
      </c>
      <c r="C46" s="6" t="s">
        <v>455</v>
      </c>
      <c r="D46" s="6">
        <v>30012</v>
      </c>
      <c r="E46" s="6" t="s">
        <v>432</v>
      </c>
      <c r="F46" s="6">
        <v>492152</v>
      </c>
      <c r="G46" s="6" t="s">
        <v>203</v>
      </c>
      <c r="H46" s="6">
        <v>2</v>
      </c>
      <c r="I46" s="6">
        <v>20230614</v>
      </c>
      <c r="J46" s="106">
        <v>45152</v>
      </c>
      <c r="K46" s="6" t="s">
        <v>467</v>
      </c>
      <c r="L46" s="6" t="s">
        <v>17</v>
      </c>
      <c r="M46" s="8">
        <v>40000</v>
      </c>
    </row>
    <row r="47" spans="1:13" x14ac:dyDescent="0.35">
      <c r="A47" s="6">
        <v>5644600001</v>
      </c>
      <c r="B47" s="6" t="s">
        <v>29</v>
      </c>
      <c r="C47" s="6" t="s">
        <v>455</v>
      </c>
      <c r="D47" s="6">
        <v>2028</v>
      </c>
      <c r="E47" s="6" t="s">
        <v>432</v>
      </c>
      <c r="F47" s="6">
        <v>564460</v>
      </c>
      <c r="G47" s="6" t="s">
        <v>468</v>
      </c>
      <c r="H47" s="58">
        <v>1</v>
      </c>
      <c r="I47" s="6">
        <v>20230630</v>
      </c>
      <c r="J47" s="106">
        <v>45149</v>
      </c>
      <c r="K47" s="6" t="s">
        <v>20</v>
      </c>
      <c r="L47" s="6" t="s">
        <v>17</v>
      </c>
      <c r="M47" s="8">
        <v>25000</v>
      </c>
    </row>
    <row r="48" spans="1:13" x14ac:dyDescent="0.35">
      <c r="A48" s="6">
        <v>5898560002</v>
      </c>
      <c r="B48" s="6" t="s">
        <v>29</v>
      </c>
      <c r="C48" s="6" t="s">
        <v>455</v>
      </c>
      <c r="D48" s="6">
        <v>2037</v>
      </c>
      <c r="E48" s="6" t="s">
        <v>432</v>
      </c>
      <c r="F48" s="6">
        <v>589856</v>
      </c>
      <c r="G48" s="6" t="s">
        <v>469</v>
      </c>
      <c r="H48" s="58">
        <v>1</v>
      </c>
      <c r="I48" s="6">
        <v>20230629</v>
      </c>
      <c r="J48" s="106">
        <v>45153</v>
      </c>
      <c r="K48" s="6" t="s">
        <v>131</v>
      </c>
      <c r="L48" s="6" t="s">
        <v>17</v>
      </c>
      <c r="M48" s="8">
        <v>50000</v>
      </c>
    </row>
    <row r="49" spans="1:13" x14ac:dyDescent="0.35">
      <c r="A49" s="6">
        <v>4944240001</v>
      </c>
      <c r="B49" s="6" t="s">
        <v>29</v>
      </c>
      <c r="C49" s="6" t="s">
        <v>55</v>
      </c>
      <c r="D49" s="6">
        <v>26011</v>
      </c>
      <c r="E49" s="6" t="s">
        <v>432</v>
      </c>
      <c r="F49" s="6">
        <v>494424</v>
      </c>
      <c r="G49" s="6" t="s">
        <v>470</v>
      </c>
      <c r="H49" s="58">
        <v>1</v>
      </c>
      <c r="I49" s="6">
        <v>20230623</v>
      </c>
      <c r="J49" s="106">
        <v>45145</v>
      </c>
      <c r="K49" s="6" t="s">
        <v>471</v>
      </c>
      <c r="L49" s="6" t="s">
        <v>17</v>
      </c>
      <c r="M49" s="8">
        <v>130000</v>
      </c>
    </row>
    <row r="50" spans="1:13" x14ac:dyDescent="0.35">
      <c r="A50" s="6">
        <v>5294600001</v>
      </c>
      <c r="B50" s="6" t="s">
        <v>29</v>
      </c>
      <c r="C50" s="6" t="s">
        <v>455</v>
      </c>
      <c r="D50" s="6">
        <v>2044</v>
      </c>
      <c r="E50" s="6" t="s">
        <v>432</v>
      </c>
      <c r="F50" s="6">
        <v>529460</v>
      </c>
      <c r="G50" s="6" t="s">
        <v>356</v>
      </c>
      <c r="H50" s="6">
        <v>4</v>
      </c>
      <c r="I50" s="6">
        <v>20230619</v>
      </c>
      <c r="J50" s="106">
        <v>45135</v>
      </c>
      <c r="K50" s="6" t="s">
        <v>472</v>
      </c>
      <c r="L50" s="6" t="s">
        <v>17</v>
      </c>
      <c r="M50" s="8">
        <v>120000</v>
      </c>
    </row>
    <row r="51" spans="1:13" x14ac:dyDescent="0.35">
      <c r="A51" s="6">
        <v>1289000001</v>
      </c>
      <c r="B51" s="6" t="s">
        <v>174</v>
      </c>
      <c r="C51" s="6" t="s">
        <v>455</v>
      </c>
      <c r="D51" s="6">
        <v>11013</v>
      </c>
      <c r="E51" s="6" t="s">
        <v>432</v>
      </c>
      <c r="F51" s="6">
        <v>128900</v>
      </c>
      <c r="G51" s="6" t="s">
        <v>473</v>
      </c>
      <c r="H51" s="58">
        <v>1</v>
      </c>
      <c r="I51" s="6">
        <v>20230614</v>
      </c>
      <c r="J51" s="106">
        <v>45149</v>
      </c>
      <c r="K51" s="6" t="s">
        <v>474</v>
      </c>
      <c r="L51" s="6" t="s">
        <v>17</v>
      </c>
      <c r="M51" s="8">
        <v>50000</v>
      </c>
    </row>
    <row r="52" spans="1:13" x14ac:dyDescent="0.35">
      <c r="A52" s="6">
        <v>5200430001</v>
      </c>
      <c r="B52" s="6" t="s">
        <v>148</v>
      </c>
      <c r="C52" s="6" t="s">
        <v>455</v>
      </c>
      <c r="D52" s="6">
        <v>35011</v>
      </c>
      <c r="E52" s="6" t="s">
        <v>432</v>
      </c>
      <c r="F52" s="6">
        <v>520043</v>
      </c>
      <c r="G52" s="6" t="s">
        <v>161</v>
      </c>
      <c r="H52" s="6">
        <v>6</v>
      </c>
      <c r="I52" s="6">
        <v>20230615</v>
      </c>
      <c r="J52" s="106">
        <v>45170</v>
      </c>
      <c r="K52" s="6" t="s">
        <v>475</v>
      </c>
      <c r="L52" s="6" t="s">
        <v>17</v>
      </c>
      <c r="M52" s="8">
        <v>50000</v>
      </c>
    </row>
    <row r="53" spans="1:13" x14ac:dyDescent="0.35">
      <c r="A53" s="6">
        <v>5925350001</v>
      </c>
      <c r="B53" s="6" t="s">
        <v>18</v>
      </c>
      <c r="C53" s="6" t="s">
        <v>455</v>
      </c>
      <c r="D53" s="6">
        <v>41002</v>
      </c>
      <c r="E53" s="6" t="s">
        <v>432</v>
      </c>
      <c r="F53" s="6">
        <v>592535</v>
      </c>
      <c r="G53" s="6" t="s">
        <v>476</v>
      </c>
      <c r="H53" s="58">
        <v>1</v>
      </c>
      <c r="I53" s="6">
        <v>20230616</v>
      </c>
      <c r="J53" s="106">
        <v>45139</v>
      </c>
      <c r="K53" s="6" t="s">
        <v>477</v>
      </c>
      <c r="L53" s="6" t="s">
        <v>17</v>
      </c>
      <c r="M53" s="8">
        <v>100000</v>
      </c>
    </row>
    <row r="54" spans="1:13" x14ac:dyDescent="0.35">
      <c r="A54" s="6">
        <v>1434710001</v>
      </c>
      <c r="B54" s="6" t="s">
        <v>18</v>
      </c>
      <c r="C54" s="6" t="s">
        <v>455</v>
      </c>
      <c r="D54" s="6">
        <v>41003</v>
      </c>
      <c r="E54" s="6" t="s">
        <v>432</v>
      </c>
      <c r="F54" s="6">
        <v>143471</v>
      </c>
      <c r="G54" s="6" t="s">
        <v>192</v>
      </c>
      <c r="H54" s="6">
        <v>9</v>
      </c>
      <c r="I54" s="6">
        <v>20230630</v>
      </c>
      <c r="J54" s="106">
        <v>45152</v>
      </c>
      <c r="K54" s="6" t="s">
        <v>352</v>
      </c>
      <c r="L54" s="6" t="s">
        <v>17</v>
      </c>
      <c r="M54" s="8">
        <v>50000</v>
      </c>
    </row>
    <row r="55" spans="1:13" x14ac:dyDescent="0.35">
      <c r="A55" s="6">
        <v>5120080001</v>
      </c>
      <c r="B55" s="6" t="s">
        <v>21</v>
      </c>
      <c r="C55" s="6" t="s">
        <v>455</v>
      </c>
      <c r="D55" s="6">
        <v>13014</v>
      </c>
      <c r="E55" s="6" t="s">
        <v>432</v>
      </c>
      <c r="F55" s="6">
        <v>512008</v>
      </c>
      <c r="G55" s="6" t="s">
        <v>478</v>
      </c>
      <c r="H55" s="58">
        <v>1</v>
      </c>
      <c r="I55" s="6">
        <v>20230602</v>
      </c>
      <c r="J55" s="106">
        <v>45140</v>
      </c>
      <c r="K55" s="6" t="s">
        <v>403</v>
      </c>
      <c r="L55" s="6" t="s">
        <v>17</v>
      </c>
      <c r="M55" s="8">
        <v>50000</v>
      </c>
    </row>
    <row r="56" spans="1:13" x14ac:dyDescent="0.35">
      <c r="A56" s="6">
        <v>10911769</v>
      </c>
      <c r="B56" s="6" t="s">
        <v>21</v>
      </c>
      <c r="C56" s="6" t="s">
        <v>455</v>
      </c>
      <c r="D56" s="6">
        <v>13005</v>
      </c>
      <c r="E56" s="6" t="s">
        <v>432</v>
      </c>
      <c r="F56" s="6">
        <v>516379</v>
      </c>
      <c r="G56" s="6" t="s">
        <v>479</v>
      </c>
      <c r="H56" s="58">
        <v>1</v>
      </c>
      <c r="I56" s="6">
        <v>20230602</v>
      </c>
      <c r="J56" s="106">
        <v>45140</v>
      </c>
      <c r="K56" s="6" t="s">
        <v>418</v>
      </c>
      <c r="L56" s="6" t="s">
        <v>17</v>
      </c>
      <c r="M56" s="8">
        <v>6000</v>
      </c>
    </row>
    <row r="57" spans="1:13" x14ac:dyDescent="0.35">
      <c r="A57" s="6">
        <v>5949090001</v>
      </c>
      <c r="B57" s="6" t="s">
        <v>21</v>
      </c>
      <c r="C57" s="6" t="s">
        <v>70</v>
      </c>
      <c r="D57" s="6">
        <v>13023</v>
      </c>
      <c r="E57" s="6" t="s">
        <v>432</v>
      </c>
      <c r="F57" s="6">
        <v>594909</v>
      </c>
      <c r="G57" s="6" t="s">
        <v>480</v>
      </c>
      <c r="H57" s="58">
        <v>1</v>
      </c>
      <c r="I57" s="6">
        <v>20230622</v>
      </c>
      <c r="J57" s="106">
        <v>45140</v>
      </c>
      <c r="K57" s="6" t="s">
        <v>481</v>
      </c>
      <c r="L57" s="6" t="s">
        <v>17</v>
      </c>
      <c r="M57" s="8">
        <v>35000</v>
      </c>
    </row>
    <row r="58" spans="1:13" x14ac:dyDescent="0.35">
      <c r="A58" s="6">
        <v>5488610001</v>
      </c>
      <c r="B58" s="6" t="s">
        <v>35</v>
      </c>
      <c r="C58" s="6" t="s">
        <v>70</v>
      </c>
      <c r="D58" s="6">
        <v>24016</v>
      </c>
      <c r="E58" s="6" t="s">
        <v>432</v>
      </c>
      <c r="F58" s="6">
        <v>548861</v>
      </c>
      <c r="G58" s="6" t="s">
        <v>381</v>
      </c>
      <c r="H58" s="6">
        <v>4</v>
      </c>
      <c r="I58" s="6">
        <v>20230629</v>
      </c>
      <c r="J58" s="106">
        <v>45152</v>
      </c>
      <c r="K58" s="6" t="s">
        <v>213</v>
      </c>
      <c r="L58" s="6" t="s">
        <v>17</v>
      </c>
      <c r="M58" s="8">
        <v>65000</v>
      </c>
    </row>
    <row r="59" spans="1:13" x14ac:dyDescent="0.35">
      <c r="M59" s="39">
        <f>SUM(M46:M58)</f>
        <v>771000</v>
      </c>
    </row>
    <row r="60" spans="1:13" ht="15" thickBot="1" x14ac:dyDescent="0.4"/>
    <row r="61" spans="1:13" x14ac:dyDescent="0.35">
      <c r="B61" s="4" t="s">
        <v>81</v>
      </c>
    </row>
    <row r="62" spans="1:13" x14ac:dyDescent="0.35">
      <c r="A62" s="5" t="s">
        <v>0</v>
      </c>
      <c r="B62" s="5" t="s">
        <v>1</v>
      </c>
      <c r="C62" s="5" t="s">
        <v>2</v>
      </c>
      <c r="D62" s="5" t="s">
        <v>3</v>
      </c>
      <c r="E62" s="5" t="s">
        <v>4</v>
      </c>
      <c r="F62" s="5" t="s">
        <v>5</v>
      </c>
      <c r="G62" s="5" t="s">
        <v>6</v>
      </c>
      <c r="H62" s="5" t="s">
        <v>374</v>
      </c>
      <c r="I62" s="5" t="s">
        <v>7</v>
      </c>
      <c r="J62" s="5" t="s">
        <v>8</v>
      </c>
      <c r="K62" s="5" t="s">
        <v>9</v>
      </c>
      <c r="L62" s="5" t="s">
        <v>10</v>
      </c>
      <c r="M62" s="5" t="s">
        <v>11</v>
      </c>
    </row>
    <row r="63" spans="1:13" x14ac:dyDescent="0.35">
      <c r="A63" s="6">
        <v>581100001</v>
      </c>
      <c r="B63" s="6" t="s">
        <v>29</v>
      </c>
      <c r="C63" s="6" t="s">
        <v>482</v>
      </c>
      <c r="D63" s="6">
        <v>2035</v>
      </c>
      <c r="E63" s="6" t="s">
        <v>432</v>
      </c>
      <c r="F63" s="6">
        <v>58110</v>
      </c>
      <c r="G63" s="6" t="s">
        <v>483</v>
      </c>
      <c r="H63" s="6">
        <v>2</v>
      </c>
      <c r="I63" s="6">
        <v>20230728</v>
      </c>
      <c r="J63" s="106">
        <v>45197</v>
      </c>
      <c r="K63" s="6" t="s">
        <v>484</v>
      </c>
      <c r="L63" s="6" t="s">
        <v>17</v>
      </c>
      <c r="M63" s="8">
        <v>20000</v>
      </c>
    </row>
    <row r="64" spans="1:13" x14ac:dyDescent="0.35">
      <c r="A64" s="6">
        <v>5831610001</v>
      </c>
      <c r="B64" s="6" t="s">
        <v>29</v>
      </c>
      <c r="C64" s="6" t="s">
        <v>482</v>
      </c>
      <c r="D64" s="6">
        <v>2044</v>
      </c>
      <c r="E64" s="6" t="s">
        <v>432</v>
      </c>
      <c r="F64" s="6">
        <v>583161</v>
      </c>
      <c r="G64" s="6" t="s">
        <v>485</v>
      </c>
      <c r="H64" s="58">
        <v>1</v>
      </c>
      <c r="I64" s="6">
        <v>20230713</v>
      </c>
      <c r="J64" s="106">
        <v>45181</v>
      </c>
      <c r="K64" s="6" t="s">
        <v>264</v>
      </c>
      <c r="L64" s="6" t="s">
        <v>17</v>
      </c>
      <c r="M64" s="8">
        <v>100000</v>
      </c>
    </row>
    <row r="65" spans="1:13" x14ac:dyDescent="0.35">
      <c r="A65" s="6">
        <v>11194870</v>
      </c>
      <c r="B65" s="6" t="s">
        <v>486</v>
      </c>
      <c r="C65" s="6" t="s">
        <v>487</v>
      </c>
      <c r="D65" s="6">
        <v>26014</v>
      </c>
      <c r="E65" s="6" t="s">
        <v>432</v>
      </c>
      <c r="F65" s="6">
        <v>580715</v>
      </c>
      <c r="G65" s="6" t="s">
        <v>488</v>
      </c>
      <c r="H65" s="58">
        <v>1</v>
      </c>
      <c r="I65" s="6">
        <v>20230705</v>
      </c>
      <c r="J65" s="106">
        <v>45173</v>
      </c>
      <c r="K65" s="6" t="s">
        <v>108</v>
      </c>
      <c r="L65" s="6" t="s">
        <v>17</v>
      </c>
      <c r="M65" s="8">
        <v>80000</v>
      </c>
    </row>
    <row r="66" spans="1:13" x14ac:dyDescent="0.35">
      <c r="A66" s="6">
        <v>5951270001</v>
      </c>
      <c r="B66" s="6" t="s">
        <v>486</v>
      </c>
      <c r="C66" s="6" t="s">
        <v>482</v>
      </c>
      <c r="D66" s="6">
        <v>26030</v>
      </c>
      <c r="E66" s="6" t="s">
        <v>432</v>
      </c>
      <c r="F66" s="6">
        <v>595127</v>
      </c>
      <c r="G66" s="6" t="s">
        <v>489</v>
      </c>
      <c r="H66" s="58">
        <v>1</v>
      </c>
      <c r="I66" s="6">
        <v>20230713</v>
      </c>
      <c r="J66" s="106">
        <v>45181</v>
      </c>
      <c r="K66" s="6" t="s">
        <v>213</v>
      </c>
      <c r="L66" s="6" t="s">
        <v>17</v>
      </c>
      <c r="M66" s="8">
        <v>25000</v>
      </c>
    </row>
    <row r="67" spans="1:13" x14ac:dyDescent="0.35">
      <c r="A67" s="6">
        <v>11500794</v>
      </c>
      <c r="B67" s="6" t="s">
        <v>486</v>
      </c>
      <c r="C67" s="6" t="s">
        <v>482</v>
      </c>
      <c r="D67" s="6">
        <v>26001</v>
      </c>
      <c r="E67" s="6" t="s">
        <v>432</v>
      </c>
      <c r="F67" s="6">
        <v>547605</v>
      </c>
      <c r="G67" s="6" t="s">
        <v>490</v>
      </c>
      <c r="H67" s="58">
        <v>1</v>
      </c>
      <c r="I67" s="6">
        <v>20230712</v>
      </c>
      <c r="J67" s="106">
        <v>45180</v>
      </c>
      <c r="K67" s="6" t="s">
        <v>491</v>
      </c>
      <c r="L67" s="6" t="s">
        <v>17</v>
      </c>
      <c r="M67" s="8">
        <v>150000</v>
      </c>
    </row>
    <row r="68" spans="1:13" x14ac:dyDescent="0.35">
      <c r="A68" s="6">
        <v>5394740001</v>
      </c>
      <c r="B68" s="6" t="s">
        <v>486</v>
      </c>
      <c r="C68" s="6" t="s">
        <v>492</v>
      </c>
      <c r="D68" s="6">
        <v>26018</v>
      </c>
      <c r="E68" s="6" t="s">
        <v>432</v>
      </c>
      <c r="F68" s="6">
        <v>539474</v>
      </c>
      <c r="G68" s="6" t="s">
        <v>493</v>
      </c>
      <c r="H68" s="58">
        <v>1</v>
      </c>
      <c r="I68" s="6">
        <v>20230726</v>
      </c>
      <c r="J68" s="106">
        <v>45176</v>
      </c>
      <c r="K68" s="6" t="s">
        <v>63</v>
      </c>
      <c r="L68" s="6" t="s">
        <v>17</v>
      </c>
      <c r="M68" s="8">
        <v>10000</v>
      </c>
    </row>
    <row r="69" spans="1:13" x14ac:dyDescent="0.35">
      <c r="A69" s="6">
        <v>5016210001</v>
      </c>
      <c r="B69" s="6" t="s">
        <v>18</v>
      </c>
      <c r="C69" s="6" t="s">
        <v>482</v>
      </c>
      <c r="D69" s="6">
        <v>41003</v>
      </c>
      <c r="E69" s="6" t="s">
        <v>432</v>
      </c>
      <c r="F69" s="6">
        <v>501621</v>
      </c>
      <c r="G69" s="6" t="s">
        <v>409</v>
      </c>
      <c r="H69" s="6">
        <v>2</v>
      </c>
      <c r="I69" s="6">
        <v>20230717</v>
      </c>
      <c r="J69" s="106">
        <v>45184</v>
      </c>
      <c r="K69" s="6" t="s">
        <v>466</v>
      </c>
      <c r="L69" s="6" t="s">
        <v>17</v>
      </c>
      <c r="M69" s="8">
        <v>25000</v>
      </c>
    </row>
    <row r="70" spans="1:13" x14ac:dyDescent="0.35">
      <c r="M70" s="39">
        <f>SUM(M63:M69)</f>
        <v>410000</v>
      </c>
    </row>
    <row r="71" spans="1:13" ht="15" thickBot="1" x14ac:dyDescent="0.4"/>
    <row r="72" spans="1:13" x14ac:dyDescent="0.35">
      <c r="B72" s="4" t="s">
        <v>90</v>
      </c>
    </row>
    <row r="73" spans="1:13" x14ac:dyDescent="0.35">
      <c r="A73" s="5" t="s">
        <v>0</v>
      </c>
      <c r="B73" s="5" t="s">
        <v>1</v>
      </c>
      <c r="C73" s="5" t="s">
        <v>2</v>
      </c>
      <c r="D73" s="5" t="s">
        <v>3</v>
      </c>
      <c r="E73" s="5" t="s">
        <v>4</v>
      </c>
      <c r="F73" s="5" t="s">
        <v>5</v>
      </c>
      <c r="G73" s="5" t="s">
        <v>6</v>
      </c>
      <c r="H73" s="5" t="s">
        <v>374</v>
      </c>
      <c r="I73" s="5" t="s">
        <v>7</v>
      </c>
      <c r="J73" s="5" t="s">
        <v>8</v>
      </c>
      <c r="K73" s="5" t="s">
        <v>9</v>
      </c>
      <c r="L73" s="5" t="s">
        <v>10</v>
      </c>
      <c r="M73" s="5" t="s">
        <v>11</v>
      </c>
    </row>
    <row r="74" spans="1:13" x14ac:dyDescent="0.35">
      <c r="A74" s="6">
        <v>6044550001</v>
      </c>
      <c r="B74" s="6" t="s">
        <v>58</v>
      </c>
      <c r="C74" s="6" t="s">
        <v>482</v>
      </c>
      <c r="D74" s="6">
        <v>30012</v>
      </c>
      <c r="E74" s="6" t="s">
        <v>432</v>
      </c>
      <c r="F74" s="6">
        <v>604455</v>
      </c>
      <c r="G74" s="6" t="s">
        <v>494</v>
      </c>
      <c r="H74" s="6">
        <v>3</v>
      </c>
      <c r="I74" s="6">
        <v>20230817</v>
      </c>
      <c r="J74" s="106">
        <v>45201</v>
      </c>
      <c r="K74" s="6" t="s">
        <v>408</v>
      </c>
      <c r="L74" s="6" t="s">
        <v>17</v>
      </c>
      <c r="M74" s="8">
        <v>8000</v>
      </c>
    </row>
    <row r="75" spans="1:13" x14ac:dyDescent="0.35">
      <c r="A75" s="6">
        <v>4195760001</v>
      </c>
      <c r="B75" s="6" t="s">
        <v>29</v>
      </c>
      <c r="C75" s="6" t="s">
        <v>482</v>
      </c>
      <c r="D75" s="6">
        <v>2028</v>
      </c>
      <c r="E75" s="6" t="s">
        <v>432</v>
      </c>
      <c r="F75" s="6">
        <v>419576</v>
      </c>
      <c r="G75" s="6" t="s">
        <v>154</v>
      </c>
      <c r="H75" s="6">
        <v>3</v>
      </c>
      <c r="I75" s="6">
        <v>20230828</v>
      </c>
      <c r="J75" s="106">
        <v>45211</v>
      </c>
      <c r="K75" s="6" t="s">
        <v>325</v>
      </c>
      <c r="L75" s="6" t="s">
        <v>17</v>
      </c>
      <c r="M75" s="8">
        <v>50000</v>
      </c>
    </row>
    <row r="76" spans="1:13" x14ac:dyDescent="0.35">
      <c r="A76" s="6">
        <v>3453790001</v>
      </c>
      <c r="B76" s="6" t="s">
        <v>29</v>
      </c>
      <c r="C76" s="6" t="s">
        <v>482</v>
      </c>
      <c r="D76" s="6">
        <v>2040</v>
      </c>
      <c r="E76" s="6" t="s">
        <v>432</v>
      </c>
      <c r="F76" s="6">
        <v>345379</v>
      </c>
      <c r="G76" s="6" t="s">
        <v>294</v>
      </c>
      <c r="H76" s="6">
        <v>3</v>
      </c>
      <c r="I76" s="6">
        <v>20230824</v>
      </c>
      <c r="J76" s="106">
        <v>45205</v>
      </c>
      <c r="K76" s="6" t="s">
        <v>28</v>
      </c>
      <c r="L76" s="6" t="s">
        <v>17</v>
      </c>
      <c r="M76" s="8">
        <v>10000</v>
      </c>
    </row>
    <row r="77" spans="1:13" x14ac:dyDescent="0.35">
      <c r="A77" s="6">
        <v>5528750001</v>
      </c>
      <c r="B77" s="6" t="s">
        <v>29</v>
      </c>
      <c r="C77" s="6" t="s">
        <v>482</v>
      </c>
      <c r="D77" s="6">
        <v>2029</v>
      </c>
      <c r="E77" s="6" t="s">
        <v>432</v>
      </c>
      <c r="F77" s="6">
        <v>552875</v>
      </c>
      <c r="G77" s="6" t="s">
        <v>393</v>
      </c>
      <c r="H77" s="6">
        <v>2</v>
      </c>
      <c r="I77" s="6">
        <v>20230817</v>
      </c>
      <c r="J77" s="106">
        <v>45201</v>
      </c>
      <c r="K77" s="6" t="s">
        <v>131</v>
      </c>
      <c r="L77" s="6" t="s">
        <v>17</v>
      </c>
      <c r="M77" s="8">
        <v>100000</v>
      </c>
    </row>
    <row r="78" spans="1:13" x14ac:dyDescent="0.35">
      <c r="A78" s="6">
        <v>4830180001</v>
      </c>
      <c r="B78" s="6" t="s">
        <v>486</v>
      </c>
      <c r="C78" s="6" t="s">
        <v>482</v>
      </c>
      <c r="D78" s="6">
        <v>26005</v>
      </c>
      <c r="E78" s="6" t="s">
        <v>432</v>
      </c>
      <c r="F78" s="6">
        <v>483018</v>
      </c>
      <c r="G78" s="6" t="s">
        <v>495</v>
      </c>
      <c r="H78" s="58">
        <v>1</v>
      </c>
      <c r="I78" s="6">
        <v>20230830</v>
      </c>
      <c r="J78" s="106">
        <v>45215</v>
      </c>
      <c r="K78" s="6" t="s">
        <v>383</v>
      </c>
      <c r="L78" s="6" t="s">
        <v>17</v>
      </c>
      <c r="M78" s="8">
        <v>150000</v>
      </c>
    </row>
    <row r="79" spans="1:13" x14ac:dyDescent="0.35">
      <c r="A79" s="6">
        <v>5464680003</v>
      </c>
      <c r="B79" s="6" t="s">
        <v>21</v>
      </c>
      <c r="C79" s="6" t="s">
        <v>482</v>
      </c>
      <c r="D79" s="6">
        <v>13008</v>
      </c>
      <c r="E79" s="6" t="s">
        <v>432</v>
      </c>
      <c r="F79" s="6">
        <v>546468</v>
      </c>
      <c r="G79" s="6" t="s">
        <v>372</v>
      </c>
      <c r="H79" s="6">
        <v>5</v>
      </c>
      <c r="I79" s="6">
        <v>20230811</v>
      </c>
      <c r="J79" s="106">
        <v>45191</v>
      </c>
      <c r="K79" s="6" t="s">
        <v>416</v>
      </c>
      <c r="L79" s="6" t="s">
        <v>17</v>
      </c>
      <c r="M79" s="8">
        <v>20000</v>
      </c>
    </row>
    <row r="80" spans="1:13" x14ac:dyDescent="0.35">
      <c r="M80" s="39">
        <f>SUM(M74:M79)</f>
        <v>338000</v>
      </c>
    </row>
    <row r="81" spans="1:13" ht="15" thickBot="1" x14ac:dyDescent="0.4"/>
    <row r="82" spans="1:13" x14ac:dyDescent="0.35">
      <c r="B82" s="4" t="s">
        <v>99</v>
      </c>
    </row>
    <row r="83" spans="1:13" x14ac:dyDescent="0.35">
      <c r="A83" s="5" t="s">
        <v>0</v>
      </c>
      <c r="B83" s="5" t="s">
        <v>1</v>
      </c>
      <c r="C83" s="5" t="s">
        <v>2</v>
      </c>
      <c r="D83" s="5" t="s">
        <v>3</v>
      </c>
      <c r="E83" s="5" t="s">
        <v>4</v>
      </c>
      <c r="F83" s="5" t="s">
        <v>5</v>
      </c>
      <c r="G83" s="5" t="s">
        <v>6</v>
      </c>
      <c r="H83" s="5" t="s">
        <v>374</v>
      </c>
      <c r="I83" s="5" t="s">
        <v>7</v>
      </c>
      <c r="J83" s="5" t="s">
        <v>8</v>
      </c>
      <c r="K83" s="5" t="s">
        <v>9</v>
      </c>
      <c r="L83" s="5" t="s">
        <v>10</v>
      </c>
      <c r="M83" s="5" t="s">
        <v>11</v>
      </c>
    </row>
    <row r="84" spans="1:13" x14ac:dyDescent="0.35">
      <c r="A84" s="6">
        <v>1554840001</v>
      </c>
      <c r="B84" s="6" t="s">
        <v>58</v>
      </c>
      <c r="C84" s="6" t="s">
        <v>482</v>
      </c>
      <c r="D84" s="6">
        <v>30012</v>
      </c>
      <c r="E84" s="6" t="s">
        <v>432</v>
      </c>
      <c r="F84" s="6">
        <v>155484</v>
      </c>
      <c r="G84" s="6" t="s">
        <v>496</v>
      </c>
      <c r="H84" s="6">
        <v>2</v>
      </c>
      <c r="I84" s="6">
        <v>20230929</v>
      </c>
      <c r="J84" s="106">
        <v>45292</v>
      </c>
      <c r="K84" s="6" t="s">
        <v>497</v>
      </c>
      <c r="L84" s="6" t="s">
        <v>17</v>
      </c>
      <c r="M84" s="8">
        <v>100000</v>
      </c>
    </row>
    <row r="85" spans="1:13" x14ac:dyDescent="0.35">
      <c r="A85" s="6">
        <v>5096370002</v>
      </c>
      <c r="B85" s="6" t="s">
        <v>58</v>
      </c>
      <c r="C85" s="6" t="s">
        <v>498</v>
      </c>
      <c r="D85" s="6">
        <v>30006</v>
      </c>
      <c r="E85" s="6" t="s">
        <v>432</v>
      </c>
      <c r="F85" s="6">
        <v>509637</v>
      </c>
      <c r="G85" s="6" t="s">
        <v>350</v>
      </c>
      <c r="H85" s="6">
        <v>2</v>
      </c>
      <c r="I85" s="6">
        <v>20230926</v>
      </c>
      <c r="J85" s="106">
        <v>45282</v>
      </c>
      <c r="K85" s="6" t="s">
        <v>499</v>
      </c>
      <c r="L85" s="6" t="s">
        <v>17</v>
      </c>
      <c r="M85" s="8">
        <v>60000</v>
      </c>
    </row>
    <row r="86" spans="1:13" x14ac:dyDescent="0.35">
      <c r="A86" s="6">
        <v>5014190002</v>
      </c>
      <c r="B86" s="6" t="s">
        <v>29</v>
      </c>
      <c r="C86" s="6" t="s">
        <v>482</v>
      </c>
      <c r="D86" s="6">
        <v>2024</v>
      </c>
      <c r="E86" s="6" t="s">
        <v>432</v>
      </c>
      <c r="F86" s="6">
        <v>501419</v>
      </c>
      <c r="G86" s="6" t="s">
        <v>260</v>
      </c>
      <c r="H86" s="6">
        <v>2</v>
      </c>
      <c r="I86" s="6">
        <v>20230928</v>
      </c>
      <c r="J86" s="106">
        <v>45243</v>
      </c>
      <c r="K86" s="6" t="s">
        <v>325</v>
      </c>
      <c r="L86" s="6" t="s">
        <v>17</v>
      </c>
      <c r="M86" s="8">
        <v>80000</v>
      </c>
    </row>
    <row r="87" spans="1:13" x14ac:dyDescent="0.35">
      <c r="A87" s="6">
        <v>143440001</v>
      </c>
      <c r="B87" s="6" t="s">
        <v>29</v>
      </c>
      <c r="C87" s="6" t="s">
        <v>482</v>
      </c>
      <c r="D87" s="6">
        <v>2040</v>
      </c>
      <c r="E87" s="6" t="s">
        <v>432</v>
      </c>
      <c r="F87" s="6">
        <v>14344</v>
      </c>
      <c r="G87" s="6" t="s">
        <v>228</v>
      </c>
      <c r="H87" s="6">
        <v>14</v>
      </c>
      <c r="I87" s="6">
        <v>20230912</v>
      </c>
      <c r="J87" s="106">
        <v>45226</v>
      </c>
      <c r="K87" s="6" t="s">
        <v>169</v>
      </c>
      <c r="L87" s="6" t="s">
        <v>17</v>
      </c>
      <c r="M87" s="8">
        <v>50000</v>
      </c>
    </row>
    <row r="88" spans="1:13" x14ac:dyDescent="0.35">
      <c r="A88" s="6">
        <v>5043530001</v>
      </c>
      <c r="B88" s="6" t="s">
        <v>29</v>
      </c>
      <c r="C88" s="6" t="s">
        <v>482</v>
      </c>
      <c r="D88" s="6">
        <v>2028</v>
      </c>
      <c r="E88" s="6" t="s">
        <v>432</v>
      </c>
      <c r="F88" s="6">
        <v>504353</v>
      </c>
      <c r="G88" s="6" t="s">
        <v>298</v>
      </c>
      <c r="H88" s="6">
        <v>4</v>
      </c>
      <c r="I88" s="6">
        <v>20230915</v>
      </c>
      <c r="J88" s="106">
        <v>45229</v>
      </c>
      <c r="K88" s="6" t="s">
        <v>500</v>
      </c>
      <c r="L88" s="6" t="s">
        <v>17</v>
      </c>
      <c r="M88" s="8">
        <v>10000</v>
      </c>
    </row>
    <row r="89" spans="1:13" x14ac:dyDescent="0.35">
      <c r="A89" s="6">
        <v>4822700001</v>
      </c>
      <c r="B89" s="6" t="s">
        <v>29</v>
      </c>
      <c r="C89" s="6" t="s">
        <v>482</v>
      </c>
      <c r="D89" s="6">
        <v>2011</v>
      </c>
      <c r="E89" s="6" t="s">
        <v>432</v>
      </c>
      <c r="F89" s="6">
        <v>482270</v>
      </c>
      <c r="G89" s="6" t="s">
        <v>216</v>
      </c>
      <c r="H89" s="6">
        <v>3</v>
      </c>
      <c r="I89" s="6">
        <v>20230928</v>
      </c>
      <c r="J89" s="106">
        <v>45238</v>
      </c>
      <c r="K89" s="6" t="s">
        <v>481</v>
      </c>
      <c r="L89" s="6" t="s">
        <v>17</v>
      </c>
      <c r="M89" s="8">
        <v>160000</v>
      </c>
    </row>
    <row r="90" spans="1:13" x14ac:dyDescent="0.35">
      <c r="A90" s="6">
        <v>6069760001</v>
      </c>
      <c r="B90" s="6" t="s">
        <v>109</v>
      </c>
      <c r="C90" s="6" t="s">
        <v>487</v>
      </c>
      <c r="D90" s="6">
        <v>40002</v>
      </c>
      <c r="E90" s="6" t="s">
        <v>432</v>
      </c>
      <c r="F90" s="6">
        <v>606976</v>
      </c>
      <c r="G90" s="6" t="s">
        <v>501</v>
      </c>
      <c r="H90" s="6">
        <v>3</v>
      </c>
      <c r="I90" s="6">
        <v>20230904</v>
      </c>
      <c r="J90" s="106">
        <v>45217</v>
      </c>
      <c r="K90" s="6" t="s">
        <v>352</v>
      </c>
      <c r="L90" s="6" t="s">
        <v>17</v>
      </c>
      <c r="M90" s="8">
        <v>40000</v>
      </c>
    </row>
    <row r="91" spans="1:13" x14ac:dyDescent="0.35">
      <c r="A91" s="6">
        <v>4826690001</v>
      </c>
      <c r="B91" s="6" t="s">
        <v>35</v>
      </c>
      <c r="C91" s="6" t="s">
        <v>482</v>
      </c>
      <c r="D91" s="6">
        <v>24011</v>
      </c>
      <c r="E91" s="6" t="s">
        <v>432</v>
      </c>
      <c r="F91" s="6">
        <v>482669</v>
      </c>
      <c r="G91" s="6" t="s">
        <v>204</v>
      </c>
      <c r="H91" s="6">
        <v>8</v>
      </c>
      <c r="I91" s="6">
        <v>20230920</v>
      </c>
      <c r="J91" s="106">
        <v>45219</v>
      </c>
      <c r="K91" s="6" t="s">
        <v>434</v>
      </c>
      <c r="L91" s="6" t="s">
        <v>17</v>
      </c>
      <c r="M91" s="8">
        <v>60000</v>
      </c>
    </row>
    <row r="92" spans="1:13" x14ac:dyDescent="0.35">
      <c r="A92" s="6">
        <v>4746580001</v>
      </c>
      <c r="B92" s="6" t="s">
        <v>35</v>
      </c>
      <c r="C92" s="6" t="s">
        <v>487</v>
      </c>
      <c r="D92" s="6">
        <v>24006</v>
      </c>
      <c r="E92" s="6" t="s">
        <v>432</v>
      </c>
      <c r="F92" s="6">
        <v>474658</v>
      </c>
      <c r="G92" s="6" t="s">
        <v>219</v>
      </c>
      <c r="H92" s="6">
        <v>5</v>
      </c>
      <c r="I92" s="6">
        <v>20230904</v>
      </c>
      <c r="J92" s="106">
        <v>45203</v>
      </c>
      <c r="K92" s="6" t="s">
        <v>502</v>
      </c>
      <c r="L92" s="6" t="s">
        <v>17</v>
      </c>
      <c r="M92" s="8">
        <v>60000</v>
      </c>
    </row>
    <row r="93" spans="1:13" x14ac:dyDescent="0.35">
      <c r="M93" s="39">
        <f>SUM(M84:M92)</f>
        <v>620000</v>
      </c>
    </row>
    <row r="94" spans="1:13" ht="15" thickBot="1" x14ac:dyDescent="0.4"/>
    <row r="95" spans="1:13" x14ac:dyDescent="0.35">
      <c r="B95" s="4" t="s">
        <v>119</v>
      </c>
    </row>
    <row r="96" spans="1:13" x14ac:dyDescent="0.35">
      <c r="A96" s="5" t="s">
        <v>0</v>
      </c>
      <c r="B96" s="5" t="s">
        <v>1</v>
      </c>
      <c r="C96" s="5" t="s">
        <v>2</v>
      </c>
      <c r="D96" s="5" t="s">
        <v>3</v>
      </c>
      <c r="E96" s="5" t="s">
        <v>4</v>
      </c>
      <c r="F96" s="5" t="s">
        <v>5</v>
      </c>
      <c r="G96" s="5" t="s">
        <v>6</v>
      </c>
      <c r="H96" s="5" t="s">
        <v>374</v>
      </c>
      <c r="I96" s="5" t="s">
        <v>7</v>
      </c>
      <c r="J96" s="5" t="s">
        <v>8</v>
      </c>
      <c r="K96" s="5" t="s">
        <v>9</v>
      </c>
      <c r="L96" s="5" t="s">
        <v>10</v>
      </c>
      <c r="M96" s="5" t="s">
        <v>11</v>
      </c>
    </row>
    <row r="97" spans="1:13" x14ac:dyDescent="0.35">
      <c r="A97" s="6">
        <v>2276269999</v>
      </c>
      <c r="B97" s="6" t="s">
        <v>58</v>
      </c>
      <c r="C97" s="6" t="s">
        <v>482</v>
      </c>
      <c r="D97" s="6">
        <v>30006</v>
      </c>
      <c r="E97" s="6" t="s">
        <v>432</v>
      </c>
      <c r="F97" s="6">
        <v>227627</v>
      </c>
      <c r="G97" s="6" t="s">
        <v>503</v>
      </c>
      <c r="H97" s="6">
        <v>4</v>
      </c>
      <c r="I97" s="6">
        <v>20231006</v>
      </c>
      <c r="J97" s="106">
        <v>45250</v>
      </c>
      <c r="K97" s="6" t="s">
        <v>504</v>
      </c>
      <c r="L97" s="6" t="s">
        <v>17</v>
      </c>
      <c r="M97" s="8">
        <v>80000</v>
      </c>
    </row>
    <row r="98" spans="1:13" x14ac:dyDescent="0.35">
      <c r="A98" s="6">
        <v>4117260001</v>
      </c>
      <c r="B98" s="6" t="s">
        <v>29</v>
      </c>
      <c r="C98" s="6" t="s">
        <v>482</v>
      </c>
      <c r="D98" s="6">
        <v>2010</v>
      </c>
      <c r="E98" s="6" t="s">
        <v>432</v>
      </c>
      <c r="F98" s="6">
        <v>411726</v>
      </c>
      <c r="G98" s="6" t="s">
        <v>234</v>
      </c>
      <c r="H98" s="6">
        <v>6</v>
      </c>
      <c r="I98" s="6">
        <v>20231018</v>
      </c>
      <c r="J98" s="106">
        <v>45258</v>
      </c>
      <c r="K98" s="6" t="s">
        <v>481</v>
      </c>
      <c r="L98" s="6" t="s">
        <v>17</v>
      </c>
      <c r="M98" s="8">
        <v>70000</v>
      </c>
    </row>
    <row r="99" spans="1:13" x14ac:dyDescent="0.35">
      <c r="A99" s="6">
        <v>5415000001</v>
      </c>
      <c r="B99" s="6" t="s">
        <v>29</v>
      </c>
      <c r="C99" s="6" t="s">
        <v>482</v>
      </c>
      <c r="D99" s="6">
        <v>2028</v>
      </c>
      <c r="E99" s="6" t="s">
        <v>432</v>
      </c>
      <c r="F99" s="6">
        <v>541500</v>
      </c>
      <c r="G99" s="6" t="s">
        <v>385</v>
      </c>
      <c r="H99" s="6">
        <v>2</v>
      </c>
      <c r="I99" s="6">
        <v>20231009</v>
      </c>
      <c r="J99" s="106">
        <v>45253</v>
      </c>
      <c r="K99" s="6" t="s">
        <v>352</v>
      </c>
      <c r="L99" s="6" t="s">
        <v>17</v>
      </c>
      <c r="M99" s="8">
        <v>40000</v>
      </c>
    </row>
    <row r="100" spans="1:13" x14ac:dyDescent="0.35">
      <c r="A100" s="6">
        <v>4284800002</v>
      </c>
      <c r="B100" s="6" t="s">
        <v>29</v>
      </c>
      <c r="C100" s="6" t="s">
        <v>482</v>
      </c>
      <c r="D100" s="6">
        <v>2040</v>
      </c>
      <c r="E100" s="6" t="s">
        <v>432</v>
      </c>
      <c r="F100" s="6">
        <v>428480</v>
      </c>
      <c r="G100" s="6" t="s">
        <v>399</v>
      </c>
      <c r="H100" s="6">
        <v>2</v>
      </c>
      <c r="I100" s="6">
        <v>20231023</v>
      </c>
      <c r="J100" s="106">
        <v>45264</v>
      </c>
      <c r="K100" s="6" t="s">
        <v>65</v>
      </c>
      <c r="L100" s="6" t="s">
        <v>17</v>
      </c>
      <c r="M100" s="8">
        <v>20000</v>
      </c>
    </row>
    <row r="101" spans="1:13" x14ac:dyDescent="0.35">
      <c r="A101" s="6">
        <v>4243180001</v>
      </c>
      <c r="B101" s="6" t="s">
        <v>29</v>
      </c>
      <c r="C101" s="6" t="s">
        <v>482</v>
      </c>
      <c r="D101" s="6">
        <v>38006</v>
      </c>
      <c r="E101" s="6" t="s">
        <v>432</v>
      </c>
      <c r="F101" s="6">
        <v>424318</v>
      </c>
      <c r="G101" s="6" t="s">
        <v>505</v>
      </c>
      <c r="H101" s="58">
        <v>1</v>
      </c>
      <c r="I101" s="6">
        <v>20231031</v>
      </c>
      <c r="J101" s="106">
        <v>45274</v>
      </c>
      <c r="K101" s="6" t="s">
        <v>352</v>
      </c>
      <c r="L101" s="6" t="s">
        <v>17</v>
      </c>
      <c r="M101" s="8">
        <v>40000</v>
      </c>
    </row>
    <row r="102" spans="1:13" x14ac:dyDescent="0.35">
      <c r="A102" s="6">
        <v>6051030001</v>
      </c>
      <c r="B102" s="6" t="s">
        <v>29</v>
      </c>
      <c r="C102" s="6" t="s">
        <v>482</v>
      </c>
      <c r="D102" s="6">
        <v>2008</v>
      </c>
      <c r="E102" s="6" t="s">
        <v>432</v>
      </c>
      <c r="F102" s="6">
        <v>605103</v>
      </c>
      <c r="G102" s="6" t="s">
        <v>506</v>
      </c>
      <c r="H102" s="58">
        <v>1</v>
      </c>
      <c r="I102" s="6">
        <v>20231002</v>
      </c>
      <c r="J102" s="106">
        <v>45246</v>
      </c>
      <c r="K102" s="6" t="s">
        <v>352</v>
      </c>
      <c r="L102" s="6" t="s">
        <v>17</v>
      </c>
      <c r="M102" s="8">
        <v>80000</v>
      </c>
    </row>
    <row r="103" spans="1:13" x14ac:dyDescent="0.35">
      <c r="A103" s="6">
        <v>5751170001</v>
      </c>
      <c r="B103" s="6" t="s">
        <v>29</v>
      </c>
      <c r="C103" s="6" t="s">
        <v>482</v>
      </c>
      <c r="D103" s="6">
        <v>2045</v>
      </c>
      <c r="E103" s="6" t="s">
        <v>432</v>
      </c>
      <c r="F103" s="6">
        <v>575117</v>
      </c>
      <c r="G103" s="6" t="s">
        <v>507</v>
      </c>
      <c r="H103" s="58">
        <v>1</v>
      </c>
      <c r="I103" s="6">
        <v>20231023</v>
      </c>
      <c r="J103" s="106">
        <v>45254</v>
      </c>
      <c r="K103" s="6" t="s">
        <v>508</v>
      </c>
      <c r="L103" s="6" t="s">
        <v>17</v>
      </c>
      <c r="M103" s="8">
        <v>50000</v>
      </c>
    </row>
    <row r="104" spans="1:13" x14ac:dyDescent="0.35">
      <c r="A104" s="6">
        <v>4856900001</v>
      </c>
      <c r="B104" s="6" t="s">
        <v>29</v>
      </c>
      <c r="C104" s="6" t="s">
        <v>482</v>
      </c>
      <c r="D104" s="6">
        <v>2029</v>
      </c>
      <c r="E104" s="6" t="s">
        <v>432</v>
      </c>
      <c r="F104" s="6">
        <v>485690</v>
      </c>
      <c r="G104" s="6" t="s">
        <v>238</v>
      </c>
      <c r="H104" s="6">
        <v>2</v>
      </c>
      <c r="I104" s="6">
        <v>20231019</v>
      </c>
      <c r="J104" s="106">
        <v>45264</v>
      </c>
      <c r="K104" s="6" t="s">
        <v>408</v>
      </c>
      <c r="L104" s="6" t="s">
        <v>17</v>
      </c>
      <c r="M104" s="8">
        <v>70000</v>
      </c>
    </row>
    <row r="105" spans="1:13" x14ac:dyDescent="0.35">
      <c r="A105" s="6">
        <v>5054850001</v>
      </c>
      <c r="B105" s="6" t="s">
        <v>29</v>
      </c>
      <c r="C105" s="6" t="s">
        <v>482</v>
      </c>
      <c r="D105" s="6">
        <v>2015</v>
      </c>
      <c r="E105" s="6" t="s">
        <v>432</v>
      </c>
      <c r="F105" s="6">
        <v>505485</v>
      </c>
      <c r="G105" s="6" t="s">
        <v>285</v>
      </c>
      <c r="H105" s="6">
        <v>3</v>
      </c>
      <c r="I105" s="6">
        <v>20231018</v>
      </c>
      <c r="J105" s="106">
        <v>45257</v>
      </c>
      <c r="K105" s="6" t="s">
        <v>509</v>
      </c>
      <c r="L105" s="6" t="s">
        <v>17</v>
      </c>
      <c r="M105" s="8">
        <v>150000</v>
      </c>
    </row>
    <row r="106" spans="1:13" x14ac:dyDescent="0.35">
      <c r="A106" s="6">
        <v>5729950001</v>
      </c>
      <c r="B106" s="6" t="s">
        <v>44</v>
      </c>
      <c r="C106" s="6" t="s">
        <v>482</v>
      </c>
      <c r="D106" s="6">
        <v>5010</v>
      </c>
      <c r="E106" s="6" t="s">
        <v>432</v>
      </c>
      <c r="F106" s="6">
        <v>572995</v>
      </c>
      <c r="G106" s="6" t="s">
        <v>448</v>
      </c>
      <c r="H106" s="6">
        <v>6</v>
      </c>
      <c r="I106" s="6">
        <v>20231031</v>
      </c>
      <c r="J106" s="106">
        <v>45275</v>
      </c>
      <c r="K106" s="6" t="s">
        <v>213</v>
      </c>
      <c r="L106" s="6" t="s">
        <v>17</v>
      </c>
      <c r="M106" s="8">
        <v>12000</v>
      </c>
    </row>
    <row r="107" spans="1:13" x14ac:dyDescent="0.35">
      <c r="A107" s="6">
        <v>6074260001</v>
      </c>
      <c r="B107" s="6" t="s">
        <v>21</v>
      </c>
      <c r="C107" s="6" t="s">
        <v>482</v>
      </c>
      <c r="D107" s="6">
        <v>13008</v>
      </c>
      <c r="E107" s="6" t="s">
        <v>432</v>
      </c>
      <c r="F107" s="6">
        <v>607426</v>
      </c>
      <c r="G107" s="6" t="s">
        <v>510</v>
      </c>
      <c r="H107" s="58">
        <v>1</v>
      </c>
      <c r="I107" s="6">
        <v>20231016</v>
      </c>
      <c r="J107" s="106">
        <v>45246</v>
      </c>
      <c r="K107" s="6" t="s">
        <v>120</v>
      </c>
      <c r="L107" s="6" t="s">
        <v>17</v>
      </c>
      <c r="M107" s="8">
        <v>50000</v>
      </c>
    </row>
    <row r="108" spans="1:13" x14ac:dyDescent="0.35">
      <c r="A108" s="6">
        <v>5048180001</v>
      </c>
      <c r="B108" s="6" t="s">
        <v>21</v>
      </c>
      <c r="C108" s="6" t="s">
        <v>482</v>
      </c>
      <c r="D108" s="6">
        <v>13014</v>
      </c>
      <c r="E108" s="6" t="s">
        <v>432</v>
      </c>
      <c r="F108" s="6">
        <v>504818</v>
      </c>
      <c r="G108" s="6" t="s">
        <v>279</v>
      </c>
      <c r="H108" s="6">
        <v>2</v>
      </c>
      <c r="I108" s="6">
        <v>20231009</v>
      </c>
      <c r="J108" s="106">
        <v>45239</v>
      </c>
      <c r="K108" s="6" t="s">
        <v>511</v>
      </c>
      <c r="L108" s="6" t="s">
        <v>17</v>
      </c>
      <c r="M108" s="8">
        <v>40000</v>
      </c>
    </row>
    <row r="109" spans="1:13" x14ac:dyDescent="0.35">
      <c r="M109" s="39">
        <f>SUM(M97:M108)</f>
        <v>702000</v>
      </c>
    </row>
    <row r="110" spans="1:13" ht="15" thickBot="1" x14ac:dyDescent="0.4"/>
    <row r="111" spans="1:13" x14ac:dyDescent="0.35">
      <c r="B111" s="4" t="s">
        <v>129</v>
      </c>
    </row>
    <row r="112" spans="1:13" x14ac:dyDescent="0.35">
      <c r="A112" s="5" t="s">
        <v>0</v>
      </c>
      <c r="B112" s="5" t="s">
        <v>1</v>
      </c>
      <c r="C112" s="5" t="s">
        <v>2</v>
      </c>
      <c r="D112" s="5" t="s">
        <v>3</v>
      </c>
      <c r="E112" s="5" t="s">
        <v>4</v>
      </c>
      <c r="F112" s="5" t="s">
        <v>5</v>
      </c>
      <c r="G112" s="5" t="s">
        <v>6</v>
      </c>
      <c r="H112" s="5" t="s">
        <v>374</v>
      </c>
      <c r="I112" s="5" t="s">
        <v>7</v>
      </c>
      <c r="J112" s="5" t="s">
        <v>8</v>
      </c>
      <c r="K112" s="5" t="s">
        <v>9</v>
      </c>
      <c r="L112" s="5" t="s">
        <v>10</v>
      </c>
      <c r="M112" s="5" t="s">
        <v>11</v>
      </c>
    </row>
    <row r="113" spans="1:13" x14ac:dyDescent="0.35">
      <c r="A113" s="6">
        <v>6114740001</v>
      </c>
      <c r="B113" s="6" t="s">
        <v>58</v>
      </c>
      <c r="C113" s="6" t="s">
        <v>482</v>
      </c>
      <c r="D113" s="6">
        <v>30006</v>
      </c>
      <c r="E113" s="6" t="s">
        <v>432</v>
      </c>
      <c r="F113" s="6">
        <v>611474</v>
      </c>
      <c r="G113" s="6" t="s">
        <v>512</v>
      </c>
      <c r="H113" s="58">
        <v>1</v>
      </c>
      <c r="I113" s="6">
        <v>20231122</v>
      </c>
      <c r="J113" s="106">
        <v>45348</v>
      </c>
      <c r="K113" s="6" t="s">
        <v>57</v>
      </c>
      <c r="L113" s="6" t="s">
        <v>17</v>
      </c>
      <c r="M113" s="8">
        <v>80000</v>
      </c>
    </row>
    <row r="114" spans="1:13" x14ac:dyDescent="0.35">
      <c r="A114" s="6">
        <v>6050900001</v>
      </c>
      <c r="B114" s="6" t="s">
        <v>29</v>
      </c>
      <c r="C114" s="6" t="s">
        <v>482</v>
      </c>
      <c r="D114" s="6">
        <v>2023</v>
      </c>
      <c r="E114" s="6" t="s">
        <v>432</v>
      </c>
      <c r="F114" s="6">
        <v>605090</v>
      </c>
      <c r="G114" s="6" t="s">
        <v>513</v>
      </c>
      <c r="H114" s="58">
        <v>1</v>
      </c>
      <c r="I114" s="6">
        <v>20231114</v>
      </c>
      <c r="J114" s="106">
        <v>45288</v>
      </c>
      <c r="K114" s="6" t="s">
        <v>352</v>
      </c>
      <c r="L114" s="6" t="s">
        <v>17</v>
      </c>
      <c r="M114" s="8">
        <v>50000</v>
      </c>
    </row>
    <row r="115" spans="1:13" x14ac:dyDescent="0.35">
      <c r="A115" s="6">
        <v>5126120001</v>
      </c>
      <c r="B115" s="6" t="s">
        <v>29</v>
      </c>
      <c r="C115" s="6" t="s">
        <v>492</v>
      </c>
      <c r="D115" s="6">
        <v>2034</v>
      </c>
      <c r="E115" s="6" t="s">
        <v>432</v>
      </c>
      <c r="F115" s="6">
        <v>512612</v>
      </c>
      <c r="G115" s="6" t="s">
        <v>311</v>
      </c>
      <c r="H115" s="6">
        <v>4</v>
      </c>
      <c r="I115" s="6">
        <v>20231110</v>
      </c>
      <c r="J115" s="106">
        <v>45281</v>
      </c>
      <c r="K115" s="6" t="s">
        <v>20</v>
      </c>
      <c r="L115" s="6" t="s">
        <v>17</v>
      </c>
      <c r="M115" s="8">
        <v>11000</v>
      </c>
    </row>
    <row r="116" spans="1:13" x14ac:dyDescent="0.35">
      <c r="A116" s="6">
        <v>6141910001</v>
      </c>
      <c r="B116" s="6" t="s">
        <v>29</v>
      </c>
      <c r="C116" s="6" t="s">
        <v>482</v>
      </c>
      <c r="D116" s="6">
        <v>2008</v>
      </c>
      <c r="E116" s="6" t="s">
        <v>432</v>
      </c>
      <c r="F116" s="6">
        <v>614191</v>
      </c>
      <c r="G116" s="6" t="s">
        <v>514</v>
      </c>
      <c r="H116" s="58">
        <v>1</v>
      </c>
      <c r="I116" s="6">
        <v>20231117</v>
      </c>
      <c r="J116" s="106">
        <v>45310</v>
      </c>
      <c r="K116" s="6" t="s">
        <v>515</v>
      </c>
      <c r="L116" s="6" t="s">
        <v>17</v>
      </c>
      <c r="M116" s="8">
        <v>200000</v>
      </c>
    </row>
    <row r="117" spans="1:13" x14ac:dyDescent="0.35">
      <c r="A117" s="6">
        <v>6092220001</v>
      </c>
      <c r="B117" s="6" t="s">
        <v>29</v>
      </c>
      <c r="C117" s="6" t="s">
        <v>482</v>
      </c>
      <c r="D117" s="6">
        <v>2029</v>
      </c>
      <c r="E117" s="6" t="s">
        <v>432</v>
      </c>
      <c r="F117" s="6">
        <v>609222</v>
      </c>
      <c r="G117" s="6" t="s">
        <v>516</v>
      </c>
      <c r="H117" s="58">
        <v>1</v>
      </c>
      <c r="I117" s="6">
        <v>20231120</v>
      </c>
      <c r="J117" s="106">
        <v>45294</v>
      </c>
      <c r="K117" s="6" t="s">
        <v>108</v>
      </c>
      <c r="L117" s="6" t="s">
        <v>17</v>
      </c>
      <c r="M117" s="8">
        <v>80000</v>
      </c>
    </row>
    <row r="118" spans="1:13" x14ac:dyDescent="0.35">
      <c r="A118" s="6">
        <v>5023130003</v>
      </c>
      <c r="B118" s="6" t="s">
        <v>29</v>
      </c>
      <c r="C118" s="6" t="s">
        <v>482</v>
      </c>
      <c r="D118" s="6">
        <v>38002</v>
      </c>
      <c r="E118" s="6" t="s">
        <v>432</v>
      </c>
      <c r="F118" s="6">
        <v>502313</v>
      </c>
      <c r="G118" s="6" t="s">
        <v>517</v>
      </c>
      <c r="H118" s="58">
        <v>1</v>
      </c>
      <c r="I118" s="6">
        <v>20231124</v>
      </c>
      <c r="J118" s="106">
        <v>45301</v>
      </c>
      <c r="K118" s="6" t="s">
        <v>408</v>
      </c>
      <c r="L118" s="6" t="s">
        <v>17</v>
      </c>
      <c r="M118" s="8">
        <v>220000</v>
      </c>
    </row>
    <row r="119" spans="1:13" x14ac:dyDescent="0.35">
      <c r="A119" s="6">
        <v>5294600002</v>
      </c>
      <c r="B119" s="6" t="s">
        <v>29</v>
      </c>
      <c r="C119" s="6" t="s">
        <v>482</v>
      </c>
      <c r="D119" s="6">
        <v>2044</v>
      </c>
      <c r="E119" s="6" t="s">
        <v>432</v>
      </c>
      <c r="F119" s="6">
        <v>529460</v>
      </c>
      <c r="G119" s="6" t="s">
        <v>356</v>
      </c>
      <c r="H119" s="6">
        <v>5</v>
      </c>
      <c r="I119" s="6">
        <v>20231122</v>
      </c>
      <c r="J119" s="106">
        <v>45296</v>
      </c>
      <c r="K119" s="6" t="s">
        <v>108</v>
      </c>
      <c r="L119" s="6" t="s">
        <v>17</v>
      </c>
      <c r="M119" s="8">
        <v>420000</v>
      </c>
    </row>
    <row r="120" spans="1:13" x14ac:dyDescent="0.35">
      <c r="A120" s="6">
        <v>5301740001</v>
      </c>
      <c r="B120" s="6" t="s">
        <v>29</v>
      </c>
      <c r="C120" s="6" t="s">
        <v>482</v>
      </c>
      <c r="D120" s="6">
        <v>2029</v>
      </c>
      <c r="E120" s="6" t="s">
        <v>432</v>
      </c>
      <c r="F120" s="6">
        <v>530174</v>
      </c>
      <c r="G120" s="6" t="s">
        <v>355</v>
      </c>
      <c r="H120" s="6">
        <v>3</v>
      </c>
      <c r="I120" s="6">
        <v>20231129</v>
      </c>
      <c r="J120" s="106">
        <v>45296</v>
      </c>
      <c r="K120" s="6" t="s">
        <v>472</v>
      </c>
      <c r="L120" s="6" t="s">
        <v>17</v>
      </c>
      <c r="M120" s="8">
        <v>300000</v>
      </c>
    </row>
    <row r="121" spans="1:13" x14ac:dyDescent="0.35">
      <c r="A121" s="6">
        <v>5743110002</v>
      </c>
      <c r="B121" s="6" t="s">
        <v>486</v>
      </c>
      <c r="C121" s="6" t="s">
        <v>482</v>
      </c>
      <c r="D121" s="6">
        <v>26033</v>
      </c>
      <c r="E121" s="6" t="s">
        <v>432</v>
      </c>
      <c r="F121" s="6">
        <v>574311</v>
      </c>
      <c r="G121" s="6" t="s">
        <v>518</v>
      </c>
      <c r="H121" s="58">
        <v>1</v>
      </c>
      <c r="I121" s="6">
        <v>20231120</v>
      </c>
      <c r="J121" s="106">
        <v>45299</v>
      </c>
      <c r="K121" s="6" t="s">
        <v>376</v>
      </c>
      <c r="L121" s="6" t="s">
        <v>17</v>
      </c>
      <c r="M121" s="8">
        <v>100000</v>
      </c>
    </row>
    <row r="122" spans="1:13" x14ac:dyDescent="0.35">
      <c r="A122" s="6">
        <v>6147810001</v>
      </c>
      <c r="B122" s="6" t="s">
        <v>486</v>
      </c>
      <c r="C122" s="6" t="s">
        <v>482</v>
      </c>
      <c r="D122" s="6">
        <v>26021</v>
      </c>
      <c r="E122" s="6" t="s">
        <v>432</v>
      </c>
      <c r="F122" s="6">
        <v>614781</v>
      </c>
      <c r="G122" s="6" t="s">
        <v>519</v>
      </c>
      <c r="H122" s="58">
        <v>1</v>
      </c>
      <c r="I122" s="6">
        <v>20231129</v>
      </c>
      <c r="J122" s="106">
        <v>45306</v>
      </c>
      <c r="K122" s="6" t="s">
        <v>131</v>
      </c>
      <c r="L122" s="6" t="s">
        <v>17</v>
      </c>
      <c r="M122" s="8">
        <v>100000</v>
      </c>
    </row>
    <row r="123" spans="1:13" x14ac:dyDescent="0.35">
      <c r="A123" s="6">
        <v>1803750003</v>
      </c>
      <c r="B123" s="6" t="s">
        <v>12</v>
      </c>
      <c r="C123" s="6" t="s">
        <v>482</v>
      </c>
      <c r="D123" s="6">
        <v>8005</v>
      </c>
      <c r="E123" s="6" t="s">
        <v>432</v>
      </c>
      <c r="F123" s="6">
        <v>180375</v>
      </c>
      <c r="G123" s="6" t="s">
        <v>520</v>
      </c>
      <c r="H123" s="6">
        <v>6</v>
      </c>
      <c r="I123" s="6">
        <v>20231123</v>
      </c>
      <c r="J123" s="106">
        <v>45289</v>
      </c>
      <c r="K123" s="6" t="s">
        <v>521</v>
      </c>
      <c r="L123" s="6" t="s">
        <v>17</v>
      </c>
      <c r="M123" s="8">
        <v>40000</v>
      </c>
    </row>
    <row r="124" spans="1:13" x14ac:dyDescent="0.35">
      <c r="A124" s="6">
        <v>4175200001</v>
      </c>
      <c r="B124" s="6" t="s">
        <v>21</v>
      </c>
      <c r="C124" s="6" t="s">
        <v>482</v>
      </c>
      <c r="D124" s="6">
        <v>13009</v>
      </c>
      <c r="E124" s="6" t="s">
        <v>432</v>
      </c>
      <c r="F124" s="6">
        <v>417520</v>
      </c>
      <c r="G124" s="6" t="s">
        <v>522</v>
      </c>
      <c r="H124" s="58">
        <v>1</v>
      </c>
      <c r="I124" s="6">
        <v>20231103</v>
      </c>
      <c r="J124" s="106">
        <v>45271</v>
      </c>
      <c r="K124" s="6" t="s">
        <v>284</v>
      </c>
      <c r="L124" s="6" t="s">
        <v>17</v>
      </c>
      <c r="M124" s="8">
        <v>50000</v>
      </c>
    </row>
    <row r="125" spans="1:13" x14ac:dyDescent="0.35">
      <c r="M125" s="39">
        <f>SUM(M113:M124)</f>
        <v>1651000</v>
      </c>
    </row>
    <row r="126" spans="1:13" ht="15" thickBot="1" x14ac:dyDescent="0.4"/>
    <row r="127" spans="1:13" x14ac:dyDescent="0.35">
      <c r="B127" s="4" t="s">
        <v>137</v>
      </c>
    </row>
    <row r="128" spans="1:13" x14ac:dyDescent="0.35">
      <c r="A128" s="5" t="s">
        <v>0</v>
      </c>
      <c r="B128" s="5" t="s">
        <v>1</v>
      </c>
      <c r="C128" s="5" t="s">
        <v>2</v>
      </c>
      <c r="D128" s="5" t="s">
        <v>3</v>
      </c>
      <c r="E128" s="5" t="s">
        <v>4</v>
      </c>
      <c r="F128" s="5" t="s">
        <v>5</v>
      </c>
      <c r="G128" s="5" t="s">
        <v>6</v>
      </c>
      <c r="H128" s="5" t="s">
        <v>374</v>
      </c>
      <c r="I128" s="5" t="s">
        <v>7</v>
      </c>
      <c r="J128" s="5" t="s">
        <v>8</v>
      </c>
      <c r="K128" s="5" t="s">
        <v>9</v>
      </c>
      <c r="L128" s="5" t="s">
        <v>10</v>
      </c>
      <c r="M128" s="5" t="s">
        <v>11</v>
      </c>
    </row>
    <row r="129" spans="1:13" x14ac:dyDescent="0.35">
      <c r="A129" s="6">
        <v>4791960001</v>
      </c>
      <c r="B129" s="6" t="s">
        <v>29</v>
      </c>
      <c r="C129" s="6" t="s">
        <v>482</v>
      </c>
      <c r="D129" s="6">
        <v>2011</v>
      </c>
      <c r="E129" s="6" t="s">
        <v>432</v>
      </c>
      <c r="F129" s="6">
        <v>479196</v>
      </c>
      <c r="G129" s="58" t="s">
        <v>251</v>
      </c>
      <c r="H129" s="6">
        <v>4</v>
      </c>
      <c r="I129" s="6">
        <v>20231220</v>
      </c>
      <c r="J129" s="106">
        <v>45342</v>
      </c>
      <c r="K129" s="6" t="s">
        <v>280</v>
      </c>
      <c r="L129" s="6" t="s">
        <v>17</v>
      </c>
      <c r="M129" s="8">
        <v>230000</v>
      </c>
    </row>
    <row r="130" spans="1:13" x14ac:dyDescent="0.35">
      <c r="A130" s="6">
        <v>5302610001</v>
      </c>
      <c r="B130" s="6" t="s">
        <v>29</v>
      </c>
      <c r="C130" s="6" t="s">
        <v>482</v>
      </c>
      <c r="D130" s="6">
        <v>2045</v>
      </c>
      <c r="E130" s="6" t="s">
        <v>432</v>
      </c>
      <c r="F130" s="6">
        <v>530261</v>
      </c>
      <c r="G130" s="58" t="s">
        <v>354</v>
      </c>
      <c r="H130" s="6">
        <v>2</v>
      </c>
      <c r="I130" s="6">
        <v>20231207</v>
      </c>
      <c r="J130" s="106">
        <v>45310</v>
      </c>
      <c r="K130" s="6" t="s">
        <v>252</v>
      </c>
      <c r="L130" s="6" t="s">
        <v>17</v>
      </c>
      <c r="M130" s="8">
        <v>100000</v>
      </c>
    </row>
    <row r="131" spans="1:13" x14ac:dyDescent="0.35">
      <c r="A131" s="6">
        <v>5136190001</v>
      </c>
      <c r="B131" s="6" t="s">
        <v>29</v>
      </c>
      <c r="C131" s="6" t="s">
        <v>482</v>
      </c>
      <c r="D131" s="6">
        <v>2040</v>
      </c>
      <c r="E131" s="6" t="s">
        <v>432</v>
      </c>
      <c r="F131" s="6">
        <v>513619</v>
      </c>
      <c r="G131" s="58" t="s">
        <v>523</v>
      </c>
      <c r="H131" s="58">
        <v>1</v>
      </c>
      <c r="I131" s="6">
        <v>20231218</v>
      </c>
      <c r="J131" s="106">
        <v>45350</v>
      </c>
      <c r="K131" s="6" t="s">
        <v>524</v>
      </c>
      <c r="L131" s="6" t="s">
        <v>17</v>
      </c>
      <c r="M131" s="8">
        <v>100000</v>
      </c>
    </row>
    <row r="132" spans="1:13" x14ac:dyDescent="0.35">
      <c r="A132" s="6">
        <v>5476050002</v>
      </c>
      <c r="B132" s="6" t="s">
        <v>486</v>
      </c>
      <c r="C132" s="6" t="s">
        <v>482</v>
      </c>
      <c r="D132" s="6">
        <v>26001</v>
      </c>
      <c r="E132" s="6" t="s">
        <v>432</v>
      </c>
      <c r="F132" s="6">
        <v>547605</v>
      </c>
      <c r="G132" s="58" t="s">
        <v>490</v>
      </c>
      <c r="H132" s="6">
        <v>2</v>
      </c>
      <c r="I132" s="6">
        <v>20231215</v>
      </c>
      <c r="J132" s="106">
        <v>45323</v>
      </c>
      <c r="K132" s="6" t="s">
        <v>525</v>
      </c>
      <c r="L132" s="6" t="s">
        <v>17</v>
      </c>
      <c r="M132" s="8">
        <v>100000</v>
      </c>
    </row>
    <row r="133" spans="1:13" x14ac:dyDescent="0.35">
      <c r="A133" s="6">
        <v>4229570001</v>
      </c>
      <c r="B133" s="6" t="s">
        <v>132</v>
      </c>
      <c r="C133" s="6" t="s">
        <v>482</v>
      </c>
      <c r="D133" s="6">
        <v>25008</v>
      </c>
      <c r="E133" s="6" t="s">
        <v>432</v>
      </c>
      <c r="F133" s="6">
        <v>422957</v>
      </c>
      <c r="G133" s="58" t="s">
        <v>163</v>
      </c>
      <c r="H133" s="6">
        <v>3</v>
      </c>
      <c r="I133" s="6">
        <v>20231211</v>
      </c>
      <c r="J133" s="106">
        <v>45327</v>
      </c>
      <c r="K133" s="6" t="s">
        <v>430</v>
      </c>
      <c r="L133" s="6" t="s">
        <v>17</v>
      </c>
      <c r="M133" s="8">
        <v>30000</v>
      </c>
    </row>
    <row r="134" spans="1:13" x14ac:dyDescent="0.35">
      <c r="A134" s="6">
        <v>5082900001</v>
      </c>
      <c r="B134" s="6" t="s">
        <v>32</v>
      </c>
      <c r="C134" s="6" t="s">
        <v>482</v>
      </c>
      <c r="D134" s="6">
        <v>20023</v>
      </c>
      <c r="E134" s="6" t="s">
        <v>432</v>
      </c>
      <c r="F134" s="6">
        <v>508290</v>
      </c>
      <c r="G134" s="58" t="s">
        <v>450</v>
      </c>
      <c r="H134" s="6">
        <v>3</v>
      </c>
      <c r="I134" s="6">
        <v>20231211</v>
      </c>
      <c r="J134" s="106">
        <v>45334</v>
      </c>
      <c r="K134" s="6" t="s">
        <v>72</v>
      </c>
      <c r="L134" s="6" t="s">
        <v>17</v>
      </c>
      <c r="M134" s="8">
        <v>70000</v>
      </c>
    </row>
    <row r="135" spans="1:13" x14ac:dyDescent="0.35">
      <c r="A135" s="6">
        <v>2355840001</v>
      </c>
      <c r="B135" s="6" t="s">
        <v>32</v>
      </c>
      <c r="C135" s="6" t="s">
        <v>482</v>
      </c>
      <c r="D135" s="6">
        <v>20029</v>
      </c>
      <c r="E135" s="6" t="s">
        <v>432</v>
      </c>
      <c r="F135" s="6">
        <v>235584</v>
      </c>
      <c r="G135" s="58" t="s">
        <v>442</v>
      </c>
      <c r="H135" s="6">
        <v>6</v>
      </c>
      <c r="I135" s="6">
        <v>20231211</v>
      </c>
      <c r="J135" s="106">
        <v>45313</v>
      </c>
      <c r="K135" s="6" t="s">
        <v>443</v>
      </c>
      <c r="L135" s="6" t="s">
        <v>17</v>
      </c>
      <c r="M135" s="8">
        <v>50000</v>
      </c>
    </row>
    <row r="136" spans="1:13" x14ac:dyDescent="0.35">
      <c r="A136" s="6">
        <v>5616950001</v>
      </c>
      <c r="B136" s="6" t="s">
        <v>18</v>
      </c>
      <c r="C136" s="6" t="s">
        <v>498</v>
      </c>
      <c r="D136" s="6">
        <v>41002</v>
      </c>
      <c r="E136" s="6" t="s">
        <v>432</v>
      </c>
      <c r="F136" s="6">
        <v>561695</v>
      </c>
      <c r="G136" s="58" t="s">
        <v>429</v>
      </c>
      <c r="H136" s="6">
        <v>2</v>
      </c>
      <c r="I136" s="6">
        <v>20231220</v>
      </c>
      <c r="J136" s="106">
        <v>45324</v>
      </c>
      <c r="K136" s="6" t="s">
        <v>28</v>
      </c>
      <c r="L136" s="6" t="s">
        <v>17</v>
      </c>
      <c r="M136" s="8">
        <v>50000</v>
      </c>
    </row>
    <row r="137" spans="1:13" x14ac:dyDescent="0.35">
      <c r="A137" s="6">
        <v>5693000001</v>
      </c>
      <c r="B137" s="6" t="s">
        <v>277</v>
      </c>
      <c r="C137" s="6" t="s">
        <v>482</v>
      </c>
      <c r="D137" s="6">
        <v>29005</v>
      </c>
      <c r="E137" s="6" t="s">
        <v>432</v>
      </c>
      <c r="F137" s="6">
        <v>569300</v>
      </c>
      <c r="G137" s="58" t="s">
        <v>526</v>
      </c>
      <c r="H137" s="58">
        <v>1</v>
      </c>
      <c r="I137" s="6">
        <v>20231207</v>
      </c>
      <c r="J137" s="106">
        <v>45309</v>
      </c>
      <c r="K137" s="6" t="s">
        <v>527</v>
      </c>
      <c r="L137" s="6" t="s">
        <v>17</v>
      </c>
      <c r="M137" s="8">
        <v>70000</v>
      </c>
    </row>
    <row r="138" spans="1:13" x14ac:dyDescent="0.35">
      <c r="M138" s="39">
        <f>SUM(M129:M137)</f>
        <v>800000</v>
      </c>
    </row>
  </sheetData>
  <autoFilter ref="A128:M128" xr:uid="{0D69ADD7-2995-4396-BD1D-6CF9715ED647}">
    <sortState xmlns:xlrd2="http://schemas.microsoft.com/office/spreadsheetml/2017/richdata2" ref="A129:M139">
      <sortCondition ref="B128"/>
    </sortState>
  </autoFilter>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F01FB-E18B-4330-B73A-7846CAE1C40F}">
  <sheetPr codeName="Sheet7"/>
  <dimension ref="A1:T149"/>
  <sheetViews>
    <sheetView topLeftCell="A67" zoomScale="63" zoomScaleNormal="63" workbookViewId="0">
      <selection activeCell="S85" sqref="S85"/>
    </sheetView>
  </sheetViews>
  <sheetFormatPr defaultColWidth="8.7265625" defaultRowHeight="14.5" x14ac:dyDescent="0.35"/>
  <cols>
    <col min="1" max="1" width="12.7265625" customWidth="1"/>
    <col min="2" max="2" width="18.1796875" bestFit="1" customWidth="1"/>
    <col min="3" max="3" width="14.1796875" bestFit="1" customWidth="1"/>
    <col min="5" max="5" width="21.1796875" customWidth="1"/>
    <col min="7" max="7" width="34.81640625" customWidth="1"/>
    <col min="8" max="8" width="7" customWidth="1"/>
    <col min="9" max="9" width="12.1796875" bestFit="1" customWidth="1"/>
    <col min="10" max="10" width="16.54296875" style="105" bestFit="1" customWidth="1"/>
    <col min="13" max="13" width="12.7265625" bestFit="1" customWidth="1"/>
    <col min="20" max="20" width="16.1796875" bestFit="1" customWidth="1"/>
  </cols>
  <sheetData>
    <row r="1" spans="1:13" ht="15" thickBot="1" x14ac:dyDescent="0.4"/>
    <row r="2" spans="1:13" x14ac:dyDescent="0.35">
      <c r="B2" s="4" t="s">
        <v>147</v>
      </c>
    </row>
    <row r="3" spans="1:13" x14ac:dyDescent="0.35">
      <c r="A3" s="5" t="s">
        <v>0</v>
      </c>
      <c r="B3" s="5" t="s">
        <v>1</v>
      </c>
      <c r="C3" s="5" t="s">
        <v>2</v>
      </c>
      <c r="D3" s="5" t="s">
        <v>3</v>
      </c>
      <c r="E3" s="5" t="s">
        <v>4</v>
      </c>
      <c r="F3" s="5" t="s">
        <v>5</v>
      </c>
      <c r="G3" s="5" t="s">
        <v>6</v>
      </c>
      <c r="H3" s="5" t="s">
        <v>100</v>
      </c>
      <c r="I3" s="5" t="s">
        <v>7</v>
      </c>
      <c r="J3" s="107" t="s">
        <v>8</v>
      </c>
      <c r="K3" s="5" t="s">
        <v>9</v>
      </c>
      <c r="L3" s="5" t="s">
        <v>10</v>
      </c>
      <c r="M3" s="5" t="s">
        <v>11</v>
      </c>
    </row>
    <row r="4" spans="1:13" x14ac:dyDescent="0.35">
      <c r="A4" s="6">
        <v>6140030001</v>
      </c>
      <c r="B4" s="6" t="s">
        <v>58</v>
      </c>
      <c r="C4" s="6" t="s">
        <v>482</v>
      </c>
      <c r="D4" s="6">
        <v>30016</v>
      </c>
      <c r="E4" s="6" t="s">
        <v>432</v>
      </c>
      <c r="F4" s="6">
        <v>614003</v>
      </c>
      <c r="G4" s="6" t="s">
        <v>528</v>
      </c>
      <c r="H4" s="58">
        <v>1</v>
      </c>
      <c r="I4" s="6">
        <v>20240115</v>
      </c>
      <c r="J4" s="106">
        <v>45397</v>
      </c>
      <c r="K4" s="6" t="s">
        <v>529</v>
      </c>
      <c r="L4" s="6" t="s">
        <v>17</v>
      </c>
      <c r="M4" s="134">
        <v>60000</v>
      </c>
    </row>
    <row r="5" spans="1:13" x14ac:dyDescent="0.35">
      <c r="A5" s="6">
        <v>3820750001</v>
      </c>
      <c r="B5" s="6" t="s">
        <v>58</v>
      </c>
      <c r="C5" s="6" t="s">
        <v>482</v>
      </c>
      <c r="D5" s="6">
        <v>30016</v>
      </c>
      <c r="E5" s="6" t="s">
        <v>432</v>
      </c>
      <c r="F5" s="6">
        <v>382075</v>
      </c>
      <c r="G5" s="6" t="s">
        <v>316</v>
      </c>
      <c r="H5" s="6">
        <v>3</v>
      </c>
      <c r="I5" s="6">
        <v>20240115</v>
      </c>
      <c r="J5" s="106">
        <v>45426</v>
      </c>
      <c r="K5" s="6" t="s">
        <v>530</v>
      </c>
      <c r="L5" s="6" t="s">
        <v>17</v>
      </c>
      <c r="M5" s="134">
        <v>120000</v>
      </c>
    </row>
    <row r="6" spans="1:13" x14ac:dyDescent="0.35">
      <c r="A6" s="6">
        <v>4804170001</v>
      </c>
      <c r="B6" s="6" t="s">
        <v>29</v>
      </c>
      <c r="C6" s="41" t="s">
        <v>482</v>
      </c>
      <c r="D6" s="6">
        <v>2028</v>
      </c>
      <c r="E6" s="6" t="s">
        <v>432</v>
      </c>
      <c r="F6" s="6">
        <v>480417</v>
      </c>
      <c r="G6" s="6" t="s">
        <v>243</v>
      </c>
      <c r="H6" s="6">
        <v>10</v>
      </c>
      <c r="I6" s="6">
        <v>20240131</v>
      </c>
      <c r="J6" s="7">
        <v>45365</v>
      </c>
      <c r="K6" s="6" t="s">
        <v>54</v>
      </c>
      <c r="L6" s="6" t="s">
        <v>17</v>
      </c>
      <c r="M6" s="11">
        <v>40000</v>
      </c>
    </row>
    <row r="7" spans="1:13" x14ac:dyDescent="0.35">
      <c r="A7" s="6">
        <v>4389140001</v>
      </c>
      <c r="B7" s="6" t="s">
        <v>29</v>
      </c>
      <c r="C7" s="41" t="s">
        <v>482</v>
      </c>
      <c r="D7" s="6">
        <v>2040</v>
      </c>
      <c r="E7" s="6" t="s">
        <v>432</v>
      </c>
      <c r="F7" s="6">
        <v>438914</v>
      </c>
      <c r="G7" s="6" t="s">
        <v>258</v>
      </c>
      <c r="H7" s="6">
        <v>2</v>
      </c>
      <c r="I7" s="6">
        <v>20240119</v>
      </c>
      <c r="J7" s="7">
        <v>45358</v>
      </c>
      <c r="K7" s="6" t="s">
        <v>336</v>
      </c>
      <c r="L7" s="6" t="s">
        <v>17</v>
      </c>
      <c r="M7" s="11">
        <v>100000</v>
      </c>
    </row>
    <row r="8" spans="1:13" x14ac:dyDescent="0.35">
      <c r="A8" s="6">
        <v>4863090001</v>
      </c>
      <c r="B8" s="6" t="s">
        <v>29</v>
      </c>
      <c r="C8" s="6" t="s">
        <v>482</v>
      </c>
      <c r="D8" s="6">
        <v>2040</v>
      </c>
      <c r="E8" s="6" t="s">
        <v>432</v>
      </c>
      <c r="F8" s="6">
        <v>486309</v>
      </c>
      <c r="G8" s="6" t="s">
        <v>217</v>
      </c>
      <c r="H8" s="6">
        <v>3</v>
      </c>
      <c r="I8" s="6">
        <v>20240115</v>
      </c>
      <c r="J8" s="106">
        <v>45350</v>
      </c>
      <c r="K8" s="6" t="s">
        <v>108</v>
      </c>
      <c r="L8" s="6" t="s">
        <v>17</v>
      </c>
      <c r="M8" s="134">
        <v>50000</v>
      </c>
    </row>
    <row r="9" spans="1:13" x14ac:dyDescent="0.35">
      <c r="A9" s="6">
        <v>3453790002</v>
      </c>
      <c r="B9" s="6" t="s">
        <v>29</v>
      </c>
      <c r="C9" s="41" t="s">
        <v>531</v>
      </c>
      <c r="D9" s="6">
        <v>2043</v>
      </c>
      <c r="E9" s="6" t="s">
        <v>432</v>
      </c>
      <c r="F9" s="6">
        <v>345379</v>
      </c>
      <c r="G9" s="6" t="s">
        <v>294</v>
      </c>
      <c r="H9" s="6">
        <v>4</v>
      </c>
      <c r="I9" s="6">
        <v>20240124</v>
      </c>
      <c r="J9" s="7">
        <v>45358</v>
      </c>
      <c r="K9" s="6" t="s">
        <v>352</v>
      </c>
      <c r="L9" s="6" t="s">
        <v>17</v>
      </c>
      <c r="M9" s="44">
        <v>8000</v>
      </c>
    </row>
    <row r="10" spans="1:13" x14ac:dyDescent="0.35">
      <c r="A10" s="6">
        <v>4684140001</v>
      </c>
      <c r="B10" s="6" t="s">
        <v>44</v>
      </c>
      <c r="C10" s="41" t="s">
        <v>482</v>
      </c>
      <c r="D10" s="6">
        <v>5016</v>
      </c>
      <c r="E10" s="6" t="s">
        <v>432</v>
      </c>
      <c r="F10" s="6">
        <v>468414</v>
      </c>
      <c r="G10" s="6" t="s">
        <v>532</v>
      </c>
      <c r="H10" s="6">
        <v>2</v>
      </c>
      <c r="I10" s="6">
        <v>20240122</v>
      </c>
      <c r="J10" s="7">
        <v>45357</v>
      </c>
      <c r="K10" s="6" t="s">
        <v>325</v>
      </c>
      <c r="L10" s="6" t="s">
        <v>17</v>
      </c>
      <c r="M10" s="11">
        <v>50000</v>
      </c>
    </row>
    <row r="11" spans="1:13" x14ac:dyDescent="0.35">
      <c r="A11" s="6">
        <v>5000320001</v>
      </c>
      <c r="B11" s="6" t="s">
        <v>18</v>
      </c>
      <c r="C11" s="41" t="s">
        <v>482</v>
      </c>
      <c r="D11" s="6">
        <v>41002</v>
      </c>
      <c r="E11" s="6" t="s">
        <v>432</v>
      </c>
      <c r="F11" s="6">
        <v>500032</v>
      </c>
      <c r="G11" s="6" t="s">
        <v>533</v>
      </c>
      <c r="H11" s="6">
        <v>9</v>
      </c>
      <c r="I11" s="6">
        <v>20240131</v>
      </c>
      <c r="J11" s="7">
        <v>45366</v>
      </c>
      <c r="K11" s="6" t="s">
        <v>213</v>
      </c>
      <c r="L11" s="6" t="s">
        <v>17</v>
      </c>
      <c r="M11" s="11">
        <v>200000</v>
      </c>
    </row>
    <row r="12" spans="1:13" x14ac:dyDescent="0.35">
      <c r="A12" s="6">
        <v>5949090002</v>
      </c>
      <c r="B12" s="6" t="s">
        <v>21</v>
      </c>
      <c r="C12" s="6" t="s">
        <v>482</v>
      </c>
      <c r="D12" s="6">
        <v>13023</v>
      </c>
      <c r="E12" s="6" t="s">
        <v>432</v>
      </c>
      <c r="F12" s="6">
        <v>594909</v>
      </c>
      <c r="G12" s="6" t="s">
        <v>480</v>
      </c>
      <c r="H12" s="6">
        <v>2</v>
      </c>
      <c r="I12" s="6">
        <v>20240102</v>
      </c>
      <c r="J12" s="106">
        <v>45335</v>
      </c>
      <c r="K12" s="6" t="s">
        <v>527</v>
      </c>
      <c r="L12" s="6" t="s">
        <v>17</v>
      </c>
      <c r="M12" s="134">
        <v>80000</v>
      </c>
    </row>
    <row r="13" spans="1:13" x14ac:dyDescent="0.35">
      <c r="A13" s="6">
        <v>2908480001</v>
      </c>
      <c r="B13" s="6" t="s">
        <v>21</v>
      </c>
      <c r="C13" s="41" t="s">
        <v>482</v>
      </c>
      <c r="D13" s="6">
        <v>13019</v>
      </c>
      <c r="E13" s="6" t="s">
        <v>432</v>
      </c>
      <c r="F13" s="6">
        <v>290848</v>
      </c>
      <c r="G13" s="6" t="s">
        <v>534</v>
      </c>
      <c r="H13" s="6">
        <v>6</v>
      </c>
      <c r="I13" s="6">
        <v>20240130</v>
      </c>
      <c r="J13" s="7">
        <v>45355</v>
      </c>
      <c r="K13" s="6" t="s">
        <v>535</v>
      </c>
      <c r="L13" s="6" t="s">
        <v>17</v>
      </c>
      <c r="M13" s="11">
        <v>3000</v>
      </c>
    </row>
    <row r="14" spans="1:13" x14ac:dyDescent="0.35">
      <c r="M14" s="110">
        <f>SUM(M4:M13)</f>
        <v>711000</v>
      </c>
    </row>
    <row r="15" spans="1:13" ht="15" thickBot="1" x14ac:dyDescent="0.4">
      <c r="M15" s="96"/>
    </row>
    <row r="16" spans="1:13" x14ac:dyDescent="0.35">
      <c r="B16" s="4" t="s">
        <v>46</v>
      </c>
    </row>
    <row r="17" spans="1:13" x14ac:dyDescent="0.35">
      <c r="A17" s="5" t="s">
        <v>0</v>
      </c>
      <c r="B17" s="5" t="s">
        <v>1</v>
      </c>
      <c r="C17" s="5" t="s">
        <v>2</v>
      </c>
      <c r="D17" s="5" t="s">
        <v>3</v>
      </c>
      <c r="E17" s="5" t="s">
        <v>4</v>
      </c>
      <c r="F17" s="5" t="s">
        <v>5</v>
      </c>
      <c r="G17" s="5" t="s">
        <v>6</v>
      </c>
      <c r="H17" s="5" t="s">
        <v>374</v>
      </c>
      <c r="I17" s="5" t="s">
        <v>7</v>
      </c>
      <c r="J17" s="107" t="s">
        <v>8</v>
      </c>
      <c r="K17" s="5" t="s">
        <v>9</v>
      </c>
      <c r="L17" s="5" t="s">
        <v>10</v>
      </c>
      <c r="M17" s="5" t="s">
        <v>11</v>
      </c>
    </row>
    <row r="18" spans="1:13" x14ac:dyDescent="0.35">
      <c r="A18" s="6">
        <v>4934790001</v>
      </c>
      <c r="B18" s="6" t="s">
        <v>29</v>
      </c>
      <c r="C18" s="41" t="s">
        <v>482</v>
      </c>
      <c r="D18" s="6">
        <v>38002</v>
      </c>
      <c r="E18" s="6" t="s">
        <v>432</v>
      </c>
      <c r="F18" s="6">
        <v>493479</v>
      </c>
      <c r="G18" s="6" t="s">
        <v>536</v>
      </c>
      <c r="H18" s="58">
        <v>1</v>
      </c>
      <c r="I18" s="6">
        <v>20240205</v>
      </c>
      <c r="J18" s="7">
        <v>45370</v>
      </c>
      <c r="K18" s="6" t="s">
        <v>54</v>
      </c>
      <c r="L18" s="6" t="s">
        <v>17</v>
      </c>
      <c r="M18" s="11">
        <v>150000</v>
      </c>
    </row>
    <row r="19" spans="1:13" x14ac:dyDescent="0.35">
      <c r="A19" s="6">
        <v>5136190002</v>
      </c>
      <c r="B19" s="6" t="s">
        <v>29</v>
      </c>
      <c r="C19" s="6" t="s">
        <v>482</v>
      </c>
      <c r="D19" s="6">
        <v>2040</v>
      </c>
      <c r="E19" s="6" t="s">
        <v>432</v>
      </c>
      <c r="F19" s="6">
        <v>513619</v>
      </c>
      <c r="G19" s="6" t="s">
        <v>523</v>
      </c>
      <c r="H19" s="6">
        <v>2</v>
      </c>
      <c r="I19" s="6">
        <v>20240219</v>
      </c>
      <c r="J19" s="106">
        <v>45411</v>
      </c>
      <c r="K19" s="6" t="s">
        <v>134</v>
      </c>
      <c r="L19" s="6" t="s">
        <v>17</v>
      </c>
      <c r="M19" s="134">
        <v>50000</v>
      </c>
    </row>
    <row r="20" spans="1:13" x14ac:dyDescent="0.35">
      <c r="A20" s="6">
        <v>2623280001</v>
      </c>
      <c r="B20" s="6" t="s">
        <v>18</v>
      </c>
      <c r="C20" s="41" t="s">
        <v>482</v>
      </c>
      <c r="D20" s="6">
        <v>41016</v>
      </c>
      <c r="E20" s="6" t="s">
        <v>432</v>
      </c>
      <c r="F20" s="6">
        <v>262328</v>
      </c>
      <c r="G20" s="6" t="s">
        <v>107</v>
      </c>
      <c r="H20" s="6">
        <v>6</v>
      </c>
      <c r="I20" s="6">
        <v>20240209</v>
      </c>
      <c r="J20" s="7">
        <v>45369</v>
      </c>
      <c r="K20" s="6" t="s">
        <v>537</v>
      </c>
      <c r="L20" s="6" t="s">
        <v>17</v>
      </c>
      <c r="M20" s="11">
        <v>100000</v>
      </c>
    </row>
    <row r="21" spans="1:13" x14ac:dyDescent="0.35">
      <c r="A21" s="6">
        <v>5262950001</v>
      </c>
      <c r="B21" s="6" t="s">
        <v>21</v>
      </c>
      <c r="C21" s="6" t="s">
        <v>482</v>
      </c>
      <c r="D21" s="6">
        <v>13008</v>
      </c>
      <c r="E21" s="6" t="s">
        <v>432</v>
      </c>
      <c r="F21" s="6">
        <v>526295</v>
      </c>
      <c r="G21" s="6" t="s">
        <v>538</v>
      </c>
      <c r="H21" s="58">
        <v>1</v>
      </c>
      <c r="I21" s="6">
        <v>20240205</v>
      </c>
      <c r="J21" s="106">
        <v>45373</v>
      </c>
      <c r="K21" s="6" t="s">
        <v>525</v>
      </c>
      <c r="L21" s="6" t="s">
        <v>17</v>
      </c>
      <c r="M21" s="134">
        <v>30000</v>
      </c>
    </row>
    <row r="22" spans="1:13" x14ac:dyDescent="0.35">
      <c r="A22" s="6">
        <v>5163790001</v>
      </c>
      <c r="B22" s="6" t="s">
        <v>21</v>
      </c>
      <c r="C22" s="6" t="s">
        <v>482</v>
      </c>
      <c r="D22" s="6">
        <v>13005</v>
      </c>
      <c r="E22" s="6" t="s">
        <v>432</v>
      </c>
      <c r="F22" s="6">
        <v>516379</v>
      </c>
      <c r="G22" s="6" t="s">
        <v>479</v>
      </c>
      <c r="H22" s="6">
        <v>2</v>
      </c>
      <c r="I22" s="6">
        <v>20240226</v>
      </c>
      <c r="J22" s="106">
        <v>45379</v>
      </c>
      <c r="K22" s="6" t="s">
        <v>539</v>
      </c>
      <c r="L22" s="6" t="s">
        <v>17</v>
      </c>
      <c r="M22" s="134">
        <v>8000</v>
      </c>
    </row>
    <row r="23" spans="1:13" x14ac:dyDescent="0.35">
      <c r="M23" s="110">
        <f>SUM(M18:M22)</f>
        <v>338000</v>
      </c>
    </row>
    <row r="24" spans="1:13" ht="15" thickBot="1" x14ac:dyDescent="0.4"/>
    <row r="25" spans="1:13" x14ac:dyDescent="0.35">
      <c r="B25" s="4" t="s">
        <v>52</v>
      </c>
    </row>
    <row r="26" spans="1:13" x14ac:dyDescent="0.35">
      <c r="A26" s="5" t="s">
        <v>0</v>
      </c>
      <c r="B26" s="5" t="s">
        <v>1</v>
      </c>
      <c r="C26" s="5" t="s">
        <v>2</v>
      </c>
      <c r="D26" s="5" t="s">
        <v>3</v>
      </c>
      <c r="E26" s="5" t="s">
        <v>4</v>
      </c>
      <c r="F26" s="5" t="s">
        <v>5</v>
      </c>
      <c r="G26" s="5" t="s">
        <v>6</v>
      </c>
      <c r="H26" s="5" t="s">
        <v>374</v>
      </c>
      <c r="I26" s="5" t="s">
        <v>7</v>
      </c>
      <c r="J26" s="107" t="s">
        <v>8</v>
      </c>
      <c r="K26" s="5" t="s">
        <v>9</v>
      </c>
      <c r="L26" s="5" t="s">
        <v>10</v>
      </c>
      <c r="M26" s="5" t="s">
        <v>11</v>
      </c>
    </row>
    <row r="27" spans="1:13" x14ac:dyDescent="0.35">
      <c r="A27" s="6">
        <v>4791960002</v>
      </c>
      <c r="B27" s="6" t="s">
        <v>29</v>
      </c>
      <c r="C27" s="6" t="s">
        <v>482</v>
      </c>
      <c r="D27" s="6">
        <v>2011</v>
      </c>
      <c r="E27" s="6" t="s">
        <v>432</v>
      </c>
      <c r="F27" s="6">
        <v>479196</v>
      </c>
      <c r="G27" s="6" t="s">
        <v>251</v>
      </c>
      <c r="H27" s="6">
        <v>5</v>
      </c>
      <c r="I27" s="6">
        <v>20240328</v>
      </c>
      <c r="J27" s="106">
        <v>45427</v>
      </c>
      <c r="K27" s="6" t="s">
        <v>540</v>
      </c>
      <c r="L27" s="6" t="s">
        <v>17</v>
      </c>
      <c r="M27" s="8">
        <v>400000</v>
      </c>
    </row>
    <row r="28" spans="1:13" x14ac:dyDescent="0.35">
      <c r="A28" s="6">
        <v>6143920001</v>
      </c>
      <c r="B28" s="6" t="s">
        <v>29</v>
      </c>
      <c r="C28" s="6" t="s">
        <v>482</v>
      </c>
      <c r="D28" s="6">
        <v>2044</v>
      </c>
      <c r="E28" s="6" t="s">
        <v>432</v>
      </c>
      <c r="F28" s="6">
        <v>614392</v>
      </c>
      <c r="G28" s="6" t="s">
        <v>541</v>
      </c>
      <c r="H28" s="58">
        <v>1</v>
      </c>
      <c r="I28" s="6">
        <v>20240318</v>
      </c>
      <c r="J28" s="106">
        <v>45413</v>
      </c>
      <c r="K28" s="6" t="s">
        <v>108</v>
      </c>
      <c r="L28" s="6" t="s">
        <v>17</v>
      </c>
      <c r="M28" s="8">
        <v>200000</v>
      </c>
    </row>
    <row r="29" spans="1:13" x14ac:dyDescent="0.35">
      <c r="A29" s="6">
        <v>5294600003</v>
      </c>
      <c r="B29" s="6" t="s">
        <v>29</v>
      </c>
      <c r="C29" s="6" t="s">
        <v>482</v>
      </c>
      <c r="D29" s="6">
        <v>2044</v>
      </c>
      <c r="E29" s="6" t="s">
        <v>432</v>
      </c>
      <c r="F29" s="6">
        <v>529460</v>
      </c>
      <c r="G29" s="6" t="s">
        <v>356</v>
      </c>
      <c r="H29" s="6">
        <v>6</v>
      </c>
      <c r="I29" s="6">
        <v>20240322</v>
      </c>
      <c r="J29" s="106">
        <v>45434</v>
      </c>
      <c r="K29" s="6" t="s">
        <v>542</v>
      </c>
      <c r="L29" s="6" t="s">
        <v>17</v>
      </c>
      <c r="M29" s="8">
        <v>500000</v>
      </c>
    </row>
    <row r="30" spans="1:13" x14ac:dyDescent="0.35">
      <c r="A30" s="6">
        <v>5071930002</v>
      </c>
      <c r="B30" s="6" t="s">
        <v>29</v>
      </c>
      <c r="C30" s="6" t="s">
        <v>482</v>
      </c>
      <c r="D30" s="6">
        <v>2037</v>
      </c>
      <c r="E30" s="6" t="s">
        <v>432</v>
      </c>
      <c r="F30" s="6">
        <v>507193</v>
      </c>
      <c r="G30" s="6" t="s">
        <v>543</v>
      </c>
      <c r="H30" s="58">
        <v>1</v>
      </c>
      <c r="I30" s="6">
        <v>20240327</v>
      </c>
      <c r="J30" s="106">
        <v>45397</v>
      </c>
      <c r="K30" s="6" t="s">
        <v>403</v>
      </c>
      <c r="L30" s="6" t="s">
        <v>17</v>
      </c>
      <c r="M30" s="8">
        <v>50000</v>
      </c>
    </row>
    <row r="31" spans="1:13" x14ac:dyDescent="0.35">
      <c r="A31" s="6">
        <v>5523200001</v>
      </c>
      <c r="B31" s="6" t="s">
        <v>29</v>
      </c>
      <c r="C31" s="6" t="s">
        <v>482</v>
      </c>
      <c r="D31" s="6">
        <v>2037</v>
      </c>
      <c r="E31" s="6" t="s">
        <v>432</v>
      </c>
      <c r="F31" s="6">
        <v>552320</v>
      </c>
      <c r="G31" s="6" t="s">
        <v>438</v>
      </c>
      <c r="H31" s="6">
        <v>2</v>
      </c>
      <c r="I31" s="6">
        <v>20240304</v>
      </c>
      <c r="J31" s="106">
        <v>45400</v>
      </c>
      <c r="K31" s="6" t="s">
        <v>108</v>
      </c>
      <c r="L31" s="6" t="s">
        <v>17</v>
      </c>
      <c r="M31" s="8">
        <v>40000</v>
      </c>
    </row>
    <row r="32" spans="1:13" x14ac:dyDescent="0.35">
      <c r="A32" s="6">
        <v>6243820001</v>
      </c>
      <c r="B32" s="6" t="s">
        <v>29</v>
      </c>
      <c r="C32" s="6" t="s">
        <v>482</v>
      </c>
      <c r="D32" s="6">
        <v>2037</v>
      </c>
      <c r="E32" s="6" t="s">
        <v>432</v>
      </c>
      <c r="F32" s="6">
        <v>624382</v>
      </c>
      <c r="G32" s="6" t="s">
        <v>544</v>
      </c>
      <c r="H32" s="58">
        <v>1</v>
      </c>
      <c r="I32" s="6">
        <v>20240327</v>
      </c>
      <c r="J32" s="106">
        <v>45383</v>
      </c>
      <c r="K32" s="6" t="s">
        <v>387</v>
      </c>
      <c r="L32" s="6" t="s">
        <v>17</v>
      </c>
      <c r="M32" s="8">
        <v>100000</v>
      </c>
    </row>
    <row r="33" spans="1:13" x14ac:dyDescent="0.35">
      <c r="A33" s="6">
        <v>5071440001</v>
      </c>
      <c r="B33" s="6" t="s">
        <v>109</v>
      </c>
      <c r="C33" s="6" t="s">
        <v>487</v>
      </c>
      <c r="D33" s="6">
        <v>40002</v>
      </c>
      <c r="E33" s="6" t="s">
        <v>432</v>
      </c>
      <c r="F33" s="6">
        <v>507144</v>
      </c>
      <c r="G33" s="6" t="s">
        <v>267</v>
      </c>
      <c r="H33" s="6">
        <v>4</v>
      </c>
      <c r="I33" s="6">
        <v>20240321</v>
      </c>
      <c r="J33" s="106">
        <v>45415</v>
      </c>
      <c r="K33" s="6" t="s">
        <v>545</v>
      </c>
      <c r="L33" s="6" t="s">
        <v>17</v>
      </c>
      <c r="M33" s="8">
        <v>100000</v>
      </c>
    </row>
    <row r="34" spans="1:13" x14ac:dyDescent="0.35">
      <c r="A34" s="6">
        <v>5450300001</v>
      </c>
      <c r="B34" s="6" t="s">
        <v>109</v>
      </c>
      <c r="C34" s="6" t="s">
        <v>482</v>
      </c>
      <c r="D34" s="6">
        <v>40014</v>
      </c>
      <c r="E34" s="6" t="s">
        <v>432</v>
      </c>
      <c r="F34" s="6">
        <v>545030</v>
      </c>
      <c r="G34" s="6" t="s">
        <v>546</v>
      </c>
      <c r="H34" s="6">
        <v>3</v>
      </c>
      <c r="I34" s="6">
        <v>20240307</v>
      </c>
      <c r="J34" s="106">
        <v>45433</v>
      </c>
      <c r="K34" s="6" t="s">
        <v>547</v>
      </c>
      <c r="L34" s="6" t="s">
        <v>17</v>
      </c>
      <c r="M34" s="8">
        <v>200000</v>
      </c>
    </row>
    <row r="35" spans="1:13" x14ac:dyDescent="0.35">
      <c r="A35" s="6">
        <v>3156030001</v>
      </c>
      <c r="B35" s="6" t="s">
        <v>486</v>
      </c>
      <c r="C35" s="6" t="s">
        <v>482</v>
      </c>
      <c r="D35" s="6">
        <v>38010</v>
      </c>
      <c r="E35" s="6" t="s">
        <v>432</v>
      </c>
      <c r="F35" s="6">
        <v>315603</v>
      </c>
      <c r="G35" s="6" t="s">
        <v>548</v>
      </c>
      <c r="H35" s="58">
        <v>1</v>
      </c>
      <c r="I35" s="6">
        <v>20240327</v>
      </c>
      <c r="J35" s="106">
        <v>45422</v>
      </c>
      <c r="K35" s="6" t="s">
        <v>28</v>
      </c>
      <c r="L35" s="6" t="s">
        <v>17</v>
      </c>
      <c r="M35" s="8">
        <v>50000</v>
      </c>
    </row>
    <row r="36" spans="1:13" x14ac:dyDescent="0.35">
      <c r="A36" s="6">
        <v>6147810002</v>
      </c>
      <c r="B36" s="6" t="s">
        <v>486</v>
      </c>
      <c r="C36" s="6" t="s">
        <v>482</v>
      </c>
      <c r="D36" s="6">
        <v>26021</v>
      </c>
      <c r="E36" s="6" t="s">
        <v>432</v>
      </c>
      <c r="F36" s="6">
        <v>614781</v>
      </c>
      <c r="G36" s="6" t="s">
        <v>519</v>
      </c>
      <c r="H36" s="6">
        <v>2</v>
      </c>
      <c r="I36" s="6">
        <v>20240304</v>
      </c>
      <c r="J36" s="106">
        <v>45400</v>
      </c>
      <c r="K36" s="6" t="s">
        <v>549</v>
      </c>
      <c r="L36" s="6" t="s">
        <v>17</v>
      </c>
      <c r="M36" s="8">
        <v>30000</v>
      </c>
    </row>
    <row r="37" spans="1:13" x14ac:dyDescent="0.35">
      <c r="A37" s="6">
        <v>5200430002</v>
      </c>
      <c r="B37" s="6" t="s">
        <v>148</v>
      </c>
      <c r="C37" s="6" t="s">
        <v>482</v>
      </c>
      <c r="D37" s="6">
        <v>35011</v>
      </c>
      <c r="E37" s="6" t="s">
        <v>432</v>
      </c>
      <c r="F37" s="6">
        <v>520043</v>
      </c>
      <c r="G37" s="6" t="s">
        <v>161</v>
      </c>
      <c r="H37" s="6">
        <v>7</v>
      </c>
      <c r="I37" s="6">
        <v>20240328</v>
      </c>
      <c r="J37" s="106">
        <v>45446</v>
      </c>
      <c r="K37" s="6" t="s">
        <v>104</v>
      </c>
      <c r="L37" s="6" t="s">
        <v>17</v>
      </c>
      <c r="M37" s="8">
        <v>150000</v>
      </c>
    </row>
    <row r="38" spans="1:13" x14ac:dyDescent="0.35">
      <c r="A38" s="6">
        <v>1933500001</v>
      </c>
      <c r="B38" s="6" t="s">
        <v>12</v>
      </c>
      <c r="C38" s="6" t="s">
        <v>482</v>
      </c>
      <c r="D38" s="6">
        <v>8018</v>
      </c>
      <c r="E38" s="6" t="s">
        <v>432</v>
      </c>
      <c r="F38" s="6">
        <v>193350</v>
      </c>
      <c r="G38" s="6" t="s">
        <v>214</v>
      </c>
      <c r="H38" s="6">
        <v>6</v>
      </c>
      <c r="I38" s="6">
        <v>20240328</v>
      </c>
      <c r="J38" s="106">
        <v>45440</v>
      </c>
      <c r="K38" s="6" t="s">
        <v>72</v>
      </c>
      <c r="L38" s="6" t="s">
        <v>17</v>
      </c>
      <c r="M38" s="8">
        <v>50000</v>
      </c>
    </row>
    <row r="39" spans="1:13" x14ac:dyDescent="0.35">
      <c r="A39" s="6">
        <v>5120080002</v>
      </c>
      <c r="B39" s="6" t="s">
        <v>21</v>
      </c>
      <c r="C39" s="6" t="s">
        <v>482</v>
      </c>
      <c r="D39" s="6">
        <v>13014</v>
      </c>
      <c r="E39" s="6" t="s">
        <v>432</v>
      </c>
      <c r="F39" s="6">
        <v>512008</v>
      </c>
      <c r="G39" s="6" t="s">
        <v>478</v>
      </c>
      <c r="H39" s="6">
        <v>2</v>
      </c>
      <c r="I39" s="6">
        <v>20240305</v>
      </c>
      <c r="J39" s="106">
        <v>45497</v>
      </c>
      <c r="K39" s="6" t="s">
        <v>550</v>
      </c>
      <c r="L39" s="6" t="s">
        <v>17</v>
      </c>
      <c r="M39" s="8">
        <v>110000</v>
      </c>
    </row>
    <row r="40" spans="1:13" x14ac:dyDescent="0.35">
      <c r="M40" s="39">
        <f>SUM(M27:M39)</f>
        <v>1980000</v>
      </c>
    </row>
    <row r="41" spans="1:13" ht="15" thickBot="1" x14ac:dyDescent="0.4"/>
    <row r="42" spans="1:13" x14ac:dyDescent="0.35">
      <c r="B42" s="4" t="s">
        <v>64</v>
      </c>
    </row>
    <row r="43" spans="1:13" x14ac:dyDescent="0.35">
      <c r="A43" s="5" t="s">
        <v>0</v>
      </c>
      <c r="B43" s="5" t="s">
        <v>1</v>
      </c>
      <c r="C43" s="5" t="s">
        <v>2</v>
      </c>
      <c r="D43" s="5" t="s">
        <v>3</v>
      </c>
      <c r="E43" s="5" t="s">
        <v>4</v>
      </c>
      <c r="F43" s="5" t="s">
        <v>5</v>
      </c>
      <c r="G43" s="5" t="s">
        <v>6</v>
      </c>
      <c r="H43" s="5" t="s">
        <v>374</v>
      </c>
      <c r="I43" s="5" t="s">
        <v>7</v>
      </c>
      <c r="J43" s="107" t="s">
        <v>8</v>
      </c>
      <c r="K43" s="5" t="s">
        <v>9</v>
      </c>
      <c r="L43" s="5" t="s">
        <v>10</v>
      </c>
      <c r="M43" s="5" t="s">
        <v>11</v>
      </c>
    </row>
    <row r="44" spans="1:13" x14ac:dyDescent="0.35">
      <c r="A44" s="6">
        <v>5415000002</v>
      </c>
      <c r="B44" s="6" t="s">
        <v>29</v>
      </c>
      <c r="C44" s="6" t="s">
        <v>482</v>
      </c>
      <c r="D44" s="6">
        <v>2028</v>
      </c>
      <c r="E44" s="6" t="s">
        <v>432</v>
      </c>
      <c r="F44" s="6">
        <v>541500</v>
      </c>
      <c r="G44" s="6" t="s">
        <v>385</v>
      </c>
      <c r="H44" s="6">
        <v>3</v>
      </c>
      <c r="I44" s="6">
        <v>20240424</v>
      </c>
      <c r="J44" s="106">
        <v>45467</v>
      </c>
      <c r="K44" s="6" t="s">
        <v>551</v>
      </c>
      <c r="L44" s="6" t="s">
        <v>17</v>
      </c>
      <c r="M44" s="8">
        <v>300000</v>
      </c>
    </row>
    <row r="45" spans="1:13" x14ac:dyDescent="0.35">
      <c r="A45" s="6">
        <v>6188500001</v>
      </c>
      <c r="B45" s="6" t="s">
        <v>29</v>
      </c>
      <c r="C45" s="6" t="s">
        <v>482</v>
      </c>
      <c r="D45" s="6">
        <v>2043</v>
      </c>
      <c r="E45" s="6" t="s">
        <v>432</v>
      </c>
      <c r="F45" s="6">
        <v>618850</v>
      </c>
      <c r="G45" s="6" t="s">
        <v>552</v>
      </c>
      <c r="H45" s="58">
        <v>1</v>
      </c>
      <c r="I45" s="6">
        <v>20240415</v>
      </c>
      <c r="J45" s="106">
        <v>45446</v>
      </c>
      <c r="K45" s="6" t="s">
        <v>525</v>
      </c>
      <c r="L45" s="6" t="s">
        <v>17</v>
      </c>
      <c r="M45" s="8">
        <v>100000</v>
      </c>
    </row>
    <row r="46" spans="1:13" x14ac:dyDescent="0.35">
      <c r="A46" s="6">
        <v>5023130004</v>
      </c>
      <c r="B46" s="6" t="s">
        <v>29</v>
      </c>
      <c r="C46" s="6" t="s">
        <v>482</v>
      </c>
      <c r="D46" s="6">
        <v>38002</v>
      </c>
      <c r="E46" s="6" t="s">
        <v>432</v>
      </c>
      <c r="F46" s="6">
        <v>502313</v>
      </c>
      <c r="G46" s="6" t="s">
        <v>517</v>
      </c>
      <c r="H46" s="6">
        <v>2</v>
      </c>
      <c r="I46" s="6">
        <v>20240419</v>
      </c>
      <c r="J46" s="106">
        <v>45446</v>
      </c>
      <c r="K46" s="6" t="s">
        <v>108</v>
      </c>
      <c r="L46" s="6" t="s">
        <v>17</v>
      </c>
      <c r="M46" s="8">
        <v>400000</v>
      </c>
    </row>
    <row r="47" spans="1:13" x14ac:dyDescent="0.35">
      <c r="A47" s="6">
        <v>6332530001</v>
      </c>
      <c r="B47" s="6" t="s">
        <v>109</v>
      </c>
      <c r="C47" s="6" t="s">
        <v>482</v>
      </c>
      <c r="D47" s="6">
        <v>40002</v>
      </c>
      <c r="E47" s="6" t="s">
        <v>432</v>
      </c>
      <c r="F47" s="6">
        <v>633253</v>
      </c>
      <c r="G47" s="6" t="s">
        <v>553</v>
      </c>
      <c r="H47" s="58">
        <v>1</v>
      </c>
      <c r="I47" s="6">
        <v>20240422</v>
      </c>
      <c r="J47" s="106">
        <v>45449</v>
      </c>
      <c r="K47" s="6" t="s">
        <v>387</v>
      </c>
      <c r="L47" s="6" t="s">
        <v>17</v>
      </c>
      <c r="M47" s="8">
        <v>75000</v>
      </c>
    </row>
    <row r="48" spans="1:13" x14ac:dyDescent="0.35">
      <c r="A48" s="6">
        <v>5951270002</v>
      </c>
      <c r="B48" s="6" t="s">
        <v>486</v>
      </c>
      <c r="C48" s="6" t="s">
        <v>482</v>
      </c>
      <c r="D48" s="6">
        <v>26030</v>
      </c>
      <c r="E48" s="6" t="s">
        <v>432</v>
      </c>
      <c r="F48" s="6">
        <v>595127</v>
      </c>
      <c r="G48" s="6" t="s">
        <v>489</v>
      </c>
      <c r="H48" s="6">
        <v>2</v>
      </c>
      <c r="I48" s="6">
        <v>20240422</v>
      </c>
      <c r="J48" s="106">
        <v>45448</v>
      </c>
      <c r="K48" s="6" t="s">
        <v>252</v>
      </c>
      <c r="L48" s="6" t="s">
        <v>17</v>
      </c>
      <c r="M48" s="8">
        <v>50000</v>
      </c>
    </row>
    <row r="49" spans="1:13" x14ac:dyDescent="0.35">
      <c r="A49" s="6">
        <v>3342180001</v>
      </c>
      <c r="B49" s="6" t="s">
        <v>486</v>
      </c>
      <c r="C49" s="6" t="s">
        <v>482</v>
      </c>
      <c r="D49" s="6">
        <v>26021</v>
      </c>
      <c r="E49" s="6" t="s">
        <v>432</v>
      </c>
      <c r="F49" s="6">
        <v>334218</v>
      </c>
      <c r="G49" s="6" t="s">
        <v>554</v>
      </c>
      <c r="H49" s="58">
        <v>1</v>
      </c>
      <c r="I49" s="6">
        <v>20240419</v>
      </c>
      <c r="J49" s="106">
        <v>45446</v>
      </c>
      <c r="K49" s="6" t="s">
        <v>555</v>
      </c>
      <c r="L49" s="6" t="s">
        <v>17</v>
      </c>
      <c r="M49" s="8">
        <v>10000</v>
      </c>
    </row>
    <row r="50" spans="1:13" x14ac:dyDescent="0.35">
      <c r="A50" s="6">
        <v>5491750001</v>
      </c>
      <c r="B50" s="6" t="s">
        <v>486</v>
      </c>
      <c r="C50" s="6" t="s">
        <v>482</v>
      </c>
      <c r="D50" s="6">
        <v>26025</v>
      </c>
      <c r="E50" s="6" t="s">
        <v>432</v>
      </c>
      <c r="F50" s="6">
        <v>549175</v>
      </c>
      <c r="G50" s="6" t="s">
        <v>556</v>
      </c>
      <c r="H50" s="58">
        <v>1</v>
      </c>
      <c r="I50" s="6">
        <v>20240429</v>
      </c>
      <c r="J50" s="106">
        <v>45474</v>
      </c>
      <c r="K50" s="6" t="s">
        <v>508</v>
      </c>
      <c r="L50" s="6" t="s">
        <v>17</v>
      </c>
      <c r="M50" s="8">
        <v>100000</v>
      </c>
    </row>
    <row r="51" spans="1:13" x14ac:dyDescent="0.35">
      <c r="A51" s="6">
        <v>5016210002</v>
      </c>
      <c r="B51" s="6" t="s">
        <v>18</v>
      </c>
      <c r="C51" s="6" t="s">
        <v>482</v>
      </c>
      <c r="D51" s="6">
        <v>41022</v>
      </c>
      <c r="E51" s="6" t="s">
        <v>432</v>
      </c>
      <c r="F51" s="6">
        <v>501621</v>
      </c>
      <c r="G51" s="6" t="s">
        <v>409</v>
      </c>
      <c r="H51" s="6">
        <v>3</v>
      </c>
      <c r="I51" s="6">
        <v>20240426</v>
      </c>
      <c r="J51" s="106">
        <v>45453</v>
      </c>
      <c r="K51" s="6" t="s">
        <v>28</v>
      </c>
      <c r="L51" s="6" t="s">
        <v>17</v>
      </c>
      <c r="M51" s="8">
        <v>60000</v>
      </c>
    </row>
    <row r="52" spans="1:13" x14ac:dyDescent="0.35">
      <c r="M52" s="39">
        <f>SUM(M44:M51)</f>
        <v>1095000</v>
      </c>
    </row>
    <row r="53" spans="1:13" ht="15" thickBot="1" x14ac:dyDescent="0.4"/>
    <row r="54" spans="1:13" x14ac:dyDescent="0.35">
      <c r="B54" s="4" t="s">
        <v>66</v>
      </c>
    </row>
    <row r="55" spans="1:13" s="3" customFormat="1" x14ac:dyDescent="0.35">
      <c r="A55" s="5" t="s">
        <v>0</v>
      </c>
      <c r="B55" s="5" t="s">
        <v>1</v>
      </c>
      <c r="C55" s="5" t="s">
        <v>2</v>
      </c>
      <c r="D55" s="5" t="s">
        <v>3</v>
      </c>
      <c r="E55" s="5" t="s">
        <v>4</v>
      </c>
      <c r="F55" s="5" t="s">
        <v>5</v>
      </c>
      <c r="G55" s="5" t="s">
        <v>6</v>
      </c>
      <c r="H55" s="5" t="s">
        <v>374</v>
      </c>
      <c r="I55" s="5" t="s">
        <v>7</v>
      </c>
      <c r="J55" s="107" t="s">
        <v>8</v>
      </c>
      <c r="K55" s="5" t="s">
        <v>9</v>
      </c>
      <c r="L55" s="5" t="s">
        <v>10</v>
      </c>
      <c r="M55" s="5" t="s">
        <v>11</v>
      </c>
    </row>
    <row r="56" spans="1:13" x14ac:dyDescent="0.35">
      <c r="A56" s="6">
        <v>5224090001</v>
      </c>
      <c r="B56" s="6" t="s">
        <v>58</v>
      </c>
      <c r="C56" s="6" t="s">
        <v>482</v>
      </c>
      <c r="D56" s="6">
        <v>30012</v>
      </c>
      <c r="E56" s="6" t="s">
        <v>432</v>
      </c>
      <c r="F56" s="6">
        <v>522409</v>
      </c>
      <c r="G56" s="6" t="s">
        <v>557</v>
      </c>
      <c r="H56" s="58">
        <v>1</v>
      </c>
      <c r="I56" s="6">
        <v>20240520</v>
      </c>
      <c r="J56" s="106">
        <v>45488</v>
      </c>
      <c r="K56" s="6" t="s">
        <v>430</v>
      </c>
      <c r="L56" s="6" t="s">
        <v>17</v>
      </c>
      <c r="M56" s="8">
        <v>300000</v>
      </c>
    </row>
    <row r="57" spans="1:13" x14ac:dyDescent="0.35">
      <c r="A57" s="6">
        <v>1614010001</v>
      </c>
      <c r="B57" s="6" t="s">
        <v>29</v>
      </c>
      <c r="C57" s="6" t="s">
        <v>482</v>
      </c>
      <c r="D57" s="6">
        <v>2010</v>
      </c>
      <c r="E57" s="6" t="s">
        <v>432</v>
      </c>
      <c r="F57" s="6">
        <v>161401</v>
      </c>
      <c r="G57" s="6" t="s">
        <v>138</v>
      </c>
      <c r="H57" s="6">
        <v>4</v>
      </c>
      <c r="I57" s="6">
        <v>20240507</v>
      </c>
      <c r="J57" s="106">
        <v>45464</v>
      </c>
      <c r="K57" s="6" t="s">
        <v>28</v>
      </c>
      <c r="L57" s="6" t="s">
        <v>17</v>
      </c>
      <c r="M57" s="8">
        <v>40000</v>
      </c>
    </row>
    <row r="58" spans="1:13" x14ac:dyDescent="0.35">
      <c r="A58" s="6">
        <v>6092220002</v>
      </c>
      <c r="B58" s="6" t="s">
        <v>29</v>
      </c>
      <c r="C58" s="6" t="s">
        <v>482</v>
      </c>
      <c r="D58" s="6">
        <v>2029</v>
      </c>
      <c r="E58" s="6" t="s">
        <v>432</v>
      </c>
      <c r="F58" s="6">
        <v>609222</v>
      </c>
      <c r="G58" s="6" t="s">
        <v>516</v>
      </c>
      <c r="H58" s="6">
        <v>2</v>
      </c>
      <c r="I58" s="6">
        <v>20240501</v>
      </c>
      <c r="J58" s="106">
        <v>45457</v>
      </c>
      <c r="K58" s="6" t="s">
        <v>65</v>
      </c>
      <c r="L58" s="6" t="s">
        <v>17</v>
      </c>
      <c r="M58" s="8">
        <v>15000</v>
      </c>
    </row>
    <row r="59" spans="1:13" x14ac:dyDescent="0.35">
      <c r="A59" s="6">
        <v>4856900002</v>
      </c>
      <c r="B59" s="6" t="s">
        <v>29</v>
      </c>
      <c r="C59" s="6" t="s">
        <v>482</v>
      </c>
      <c r="D59" s="6">
        <v>2029</v>
      </c>
      <c r="E59" s="6" t="s">
        <v>432</v>
      </c>
      <c r="F59" s="6">
        <v>485690</v>
      </c>
      <c r="G59" s="6" t="s">
        <v>238</v>
      </c>
      <c r="H59" s="6">
        <v>2</v>
      </c>
      <c r="I59" s="6">
        <v>20240502</v>
      </c>
      <c r="J59" s="106">
        <v>45460</v>
      </c>
      <c r="K59" s="6" t="s">
        <v>352</v>
      </c>
      <c r="L59" s="6" t="s">
        <v>17</v>
      </c>
      <c r="M59" s="8">
        <v>100000</v>
      </c>
    </row>
    <row r="60" spans="1:13" x14ac:dyDescent="0.35">
      <c r="A60" s="6">
        <v>4274600001</v>
      </c>
      <c r="B60" s="6" t="s">
        <v>486</v>
      </c>
      <c r="C60" s="6" t="s">
        <v>482</v>
      </c>
      <c r="D60" s="6">
        <v>26014</v>
      </c>
      <c r="E60" s="6" t="s">
        <v>432</v>
      </c>
      <c r="F60" s="6">
        <v>427460</v>
      </c>
      <c r="G60" s="6" t="s">
        <v>558</v>
      </c>
      <c r="H60" s="58">
        <v>1</v>
      </c>
      <c r="I60" s="6">
        <v>20240517</v>
      </c>
      <c r="J60" s="106">
        <v>45474</v>
      </c>
      <c r="K60" s="6" t="s">
        <v>400</v>
      </c>
      <c r="L60" s="6" t="s">
        <v>17</v>
      </c>
      <c r="M60" s="8">
        <v>250000</v>
      </c>
    </row>
    <row r="61" spans="1:13" x14ac:dyDescent="0.35">
      <c r="A61" s="6">
        <v>2761280001</v>
      </c>
      <c r="B61" s="6" t="s">
        <v>18</v>
      </c>
      <c r="C61" s="6" t="s">
        <v>482</v>
      </c>
      <c r="D61" s="6">
        <v>41016</v>
      </c>
      <c r="E61" s="6" t="s">
        <v>432</v>
      </c>
      <c r="F61" s="6">
        <v>276128</v>
      </c>
      <c r="G61" s="6" t="s">
        <v>88</v>
      </c>
      <c r="H61" s="6">
        <v>5</v>
      </c>
      <c r="I61" s="6">
        <v>20240523</v>
      </c>
      <c r="J61" s="106">
        <v>45477</v>
      </c>
      <c r="K61" s="6" t="s">
        <v>445</v>
      </c>
      <c r="L61" s="6" t="s">
        <v>17</v>
      </c>
      <c r="M61" s="8">
        <v>50000</v>
      </c>
    </row>
    <row r="62" spans="1:13" x14ac:dyDescent="0.35">
      <c r="A62" s="6">
        <v>6371420001</v>
      </c>
      <c r="B62" s="6" t="s">
        <v>21</v>
      </c>
      <c r="C62" s="6" t="s">
        <v>482</v>
      </c>
      <c r="D62" s="6">
        <v>13009</v>
      </c>
      <c r="E62" s="6" t="s">
        <v>432</v>
      </c>
      <c r="F62" s="6">
        <v>637142</v>
      </c>
      <c r="G62" s="6" t="s">
        <v>559</v>
      </c>
      <c r="H62" s="58">
        <v>1</v>
      </c>
      <c r="I62" s="6">
        <v>20240524</v>
      </c>
      <c r="J62" s="106">
        <v>45478</v>
      </c>
      <c r="K62" s="6" t="s">
        <v>20</v>
      </c>
      <c r="L62" s="6" t="s">
        <v>17</v>
      </c>
      <c r="M62" s="8">
        <v>70000</v>
      </c>
    </row>
    <row r="63" spans="1:13" x14ac:dyDescent="0.35">
      <c r="M63" s="39">
        <f>SUM(M56:M62)</f>
        <v>825000</v>
      </c>
    </row>
    <row r="64" spans="1:13" ht="15" thickBot="1" x14ac:dyDescent="0.4"/>
    <row r="65" spans="1:20" x14ac:dyDescent="0.35">
      <c r="B65" s="4" t="s">
        <v>79</v>
      </c>
    </row>
    <row r="66" spans="1:20" s="3" customFormat="1" x14ac:dyDescent="0.35">
      <c r="A66" s="5" t="s">
        <v>0</v>
      </c>
      <c r="B66" s="5" t="s">
        <v>1</v>
      </c>
      <c r="C66" s="5" t="s">
        <v>2</v>
      </c>
      <c r="D66" s="5" t="s">
        <v>3</v>
      </c>
      <c r="E66" s="5" t="s">
        <v>4</v>
      </c>
      <c r="F66" s="5" t="s">
        <v>5</v>
      </c>
      <c r="G66" s="5" t="s">
        <v>6</v>
      </c>
      <c r="H66" s="5" t="s">
        <v>374</v>
      </c>
      <c r="I66" s="5" t="s">
        <v>7</v>
      </c>
      <c r="J66" s="107" t="s">
        <v>8</v>
      </c>
      <c r="K66" s="5" t="s">
        <v>9</v>
      </c>
      <c r="L66" s="5" t="s">
        <v>10</v>
      </c>
      <c r="M66" s="5" t="s">
        <v>11</v>
      </c>
    </row>
    <row r="67" spans="1:20" x14ac:dyDescent="0.35">
      <c r="A67" s="6">
        <v>4116680001</v>
      </c>
      <c r="B67" s="6" t="s">
        <v>58</v>
      </c>
      <c r="C67" s="6" t="s">
        <v>482</v>
      </c>
      <c r="D67" s="6">
        <v>30016</v>
      </c>
      <c r="E67" s="6" t="s">
        <v>432</v>
      </c>
      <c r="F67" s="6">
        <v>411668</v>
      </c>
      <c r="G67" s="6" t="s">
        <v>433</v>
      </c>
      <c r="H67" s="6">
        <v>2</v>
      </c>
      <c r="I67" s="6">
        <v>20240614</v>
      </c>
      <c r="J67" s="106">
        <v>45548</v>
      </c>
      <c r="K67" s="6" t="s">
        <v>466</v>
      </c>
      <c r="L67" s="6" t="s">
        <v>17</v>
      </c>
      <c r="M67" s="8">
        <v>200000</v>
      </c>
    </row>
    <row r="68" spans="1:20" x14ac:dyDescent="0.35">
      <c r="A68" s="6">
        <v>1434070001</v>
      </c>
      <c r="B68" s="6" t="s">
        <v>58</v>
      </c>
      <c r="C68" s="6" t="s">
        <v>482</v>
      </c>
      <c r="D68" s="6">
        <v>30016</v>
      </c>
      <c r="E68" s="6" t="s">
        <v>432</v>
      </c>
      <c r="F68" s="6">
        <v>143407</v>
      </c>
      <c r="G68" s="6" t="s">
        <v>135</v>
      </c>
      <c r="H68" s="6">
        <v>7</v>
      </c>
      <c r="I68" s="6">
        <v>20240610</v>
      </c>
      <c r="J68" s="106">
        <v>45545</v>
      </c>
      <c r="K68" s="6" t="s">
        <v>218</v>
      </c>
      <c r="L68" s="6" t="s">
        <v>17</v>
      </c>
      <c r="M68" s="8">
        <v>30000</v>
      </c>
    </row>
    <row r="69" spans="1:20" x14ac:dyDescent="0.35">
      <c r="A69" s="6">
        <v>143440002</v>
      </c>
      <c r="B69" s="6" t="s">
        <v>29</v>
      </c>
      <c r="C69" s="6" t="s">
        <v>482</v>
      </c>
      <c r="D69" s="6">
        <v>26039</v>
      </c>
      <c r="E69" s="6" t="s">
        <v>432</v>
      </c>
      <c r="F69" s="6">
        <v>14344</v>
      </c>
      <c r="G69" s="6" t="s">
        <v>228</v>
      </c>
      <c r="H69" s="6">
        <v>15</v>
      </c>
      <c r="I69" s="6">
        <v>20240606</v>
      </c>
      <c r="J69" s="106">
        <v>45512</v>
      </c>
      <c r="K69" s="6" t="s">
        <v>484</v>
      </c>
      <c r="L69" s="6" t="s">
        <v>17</v>
      </c>
      <c r="M69" s="8">
        <v>100000</v>
      </c>
    </row>
    <row r="70" spans="1:20" x14ac:dyDescent="0.35">
      <c r="A70" s="6">
        <v>5412810002</v>
      </c>
      <c r="B70" s="6" t="s">
        <v>29</v>
      </c>
      <c r="C70" s="6" t="s">
        <v>482</v>
      </c>
      <c r="D70" s="6">
        <v>38003</v>
      </c>
      <c r="E70" s="6" t="s">
        <v>432</v>
      </c>
      <c r="F70" s="6">
        <v>541281</v>
      </c>
      <c r="G70" s="6" t="s">
        <v>560</v>
      </c>
      <c r="H70" s="58">
        <v>1</v>
      </c>
      <c r="I70" s="6">
        <v>20240621</v>
      </c>
      <c r="J70" s="106">
        <v>45509</v>
      </c>
      <c r="K70" s="6" t="s">
        <v>28</v>
      </c>
      <c r="L70" s="6" t="s">
        <v>17</v>
      </c>
      <c r="M70" s="8">
        <v>40000</v>
      </c>
    </row>
    <row r="71" spans="1:20" x14ac:dyDescent="0.35">
      <c r="A71" s="6">
        <v>5071930003</v>
      </c>
      <c r="B71" s="6" t="s">
        <v>29</v>
      </c>
      <c r="C71" s="6" t="s">
        <v>482</v>
      </c>
      <c r="D71" s="6">
        <v>2037</v>
      </c>
      <c r="E71" s="6" t="s">
        <v>432</v>
      </c>
      <c r="F71" s="6">
        <v>507193</v>
      </c>
      <c r="G71" s="6" t="s">
        <v>543</v>
      </c>
      <c r="H71" s="6">
        <v>2</v>
      </c>
      <c r="I71" s="6">
        <v>20240624</v>
      </c>
      <c r="J71" s="106">
        <v>45513</v>
      </c>
      <c r="K71" s="6" t="s">
        <v>54</v>
      </c>
      <c r="L71" s="6" t="s">
        <v>17</v>
      </c>
      <c r="M71" s="8">
        <v>100000</v>
      </c>
    </row>
    <row r="72" spans="1:20" x14ac:dyDescent="0.35">
      <c r="A72" s="6">
        <v>5476050003</v>
      </c>
      <c r="B72" s="6" t="s">
        <v>486</v>
      </c>
      <c r="C72" s="6" t="s">
        <v>482</v>
      </c>
      <c r="D72" s="6">
        <v>26001</v>
      </c>
      <c r="E72" s="6" t="s">
        <v>432</v>
      </c>
      <c r="F72" s="6">
        <v>547605</v>
      </c>
      <c r="G72" s="6" t="s">
        <v>490</v>
      </c>
      <c r="H72" s="6">
        <v>3</v>
      </c>
      <c r="I72" s="6">
        <v>20240604</v>
      </c>
      <c r="J72" s="106">
        <v>45569</v>
      </c>
      <c r="K72" s="6" t="s">
        <v>418</v>
      </c>
      <c r="L72" s="6" t="s">
        <v>17</v>
      </c>
      <c r="M72" s="8">
        <v>400000</v>
      </c>
    </row>
    <row r="73" spans="1:20" x14ac:dyDescent="0.35">
      <c r="A73" s="6">
        <v>5048180002</v>
      </c>
      <c r="B73" s="6" t="s">
        <v>21</v>
      </c>
      <c r="C73" s="6" t="s">
        <v>482</v>
      </c>
      <c r="D73" s="6">
        <v>13014</v>
      </c>
      <c r="E73" s="6" t="s">
        <v>432</v>
      </c>
      <c r="F73" s="6">
        <v>504818</v>
      </c>
      <c r="G73" s="6" t="s">
        <v>279</v>
      </c>
      <c r="H73" s="6">
        <v>3</v>
      </c>
      <c r="I73" s="6">
        <v>20240619</v>
      </c>
      <c r="J73" s="106">
        <v>45497</v>
      </c>
      <c r="K73" s="6" t="s">
        <v>561</v>
      </c>
      <c r="L73" s="6" t="s">
        <v>17</v>
      </c>
      <c r="M73" s="8">
        <v>80000</v>
      </c>
    </row>
    <row r="74" spans="1:20" x14ac:dyDescent="0.35">
      <c r="M74" s="38">
        <f>SUM(M67:M73)</f>
        <v>950000</v>
      </c>
    </row>
    <row r="75" spans="1:20" ht="15" thickBot="1" x14ac:dyDescent="0.4"/>
    <row r="76" spans="1:20" x14ac:dyDescent="0.35">
      <c r="B76" s="4" t="s">
        <v>81</v>
      </c>
    </row>
    <row r="77" spans="1:20" s="3" customFormat="1" x14ac:dyDescent="0.35">
      <c r="A77" s="5" t="s">
        <v>0</v>
      </c>
      <c r="B77" s="5" t="s">
        <v>1</v>
      </c>
      <c r="C77" s="5" t="s">
        <v>2</v>
      </c>
      <c r="D77" s="5" t="s">
        <v>3</v>
      </c>
      <c r="E77" s="5" t="s">
        <v>4</v>
      </c>
      <c r="F77" s="5" t="s">
        <v>5</v>
      </c>
      <c r="G77" s="5" t="s">
        <v>6</v>
      </c>
      <c r="H77" s="5" t="s">
        <v>374</v>
      </c>
      <c r="I77" s="5" t="s">
        <v>7</v>
      </c>
      <c r="J77" s="107" t="s">
        <v>8</v>
      </c>
      <c r="K77" s="5" t="s">
        <v>9</v>
      </c>
      <c r="L77" s="5" t="s">
        <v>10</v>
      </c>
      <c r="M77" s="5" t="s">
        <v>11</v>
      </c>
      <c r="N77" s="5" t="s">
        <v>562</v>
      </c>
      <c r="O77" s="5" t="s">
        <v>563</v>
      </c>
      <c r="P77" s="5" t="s">
        <v>564</v>
      </c>
      <c r="Q77" s="5" t="s">
        <v>565</v>
      </c>
      <c r="R77" s="5" t="s">
        <v>566</v>
      </c>
      <c r="S77" s="5" t="s">
        <v>567</v>
      </c>
      <c r="T77" s="5" t="s">
        <v>568</v>
      </c>
    </row>
    <row r="78" spans="1:20" x14ac:dyDescent="0.35">
      <c r="A78" s="6">
        <v>6140030003</v>
      </c>
      <c r="B78" s="6" t="s">
        <v>58</v>
      </c>
      <c r="C78" s="6" t="s">
        <v>482</v>
      </c>
      <c r="D78" s="6">
        <v>30016</v>
      </c>
      <c r="E78" s="6" t="s">
        <v>432</v>
      </c>
      <c r="F78" s="6">
        <v>614003</v>
      </c>
      <c r="G78" s="6" t="s">
        <v>528</v>
      </c>
      <c r="H78" s="6">
        <v>2</v>
      </c>
      <c r="I78" s="6">
        <v>20240725</v>
      </c>
      <c r="J78" s="106">
        <v>45544</v>
      </c>
      <c r="K78" s="6" t="s">
        <v>54</v>
      </c>
      <c r="L78" s="6" t="s">
        <v>17</v>
      </c>
      <c r="M78" s="8">
        <v>150000</v>
      </c>
      <c r="N78" s="6">
        <v>780</v>
      </c>
      <c r="O78" s="6">
        <v>25</v>
      </c>
      <c r="P78" s="6">
        <v>150</v>
      </c>
      <c r="Q78" s="6">
        <v>4</v>
      </c>
      <c r="R78" s="6">
        <v>6</v>
      </c>
      <c r="S78" s="6">
        <v>12</v>
      </c>
      <c r="T78" s="6" t="s">
        <v>569</v>
      </c>
    </row>
    <row r="79" spans="1:20" x14ac:dyDescent="0.35">
      <c r="A79" s="6">
        <v>4270780001</v>
      </c>
      <c r="B79" s="6" t="s">
        <v>58</v>
      </c>
      <c r="C79" s="6" t="s">
        <v>482</v>
      </c>
      <c r="D79" s="6">
        <v>30012</v>
      </c>
      <c r="E79" s="6" t="s">
        <v>432</v>
      </c>
      <c r="F79" s="6">
        <v>427078</v>
      </c>
      <c r="G79" s="6" t="s">
        <v>348</v>
      </c>
      <c r="H79" s="6">
        <v>3</v>
      </c>
      <c r="I79" s="6">
        <v>20240724</v>
      </c>
      <c r="J79" s="106">
        <v>45559</v>
      </c>
      <c r="K79" s="6" t="s">
        <v>459</v>
      </c>
      <c r="L79" s="6" t="s">
        <v>17</v>
      </c>
      <c r="M79" s="8">
        <v>100000</v>
      </c>
      <c r="N79" s="6">
        <v>258</v>
      </c>
      <c r="O79" s="6">
        <v>10</v>
      </c>
      <c r="P79" s="6">
        <v>150</v>
      </c>
      <c r="Q79" s="6">
        <v>6</v>
      </c>
      <c r="R79" s="6">
        <v>4</v>
      </c>
      <c r="S79" s="6">
        <v>9</v>
      </c>
      <c r="T79" s="6" t="s">
        <v>570</v>
      </c>
    </row>
    <row r="80" spans="1:20" x14ac:dyDescent="0.35">
      <c r="A80" s="6">
        <v>5126120002</v>
      </c>
      <c r="B80" s="6" t="s">
        <v>29</v>
      </c>
      <c r="C80" s="6" t="s">
        <v>482</v>
      </c>
      <c r="D80" s="6">
        <v>2034</v>
      </c>
      <c r="E80" s="6" t="s">
        <v>432</v>
      </c>
      <c r="F80" s="6">
        <v>512612</v>
      </c>
      <c r="G80" s="6" t="s">
        <v>311</v>
      </c>
      <c r="H80" s="6">
        <v>5</v>
      </c>
      <c r="I80" s="6">
        <v>20240718</v>
      </c>
      <c r="J80" s="106">
        <v>45537</v>
      </c>
      <c r="K80" s="6" t="s">
        <v>400</v>
      </c>
      <c r="L80" s="6" t="s">
        <v>17</v>
      </c>
      <c r="M80" s="8">
        <v>150000</v>
      </c>
      <c r="N80" s="6">
        <v>230</v>
      </c>
      <c r="O80" s="6">
        <v>8</v>
      </c>
      <c r="P80" s="6">
        <v>200</v>
      </c>
      <c r="Q80" s="6">
        <v>15</v>
      </c>
      <c r="R80" s="6">
        <v>7</v>
      </c>
      <c r="S80" s="6">
        <v>10</v>
      </c>
      <c r="T80" s="6" t="s">
        <v>571</v>
      </c>
    </row>
    <row r="81" spans="1:20" x14ac:dyDescent="0.35">
      <c r="A81" s="6">
        <v>4284800003</v>
      </c>
      <c r="B81" s="6" t="s">
        <v>29</v>
      </c>
      <c r="C81" s="6" t="s">
        <v>482</v>
      </c>
      <c r="D81" s="6">
        <v>2040</v>
      </c>
      <c r="E81" s="6" t="s">
        <v>432</v>
      </c>
      <c r="F81" s="6">
        <v>428480</v>
      </c>
      <c r="G81" s="6" t="s">
        <v>399</v>
      </c>
      <c r="H81" s="6">
        <v>3</v>
      </c>
      <c r="I81" s="6">
        <v>20240724</v>
      </c>
      <c r="J81" s="106">
        <v>45545</v>
      </c>
      <c r="K81" s="6" t="s">
        <v>131</v>
      </c>
      <c r="L81" s="6" t="s">
        <v>17</v>
      </c>
      <c r="M81" s="8">
        <v>30000</v>
      </c>
      <c r="N81" s="6">
        <v>140</v>
      </c>
      <c r="O81" s="6">
        <v>6</v>
      </c>
      <c r="P81" s="6">
        <v>150</v>
      </c>
      <c r="Q81" s="6">
        <v>10</v>
      </c>
      <c r="R81" s="6">
        <v>0</v>
      </c>
      <c r="S81" s="6">
        <v>6</v>
      </c>
      <c r="T81" s="6" t="s">
        <v>570</v>
      </c>
    </row>
    <row r="82" spans="1:20" x14ac:dyDescent="0.35">
      <c r="A82" s="6">
        <v>6455410002</v>
      </c>
      <c r="B82" s="6" t="s">
        <v>29</v>
      </c>
      <c r="C82" s="6" t="s">
        <v>482</v>
      </c>
      <c r="D82" s="6">
        <v>38003</v>
      </c>
      <c r="E82" s="6" t="s">
        <v>432</v>
      </c>
      <c r="F82" s="6">
        <v>645541</v>
      </c>
      <c r="G82" s="6" t="s">
        <v>572</v>
      </c>
      <c r="H82" s="58">
        <v>1</v>
      </c>
      <c r="I82" s="6">
        <v>20240726</v>
      </c>
      <c r="J82" s="106">
        <v>45544</v>
      </c>
      <c r="K82" s="6" t="s">
        <v>28</v>
      </c>
      <c r="L82" s="6" t="s">
        <v>17</v>
      </c>
      <c r="M82" s="8">
        <v>80000</v>
      </c>
      <c r="N82" s="6">
        <v>146</v>
      </c>
      <c r="O82" s="6">
        <v>8</v>
      </c>
      <c r="P82" s="6">
        <v>85</v>
      </c>
      <c r="Q82" s="6">
        <v>8</v>
      </c>
      <c r="R82" s="6">
        <v>0</v>
      </c>
      <c r="S82" s="6">
        <v>9</v>
      </c>
      <c r="T82" s="6" t="s">
        <v>573</v>
      </c>
    </row>
    <row r="83" spans="1:20" x14ac:dyDescent="0.35">
      <c r="A83" s="6">
        <v>3903410002</v>
      </c>
      <c r="B83" s="6" t="s">
        <v>29</v>
      </c>
      <c r="C83" s="6" t="s">
        <v>482</v>
      </c>
      <c r="D83" s="6">
        <v>38026</v>
      </c>
      <c r="E83" s="6" t="s">
        <v>432</v>
      </c>
      <c r="F83" s="6">
        <v>390341</v>
      </c>
      <c r="G83" s="6" t="s">
        <v>338</v>
      </c>
      <c r="H83" s="6">
        <v>4</v>
      </c>
      <c r="I83" s="6">
        <v>20240725</v>
      </c>
      <c r="J83" s="106">
        <v>45544</v>
      </c>
      <c r="K83" s="6" t="s">
        <v>400</v>
      </c>
      <c r="L83" s="6" t="s">
        <v>17</v>
      </c>
      <c r="M83" s="8">
        <v>500000</v>
      </c>
      <c r="N83" s="6">
        <v>245</v>
      </c>
      <c r="O83" s="6">
        <v>20</v>
      </c>
      <c r="P83" s="6">
        <v>560</v>
      </c>
      <c r="Q83" s="6">
        <v>9</v>
      </c>
      <c r="R83" s="6">
        <v>0</v>
      </c>
      <c r="S83" s="6">
        <v>12</v>
      </c>
      <c r="T83" s="6" t="s">
        <v>573</v>
      </c>
    </row>
    <row r="84" spans="1:20" x14ac:dyDescent="0.35">
      <c r="A84" s="6">
        <v>5446230001</v>
      </c>
      <c r="B84" s="6" t="s">
        <v>29</v>
      </c>
      <c r="C84" s="6" t="s">
        <v>482</v>
      </c>
      <c r="D84" s="6">
        <v>2037</v>
      </c>
      <c r="E84" s="6" t="s">
        <v>432</v>
      </c>
      <c r="F84" s="6">
        <v>544623</v>
      </c>
      <c r="G84" s="6" t="s">
        <v>394</v>
      </c>
      <c r="H84" s="6">
        <v>3</v>
      </c>
      <c r="I84" s="6">
        <v>20240731</v>
      </c>
      <c r="J84" s="106">
        <v>45567</v>
      </c>
      <c r="K84" s="6" t="s">
        <v>242</v>
      </c>
      <c r="L84" s="6" t="s">
        <v>17</v>
      </c>
      <c r="M84" s="8">
        <v>100000</v>
      </c>
      <c r="N84" s="6">
        <v>850</v>
      </c>
      <c r="O84" s="6">
        <v>28</v>
      </c>
      <c r="P84" s="6">
        <v>0</v>
      </c>
      <c r="Q84" s="6">
        <v>15</v>
      </c>
      <c r="R84" s="6">
        <v>0</v>
      </c>
      <c r="S84" s="6">
        <v>18</v>
      </c>
      <c r="T84" s="6" t="s">
        <v>574</v>
      </c>
    </row>
    <row r="85" spans="1:20" x14ac:dyDescent="0.35">
      <c r="A85" s="6">
        <v>1289000002</v>
      </c>
      <c r="B85" s="6" t="s">
        <v>174</v>
      </c>
      <c r="C85" s="6" t="s">
        <v>482</v>
      </c>
      <c r="D85" s="6">
        <v>11002</v>
      </c>
      <c r="E85" s="6" t="s">
        <v>432</v>
      </c>
      <c r="F85" s="6">
        <v>128900</v>
      </c>
      <c r="G85" s="6" t="s">
        <v>575</v>
      </c>
      <c r="H85" s="6">
        <v>2</v>
      </c>
      <c r="I85" s="6">
        <v>20240725</v>
      </c>
      <c r="J85" s="106">
        <v>45530</v>
      </c>
      <c r="K85" s="6" t="s">
        <v>576</v>
      </c>
      <c r="L85" s="6" t="s">
        <v>17</v>
      </c>
      <c r="M85" s="8">
        <v>120000</v>
      </c>
      <c r="N85" s="6">
        <v>1300</v>
      </c>
      <c r="O85" s="6">
        <v>23</v>
      </c>
      <c r="P85" s="6">
        <v>80</v>
      </c>
      <c r="Q85" s="6">
        <v>4</v>
      </c>
      <c r="R85" s="6">
        <v>0</v>
      </c>
      <c r="S85" s="6">
        <v>16</v>
      </c>
      <c r="T85" s="6" t="s">
        <v>569</v>
      </c>
    </row>
    <row r="86" spans="1:20" x14ac:dyDescent="0.35">
      <c r="A86" s="6">
        <v>1221610001</v>
      </c>
      <c r="B86" s="6" t="s">
        <v>486</v>
      </c>
      <c r="C86" s="6" t="s">
        <v>482</v>
      </c>
      <c r="D86" s="6">
        <v>38011</v>
      </c>
      <c r="E86" s="6" t="s">
        <v>432</v>
      </c>
      <c r="F86" s="6">
        <v>122161</v>
      </c>
      <c r="G86" s="6" t="s">
        <v>577</v>
      </c>
      <c r="H86" s="58">
        <v>1</v>
      </c>
      <c r="I86" s="6">
        <v>20240731</v>
      </c>
      <c r="J86" s="106">
        <v>45548</v>
      </c>
      <c r="K86" s="6" t="s">
        <v>252</v>
      </c>
      <c r="L86" s="6" t="s">
        <v>17</v>
      </c>
      <c r="M86" s="8">
        <v>80000</v>
      </c>
      <c r="N86" s="6">
        <v>722</v>
      </c>
      <c r="O86" s="6">
        <v>20</v>
      </c>
      <c r="P86" s="6">
        <v>180</v>
      </c>
      <c r="Q86" s="6">
        <v>9</v>
      </c>
      <c r="R86" s="6">
        <v>15</v>
      </c>
      <c r="S86" s="6">
        <v>20</v>
      </c>
      <c r="T86" s="6" t="s">
        <v>569</v>
      </c>
    </row>
    <row r="87" spans="1:20" x14ac:dyDescent="0.35">
      <c r="A87" s="6">
        <v>1359730001</v>
      </c>
      <c r="B87" s="6" t="s">
        <v>486</v>
      </c>
      <c r="C87" s="6" t="s">
        <v>482</v>
      </c>
      <c r="D87" s="6">
        <v>38006</v>
      </c>
      <c r="E87" s="6" t="s">
        <v>432</v>
      </c>
      <c r="F87" s="6">
        <v>135973</v>
      </c>
      <c r="G87" s="6" t="s">
        <v>578</v>
      </c>
      <c r="H87" s="58">
        <v>1</v>
      </c>
      <c r="I87" s="6">
        <v>20240711</v>
      </c>
      <c r="J87" s="106">
        <v>45525</v>
      </c>
      <c r="K87" s="6" t="s">
        <v>509</v>
      </c>
      <c r="L87" s="6" t="s">
        <v>17</v>
      </c>
      <c r="M87" s="8">
        <v>10000</v>
      </c>
      <c r="N87" s="6">
        <v>73</v>
      </c>
      <c r="O87" s="6">
        <v>6</v>
      </c>
      <c r="P87" s="6">
        <v>500</v>
      </c>
      <c r="Q87" s="6">
        <v>6</v>
      </c>
      <c r="R87" s="6">
        <v>0</v>
      </c>
      <c r="S87" s="6">
        <v>10</v>
      </c>
      <c r="T87" s="6" t="s">
        <v>573</v>
      </c>
    </row>
    <row r="88" spans="1:20" x14ac:dyDescent="0.35">
      <c r="A88" s="6">
        <v>2355840002</v>
      </c>
      <c r="B88" s="6" t="s">
        <v>32</v>
      </c>
      <c r="C88" s="6" t="s">
        <v>492</v>
      </c>
      <c r="D88" s="6">
        <v>20029</v>
      </c>
      <c r="E88" s="6" t="s">
        <v>432</v>
      </c>
      <c r="F88" s="6">
        <v>235584</v>
      </c>
      <c r="G88" s="6" t="s">
        <v>579</v>
      </c>
      <c r="H88" s="6">
        <v>7</v>
      </c>
      <c r="I88" s="6">
        <v>20240726</v>
      </c>
      <c r="J88" s="106">
        <v>45544</v>
      </c>
      <c r="K88" s="6" t="s">
        <v>555</v>
      </c>
      <c r="L88" s="6" t="s">
        <v>17</v>
      </c>
      <c r="M88" s="8">
        <v>15000</v>
      </c>
      <c r="N88" s="6">
        <v>677</v>
      </c>
      <c r="O88" s="6">
        <v>39</v>
      </c>
      <c r="P88" s="6">
        <v>170</v>
      </c>
      <c r="Q88" s="6">
        <v>6</v>
      </c>
      <c r="R88" s="6">
        <v>3</v>
      </c>
      <c r="S88" s="6">
        <v>21</v>
      </c>
      <c r="T88" s="6" t="s">
        <v>580</v>
      </c>
    </row>
    <row r="89" spans="1:20" x14ac:dyDescent="0.35">
      <c r="A89" s="6">
        <v>5036830001</v>
      </c>
      <c r="B89" s="6" t="s">
        <v>18</v>
      </c>
      <c r="C89" s="6" t="s">
        <v>482</v>
      </c>
      <c r="D89" s="6">
        <v>41002</v>
      </c>
      <c r="E89" s="6" t="s">
        <v>432</v>
      </c>
      <c r="F89" s="6">
        <v>503683</v>
      </c>
      <c r="G89" s="6" t="s">
        <v>581</v>
      </c>
      <c r="H89" s="6">
        <v>4</v>
      </c>
      <c r="I89" s="6">
        <v>20240729</v>
      </c>
      <c r="J89" s="106">
        <v>45576</v>
      </c>
      <c r="K89" s="6" t="s">
        <v>582</v>
      </c>
      <c r="L89" s="6" t="s">
        <v>17</v>
      </c>
      <c r="M89" s="8">
        <v>90000</v>
      </c>
      <c r="N89" s="6">
        <v>500</v>
      </c>
      <c r="O89" s="6">
        <v>30</v>
      </c>
      <c r="P89" s="6">
        <v>630</v>
      </c>
      <c r="Q89" s="6">
        <v>6</v>
      </c>
      <c r="R89" s="6">
        <v>8</v>
      </c>
      <c r="S89" s="6">
        <v>18</v>
      </c>
      <c r="T89" s="6" t="s">
        <v>569</v>
      </c>
    </row>
    <row r="90" spans="1:20" x14ac:dyDescent="0.35">
      <c r="M90" s="39">
        <f>SUM(M78:M89)</f>
        <v>1425000</v>
      </c>
    </row>
    <row r="91" spans="1:20" ht="15" thickBot="1" x14ac:dyDescent="0.4"/>
    <row r="92" spans="1:20" x14ac:dyDescent="0.35">
      <c r="B92" s="4" t="s">
        <v>90</v>
      </c>
    </row>
    <row r="93" spans="1:20" x14ac:dyDescent="0.35">
      <c r="A93" s="5" t="s">
        <v>0</v>
      </c>
      <c r="B93" s="5" t="s">
        <v>1</v>
      </c>
      <c r="C93" s="5" t="s">
        <v>2</v>
      </c>
      <c r="D93" s="5" t="s">
        <v>3</v>
      </c>
      <c r="E93" s="5" t="s">
        <v>4</v>
      </c>
      <c r="F93" s="5" t="s">
        <v>5</v>
      </c>
      <c r="G93" s="5" t="s">
        <v>6</v>
      </c>
      <c r="H93" s="5" t="s">
        <v>374</v>
      </c>
      <c r="I93" s="5" t="s">
        <v>7</v>
      </c>
      <c r="J93" s="5" t="s">
        <v>8</v>
      </c>
      <c r="K93" s="5" t="s">
        <v>9</v>
      </c>
      <c r="L93" s="5" t="s">
        <v>10</v>
      </c>
      <c r="M93" s="5" t="s">
        <v>11</v>
      </c>
      <c r="N93" s="5" t="s">
        <v>562</v>
      </c>
      <c r="O93" s="5" t="s">
        <v>563</v>
      </c>
      <c r="P93" s="5" t="s">
        <v>564</v>
      </c>
      <c r="Q93" s="5" t="s">
        <v>565</v>
      </c>
      <c r="R93" s="5" t="s">
        <v>566</v>
      </c>
      <c r="S93" s="5" t="s">
        <v>567</v>
      </c>
      <c r="T93" s="5" t="s">
        <v>568</v>
      </c>
    </row>
    <row r="94" spans="1:20" x14ac:dyDescent="0.35">
      <c r="A94" s="6">
        <v>3921010001</v>
      </c>
      <c r="B94" s="6" t="s">
        <v>58</v>
      </c>
      <c r="C94" s="6" t="s">
        <v>482</v>
      </c>
      <c r="D94" s="6">
        <v>30012</v>
      </c>
      <c r="E94" s="6" t="s">
        <v>432</v>
      </c>
      <c r="F94" s="6">
        <v>392101</v>
      </c>
      <c r="G94" s="6" t="s">
        <v>209</v>
      </c>
      <c r="H94" s="6">
        <v>3</v>
      </c>
      <c r="I94" s="6">
        <v>20240806</v>
      </c>
      <c r="J94" s="106">
        <v>45561</v>
      </c>
      <c r="K94" s="6" t="s">
        <v>336</v>
      </c>
      <c r="L94" s="6" t="s">
        <v>17</v>
      </c>
      <c r="M94" s="8">
        <v>300000</v>
      </c>
      <c r="N94" s="6">
        <v>355</v>
      </c>
      <c r="O94" s="6">
        <v>14</v>
      </c>
      <c r="P94" s="6">
        <v>100</v>
      </c>
      <c r="Q94" s="6">
        <v>7</v>
      </c>
      <c r="R94" s="6">
        <v>2</v>
      </c>
      <c r="S94" s="6">
        <v>13</v>
      </c>
      <c r="T94" s="6" t="s">
        <v>583</v>
      </c>
    </row>
    <row r="95" spans="1:20" x14ac:dyDescent="0.35">
      <c r="A95" s="6">
        <v>6141910002</v>
      </c>
      <c r="B95" s="6" t="s">
        <v>29</v>
      </c>
      <c r="C95" s="6" t="s">
        <v>482</v>
      </c>
      <c r="D95" s="6">
        <v>2008</v>
      </c>
      <c r="E95" s="6" t="s">
        <v>432</v>
      </c>
      <c r="F95" s="6">
        <v>614191</v>
      </c>
      <c r="G95" s="6" t="s">
        <v>514</v>
      </c>
      <c r="H95" s="6">
        <v>2</v>
      </c>
      <c r="I95" s="6">
        <v>20240808</v>
      </c>
      <c r="J95" s="106">
        <v>45558</v>
      </c>
      <c r="K95" s="6" t="s">
        <v>54</v>
      </c>
      <c r="L95" s="6" t="s">
        <v>17</v>
      </c>
      <c r="M95" s="8">
        <v>300000</v>
      </c>
      <c r="N95" s="6">
        <v>401</v>
      </c>
      <c r="O95" s="6">
        <v>14</v>
      </c>
      <c r="P95" s="6">
        <v>800</v>
      </c>
      <c r="Q95" s="6">
        <v>8</v>
      </c>
      <c r="R95" s="6">
        <v>5</v>
      </c>
      <c r="S95" s="6">
        <v>15</v>
      </c>
      <c r="T95" s="6" t="s">
        <v>583</v>
      </c>
    </row>
    <row r="96" spans="1:20" x14ac:dyDescent="0.35">
      <c r="A96" s="6">
        <v>5034240001</v>
      </c>
      <c r="B96" s="6" t="s">
        <v>29</v>
      </c>
      <c r="C96" s="6" t="s">
        <v>482</v>
      </c>
      <c r="D96" s="6">
        <v>2032</v>
      </c>
      <c r="E96" s="6" t="s">
        <v>432</v>
      </c>
      <c r="F96" s="6">
        <v>503424</v>
      </c>
      <c r="G96" s="6" t="s">
        <v>584</v>
      </c>
      <c r="H96" s="58">
        <v>1</v>
      </c>
      <c r="I96" s="6">
        <v>20240830</v>
      </c>
      <c r="J96" s="106">
        <v>45579</v>
      </c>
      <c r="K96" s="6" t="s">
        <v>416</v>
      </c>
      <c r="L96" s="6" t="s">
        <v>17</v>
      </c>
      <c r="M96" s="8">
        <v>100000</v>
      </c>
      <c r="N96" s="6">
        <v>286</v>
      </c>
      <c r="O96" s="6">
        <v>12</v>
      </c>
      <c r="P96" s="6">
        <v>450</v>
      </c>
      <c r="Q96" s="6">
        <v>9</v>
      </c>
      <c r="R96" s="6">
        <v>3</v>
      </c>
      <c r="S96" s="6">
        <v>10</v>
      </c>
      <c r="T96" s="6" t="s">
        <v>583</v>
      </c>
    </row>
    <row r="97" spans="1:20" x14ac:dyDescent="0.35">
      <c r="A97" s="6">
        <v>5043530002</v>
      </c>
      <c r="B97" s="6" t="s">
        <v>29</v>
      </c>
      <c r="C97" s="6" t="s">
        <v>482</v>
      </c>
      <c r="D97" s="6">
        <v>2028</v>
      </c>
      <c r="E97" s="6" t="s">
        <v>432</v>
      </c>
      <c r="F97" s="6">
        <v>504353</v>
      </c>
      <c r="G97" s="6" t="s">
        <v>298</v>
      </c>
      <c r="H97" s="6">
        <v>5</v>
      </c>
      <c r="I97" s="6">
        <v>20240801</v>
      </c>
      <c r="J97" s="106">
        <v>45551</v>
      </c>
      <c r="K97" s="6" t="s">
        <v>585</v>
      </c>
      <c r="L97" s="6" t="s">
        <v>17</v>
      </c>
      <c r="M97" s="8">
        <v>60000</v>
      </c>
      <c r="N97" s="6">
        <v>265</v>
      </c>
      <c r="O97" s="6">
        <v>16</v>
      </c>
      <c r="P97" s="6">
        <v>500</v>
      </c>
      <c r="Q97" s="6">
        <v>15</v>
      </c>
      <c r="R97" s="6">
        <v>0</v>
      </c>
      <c r="S97" s="6">
        <v>18</v>
      </c>
      <c r="T97" s="6" t="s">
        <v>586</v>
      </c>
    </row>
    <row r="98" spans="1:20" x14ac:dyDescent="0.35">
      <c r="A98" s="6">
        <v>6143920002</v>
      </c>
      <c r="B98" s="6" t="s">
        <v>29</v>
      </c>
      <c r="C98" s="6" t="s">
        <v>482</v>
      </c>
      <c r="D98" s="6">
        <v>2044</v>
      </c>
      <c r="E98" s="6" t="s">
        <v>432</v>
      </c>
      <c r="F98" s="6">
        <v>614392</v>
      </c>
      <c r="G98" s="6" t="s">
        <v>541</v>
      </c>
      <c r="H98" s="6">
        <v>2</v>
      </c>
      <c r="I98" s="6">
        <v>20240826</v>
      </c>
      <c r="J98" s="106">
        <v>45574</v>
      </c>
      <c r="K98" s="6" t="s">
        <v>108</v>
      </c>
      <c r="L98" s="6" t="s">
        <v>17</v>
      </c>
      <c r="M98" s="8">
        <v>120000</v>
      </c>
      <c r="N98" s="6">
        <v>570</v>
      </c>
      <c r="O98" s="6">
        <v>30</v>
      </c>
      <c r="P98" s="6">
        <v>430</v>
      </c>
      <c r="Q98" s="6">
        <v>10</v>
      </c>
      <c r="R98" s="6">
        <v>7</v>
      </c>
      <c r="S98" s="6">
        <v>18</v>
      </c>
      <c r="T98" s="6" t="s">
        <v>583</v>
      </c>
    </row>
    <row r="99" spans="1:20" x14ac:dyDescent="0.35">
      <c r="A99" s="6">
        <v>3235340001</v>
      </c>
      <c r="B99" s="6" t="s">
        <v>29</v>
      </c>
      <c r="C99" s="6" t="s">
        <v>482</v>
      </c>
      <c r="D99" s="6">
        <v>2036</v>
      </c>
      <c r="E99" s="6" t="s">
        <v>432</v>
      </c>
      <c r="F99" s="6">
        <v>323534</v>
      </c>
      <c r="G99" s="6" t="s">
        <v>587</v>
      </c>
      <c r="H99" s="6">
        <v>4</v>
      </c>
      <c r="I99" s="6">
        <v>20240826</v>
      </c>
      <c r="J99" s="106">
        <v>45576</v>
      </c>
      <c r="K99" s="6" t="s">
        <v>213</v>
      </c>
      <c r="L99" s="6" t="s">
        <v>17</v>
      </c>
      <c r="M99" s="8">
        <v>60000</v>
      </c>
      <c r="N99" s="6">
        <v>350</v>
      </c>
      <c r="O99" s="6">
        <v>15</v>
      </c>
      <c r="P99" s="6">
        <v>750</v>
      </c>
      <c r="Q99" s="6">
        <v>8.5</v>
      </c>
      <c r="R99" s="6">
        <v>2</v>
      </c>
      <c r="S99" s="6">
        <v>13</v>
      </c>
      <c r="T99" s="6" t="s">
        <v>588</v>
      </c>
    </row>
    <row r="100" spans="1:20" x14ac:dyDescent="0.35">
      <c r="A100" s="6">
        <v>4784460001</v>
      </c>
      <c r="B100" s="6" t="s">
        <v>174</v>
      </c>
      <c r="C100" s="6" t="s">
        <v>482</v>
      </c>
      <c r="D100" s="6">
        <v>11013</v>
      </c>
      <c r="E100" s="6" t="s">
        <v>432</v>
      </c>
      <c r="F100" s="6">
        <v>478446</v>
      </c>
      <c r="G100" s="6" t="s">
        <v>589</v>
      </c>
      <c r="H100" s="6">
        <v>2</v>
      </c>
      <c r="I100" s="6">
        <v>20240816</v>
      </c>
      <c r="J100" s="106">
        <v>45565</v>
      </c>
      <c r="K100" s="6" t="s">
        <v>20</v>
      </c>
      <c r="L100" s="6" t="s">
        <v>17</v>
      </c>
      <c r="M100" s="8">
        <v>100000</v>
      </c>
      <c r="N100" s="6">
        <v>209</v>
      </c>
      <c r="O100" s="6">
        <v>8</v>
      </c>
      <c r="P100" s="6">
        <v>50</v>
      </c>
      <c r="Q100" s="6">
        <v>4</v>
      </c>
      <c r="R100" s="6">
        <v>0</v>
      </c>
      <c r="S100" s="6">
        <v>8</v>
      </c>
      <c r="T100" s="6" t="s">
        <v>583</v>
      </c>
    </row>
    <row r="101" spans="1:20" x14ac:dyDescent="0.35">
      <c r="A101" s="6">
        <v>6469720001</v>
      </c>
      <c r="B101" s="6" t="s">
        <v>109</v>
      </c>
      <c r="C101" s="6" t="s">
        <v>482</v>
      </c>
      <c r="D101" s="6">
        <v>40014</v>
      </c>
      <c r="E101" s="6" t="s">
        <v>432</v>
      </c>
      <c r="F101" s="6">
        <v>646972</v>
      </c>
      <c r="G101" s="6" t="s">
        <v>590</v>
      </c>
      <c r="H101" s="6">
        <v>2</v>
      </c>
      <c r="I101" s="6">
        <v>20240812</v>
      </c>
      <c r="J101" s="106">
        <v>45561</v>
      </c>
      <c r="K101" s="6" t="s">
        <v>108</v>
      </c>
      <c r="L101" s="6" t="s">
        <v>17</v>
      </c>
      <c r="M101" s="8">
        <v>120000</v>
      </c>
      <c r="N101" s="6">
        <v>819</v>
      </c>
      <c r="O101" s="6">
        <v>33</v>
      </c>
      <c r="P101" s="6">
        <v>250</v>
      </c>
      <c r="Q101" s="6">
        <v>5</v>
      </c>
      <c r="R101" s="6">
        <v>5</v>
      </c>
      <c r="S101" s="6">
        <v>14</v>
      </c>
      <c r="T101" s="6" t="s">
        <v>588</v>
      </c>
    </row>
    <row r="102" spans="1:20" x14ac:dyDescent="0.35">
      <c r="A102" s="6">
        <v>3310570001</v>
      </c>
      <c r="B102" s="6" t="s">
        <v>109</v>
      </c>
      <c r="C102" s="6" t="s">
        <v>482</v>
      </c>
      <c r="D102" s="6">
        <v>40014</v>
      </c>
      <c r="E102" s="6" t="s">
        <v>432</v>
      </c>
      <c r="F102" s="6">
        <v>331057</v>
      </c>
      <c r="G102" s="6" t="s">
        <v>591</v>
      </c>
      <c r="H102" s="6">
        <v>5</v>
      </c>
      <c r="I102" s="6">
        <v>20240821</v>
      </c>
      <c r="J102" s="106">
        <v>45569</v>
      </c>
      <c r="K102" s="6" t="s">
        <v>592</v>
      </c>
      <c r="L102" s="6" t="s">
        <v>17</v>
      </c>
      <c r="M102" s="8">
        <v>100000</v>
      </c>
      <c r="N102" s="6">
        <v>254</v>
      </c>
      <c r="O102" s="6">
        <v>14</v>
      </c>
      <c r="P102" s="6">
        <v>250</v>
      </c>
      <c r="Q102" s="6">
        <v>4</v>
      </c>
      <c r="R102" s="6">
        <v>6</v>
      </c>
      <c r="S102" s="6">
        <v>11</v>
      </c>
      <c r="T102" s="6" t="s">
        <v>583</v>
      </c>
    </row>
    <row r="103" spans="1:20" x14ac:dyDescent="0.35">
      <c r="A103" s="6">
        <v>3616750001</v>
      </c>
      <c r="B103" s="6" t="s">
        <v>32</v>
      </c>
      <c r="C103" s="6" t="s">
        <v>482</v>
      </c>
      <c r="D103" s="6">
        <v>20022</v>
      </c>
      <c r="E103" s="6" t="s">
        <v>432</v>
      </c>
      <c r="F103" s="6">
        <v>361675</v>
      </c>
      <c r="G103" s="6" t="s">
        <v>593</v>
      </c>
      <c r="H103" s="58">
        <v>1</v>
      </c>
      <c r="I103" s="6">
        <v>20240830</v>
      </c>
      <c r="J103" s="106">
        <v>45611</v>
      </c>
      <c r="K103" s="6" t="s">
        <v>113</v>
      </c>
      <c r="L103" s="6" t="s">
        <v>17</v>
      </c>
      <c r="M103" s="8">
        <v>30000</v>
      </c>
      <c r="N103" s="6">
        <v>365</v>
      </c>
      <c r="O103" s="6">
        <v>14</v>
      </c>
      <c r="P103" s="6">
        <v>100</v>
      </c>
      <c r="Q103" s="6">
        <v>5</v>
      </c>
      <c r="R103" s="6">
        <v>5</v>
      </c>
      <c r="S103" s="6">
        <v>15</v>
      </c>
      <c r="T103" s="6" t="s">
        <v>583</v>
      </c>
    </row>
    <row r="104" spans="1:20" x14ac:dyDescent="0.35">
      <c r="A104" s="6">
        <v>4919190001</v>
      </c>
      <c r="B104" s="6" t="s">
        <v>18</v>
      </c>
      <c r="C104" s="6" t="s">
        <v>482</v>
      </c>
      <c r="D104" s="6">
        <v>41002</v>
      </c>
      <c r="E104" s="6" t="s">
        <v>432</v>
      </c>
      <c r="F104" s="6">
        <v>491919</v>
      </c>
      <c r="G104" s="6" t="s">
        <v>286</v>
      </c>
      <c r="H104" s="6">
        <v>3</v>
      </c>
      <c r="I104" s="6">
        <v>20240830</v>
      </c>
      <c r="J104" s="106">
        <v>45576</v>
      </c>
      <c r="K104" s="6" t="s">
        <v>594</v>
      </c>
      <c r="L104" s="6" t="s">
        <v>17</v>
      </c>
      <c r="M104" s="8">
        <v>10000</v>
      </c>
      <c r="N104" s="6">
        <v>366</v>
      </c>
      <c r="O104" s="6">
        <v>18</v>
      </c>
      <c r="P104" s="6">
        <v>155</v>
      </c>
      <c r="Q104" s="6">
        <v>6</v>
      </c>
      <c r="R104" s="6">
        <v>0</v>
      </c>
      <c r="S104" s="6">
        <v>14</v>
      </c>
      <c r="T104" s="6" t="s">
        <v>583</v>
      </c>
    </row>
    <row r="105" spans="1:20" x14ac:dyDescent="0.35">
      <c r="A105" s="6">
        <v>5569200001</v>
      </c>
      <c r="B105" s="6" t="s">
        <v>18</v>
      </c>
      <c r="C105" s="6" t="s">
        <v>482</v>
      </c>
      <c r="D105" s="6">
        <v>41022</v>
      </c>
      <c r="E105" s="6" t="s">
        <v>432</v>
      </c>
      <c r="F105" s="6">
        <v>556920</v>
      </c>
      <c r="G105" s="6" t="s">
        <v>446</v>
      </c>
      <c r="H105" s="6">
        <v>2</v>
      </c>
      <c r="I105" s="6">
        <v>20240812</v>
      </c>
      <c r="J105" s="106">
        <v>45554</v>
      </c>
      <c r="K105" s="6" t="s">
        <v>595</v>
      </c>
      <c r="L105" s="6" t="s">
        <v>17</v>
      </c>
      <c r="M105" s="8">
        <v>60000</v>
      </c>
      <c r="N105" s="6">
        <v>494</v>
      </c>
      <c r="O105" s="6">
        <v>25</v>
      </c>
      <c r="P105" s="6">
        <v>200</v>
      </c>
      <c r="Q105" s="6">
        <v>7.5</v>
      </c>
      <c r="R105" s="6">
        <v>0</v>
      </c>
      <c r="S105" s="6">
        <v>12</v>
      </c>
      <c r="T105" s="6" t="s">
        <v>588</v>
      </c>
    </row>
    <row r="106" spans="1:20" x14ac:dyDescent="0.35">
      <c r="A106" s="6">
        <v>2966450001</v>
      </c>
      <c r="B106" s="6" t="s">
        <v>12</v>
      </c>
      <c r="C106" s="6" t="s">
        <v>482</v>
      </c>
      <c r="D106" s="6">
        <v>8005</v>
      </c>
      <c r="E106" s="6" t="s">
        <v>432</v>
      </c>
      <c r="F106" s="6">
        <v>296645</v>
      </c>
      <c r="G106" s="6" t="s">
        <v>276</v>
      </c>
      <c r="H106" s="6">
        <v>4</v>
      </c>
      <c r="I106" s="6">
        <v>20240826</v>
      </c>
      <c r="J106" s="106">
        <v>45567</v>
      </c>
      <c r="K106" s="6" t="s">
        <v>596</v>
      </c>
      <c r="L106" s="6" t="s">
        <v>17</v>
      </c>
      <c r="M106" s="8">
        <v>50000</v>
      </c>
      <c r="N106" s="6">
        <v>280</v>
      </c>
      <c r="O106" s="6">
        <v>14</v>
      </c>
      <c r="P106" s="6">
        <v>300</v>
      </c>
      <c r="Q106" s="6">
        <v>6</v>
      </c>
      <c r="R106" s="6">
        <v>7</v>
      </c>
      <c r="S106" s="6">
        <v>15</v>
      </c>
      <c r="T106" s="6" t="s">
        <v>588</v>
      </c>
    </row>
    <row r="107" spans="1:20" x14ac:dyDescent="0.35">
      <c r="A107" s="6">
        <v>5150160001</v>
      </c>
      <c r="B107" s="6" t="s">
        <v>21</v>
      </c>
      <c r="C107" s="6" t="s">
        <v>487</v>
      </c>
      <c r="D107" s="6">
        <v>13008</v>
      </c>
      <c r="E107" s="6" t="s">
        <v>432</v>
      </c>
      <c r="F107" s="6">
        <v>515016</v>
      </c>
      <c r="G107" s="6" t="s">
        <v>597</v>
      </c>
      <c r="H107" s="58">
        <v>1</v>
      </c>
      <c r="I107" s="6">
        <v>20240828</v>
      </c>
      <c r="J107" s="106">
        <v>45568</v>
      </c>
      <c r="K107" s="6" t="s">
        <v>598</v>
      </c>
      <c r="L107" s="6" t="s">
        <v>17</v>
      </c>
      <c r="M107" s="8">
        <v>100000</v>
      </c>
      <c r="N107" s="6">
        <v>160</v>
      </c>
      <c r="O107" s="6">
        <v>20</v>
      </c>
      <c r="P107" s="6">
        <v>550</v>
      </c>
      <c r="Q107" s="6">
        <v>9</v>
      </c>
      <c r="R107" s="6">
        <v>7</v>
      </c>
      <c r="S107" s="6">
        <v>10</v>
      </c>
      <c r="T107" s="6" t="s">
        <v>583</v>
      </c>
    </row>
    <row r="108" spans="1:20" x14ac:dyDescent="0.35">
      <c r="A108" s="6">
        <v>4826690002</v>
      </c>
      <c r="B108" s="6" t="s">
        <v>35</v>
      </c>
      <c r="C108" s="6" t="s">
        <v>482</v>
      </c>
      <c r="D108" s="6">
        <v>24011</v>
      </c>
      <c r="E108" s="6" t="s">
        <v>432</v>
      </c>
      <c r="F108" s="6">
        <v>482669</v>
      </c>
      <c r="G108" s="6" t="s">
        <v>204</v>
      </c>
      <c r="H108" s="6">
        <v>9</v>
      </c>
      <c r="I108" s="6">
        <v>20240829</v>
      </c>
      <c r="J108" s="106">
        <v>45579</v>
      </c>
      <c r="K108" s="6" t="s">
        <v>504</v>
      </c>
      <c r="L108" s="6" t="s">
        <v>17</v>
      </c>
      <c r="M108" s="8">
        <v>60000</v>
      </c>
      <c r="N108" s="6">
        <v>540</v>
      </c>
      <c r="O108" s="6">
        <v>18</v>
      </c>
      <c r="P108" s="6">
        <v>180</v>
      </c>
      <c r="Q108" s="6">
        <v>4</v>
      </c>
      <c r="R108" s="6">
        <v>0</v>
      </c>
      <c r="S108" s="6">
        <v>14</v>
      </c>
      <c r="T108" s="6" t="s">
        <v>588</v>
      </c>
    </row>
    <row r="109" spans="1:20" x14ac:dyDescent="0.35">
      <c r="M109" s="43">
        <f>SUM(M94:M108)</f>
        <v>1570000</v>
      </c>
    </row>
    <row r="110" spans="1:20" ht="15" thickBot="1" x14ac:dyDescent="0.4"/>
    <row r="111" spans="1:20" x14ac:dyDescent="0.35">
      <c r="B111" s="4" t="s">
        <v>99</v>
      </c>
    </row>
    <row r="112" spans="1:20" x14ac:dyDescent="0.35">
      <c r="A112" s="5" t="s">
        <v>0</v>
      </c>
      <c r="B112" s="5" t="s">
        <v>1</v>
      </c>
      <c r="C112" s="5" t="s">
        <v>2</v>
      </c>
      <c r="D112" s="5" t="s">
        <v>3</v>
      </c>
      <c r="E112" s="5" t="s">
        <v>4</v>
      </c>
      <c r="F112" s="5" t="s">
        <v>5</v>
      </c>
      <c r="G112" s="5" t="s">
        <v>6</v>
      </c>
      <c r="H112" s="5" t="s">
        <v>374</v>
      </c>
      <c r="I112" s="5" t="s">
        <v>7</v>
      </c>
      <c r="J112" s="5" t="s">
        <v>8</v>
      </c>
      <c r="K112" s="5" t="s">
        <v>9</v>
      </c>
      <c r="L112" s="5" t="s">
        <v>10</v>
      </c>
      <c r="M112" s="5" t="s">
        <v>11</v>
      </c>
      <c r="N112" s="5" t="s">
        <v>562</v>
      </c>
      <c r="O112" s="5" t="s">
        <v>563</v>
      </c>
      <c r="P112" s="5" t="s">
        <v>564</v>
      </c>
      <c r="Q112" s="5" t="s">
        <v>565</v>
      </c>
      <c r="R112" s="5" t="s">
        <v>566</v>
      </c>
      <c r="S112" s="5" t="s">
        <v>567</v>
      </c>
      <c r="T112" s="5" t="s">
        <v>568</v>
      </c>
    </row>
    <row r="113" spans="1:20" x14ac:dyDescent="0.35">
      <c r="A113" s="6">
        <v>6530420001</v>
      </c>
      <c r="B113" s="6" t="s">
        <v>29</v>
      </c>
      <c r="C113" s="6" t="s">
        <v>482</v>
      </c>
      <c r="D113" s="6">
        <v>38003</v>
      </c>
      <c r="E113" s="6" t="s">
        <v>432</v>
      </c>
      <c r="F113" s="6">
        <v>653042</v>
      </c>
      <c r="G113" s="6" t="s">
        <v>599</v>
      </c>
      <c r="H113" s="58">
        <v>1</v>
      </c>
      <c r="I113" s="6">
        <v>20240920</v>
      </c>
      <c r="J113" s="106">
        <v>45600</v>
      </c>
      <c r="K113" s="6" t="s">
        <v>416</v>
      </c>
      <c r="L113" s="6" t="s">
        <v>17</v>
      </c>
      <c r="M113" s="8">
        <v>100000</v>
      </c>
      <c r="N113" s="6">
        <v>320</v>
      </c>
      <c r="O113" s="6">
        <v>16</v>
      </c>
      <c r="P113" s="6">
        <v>100</v>
      </c>
      <c r="Q113" s="6">
        <v>10</v>
      </c>
      <c r="R113" s="6">
        <v>3</v>
      </c>
      <c r="S113" s="6">
        <v>14</v>
      </c>
      <c r="T113" s="6" t="s">
        <v>583</v>
      </c>
    </row>
    <row r="114" spans="1:20" x14ac:dyDescent="0.35">
      <c r="A114" s="6">
        <v>4243180002</v>
      </c>
      <c r="B114" s="6" t="s">
        <v>29</v>
      </c>
      <c r="C114" s="6" t="s">
        <v>482</v>
      </c>
      <c r="D114" s="6">
        <v>38006</v>
      </c>
      <c r="E114" s="6" t="s">
        <v>432</v>
      </c>
      <c r="F114" s="6">
        <v>424318</v>
      </c>
      <c r="G114" s="6" t="s">
        <v>505</v>
      </c>
      <c r="H114" s="6">
        <v>2</v>
      </c>
      <c r="I114" s="6">
        <v>20240923</v>
      </c>
      <c r="J114" s="106">
        <v>45600</v>
      </c>
      <c r="K114" s="6" t="s">
        <v>421</v>
      </c>
      <c r="L114" s="6" t="s">
        <v>17</v>
      </c>
      <c r="M114" s="8">
        <v>100000</v>
      </c>
      <c r="N114" s="6">
        <v>365</v>
      </c>
      <c r="O114" s="6">
        <v>19</v>
      </c>
      <c r="P114" s="6">
        <v>300</v>
      </c>
      <c r="Q114" s="6">
        <v>7</v>
      </c>
      <c r="R114" s="6">
        <v>5</v>
      </c>
      <c r="S114" s="6">
        <v>20</v>
      </c>
      <c r="T114" s="6" t="s">
        <v>583</v>
      </c>
    </row>
    <row r="115" spans="1:20" x14ac:dyDescent="0.35">
      <c r="A115" s="6">
        <v>4804170002</v>
      </c>
      <c r="B115" s="6" t="s">
        <v>29</v>
      </c>
      <c r="C115" s="6" t="s">
        <v>482</v>
      </c>
      <c r="D115" s="6">
        <v>2028</v>
      </c>
      <c r="E115" s="6" t="s">
        <v>432</v>
      </c>
      <c r="F115" s="6">
        <v>480417</v>
      </c>
      <c r="G115" s="6" t="s">
        <v>243</v>
      </c>
      <c r="H115" s="6">
        <v>11</v>
      </c>
      <c r="I115" s="6">
        <v>20240924</v>
      </c>
      <c r="J115" s="106">
        <v>45616</v>
      </c>
      <c r="K115" s="6" t="s">
        <v>430</v>
      </c>
      <c r="L115" s="6" t="s">
        <v>17</v>
      </c>
      <c r="M115" s="8">
        <v>250000</v>
      </c>
      <c r="N115" s="6">
        <v>400</v>
      </c>
      <c r="O115" s="6">
        <v>22</v>
      </c>
      <c r="P115" s="6">
        <v>480</v>
      </c>
      <c r="Q115" s="6">
        <v>3</v>
      </c>
      <c r="R115" s="6">
        <v>0</v>
      </c>
      <c r="S115" s="6">
        <v>12</v>
      </c>
      <c r="T115" s="6" t="s">
        <v>588</v>
      </c>
    </row>
    <row r="116" spans="1:20" x14ac:dyDescent="0.35">
      <c r="A116" s="6">
        <v>3146620001</v>
      </c>
      <c r="B116" s="6" t="s">
        <v>29</v>
      </c>
      <c r="C116" s="6" t="s">
        <v>482</v>
      </c>
      <c r="D116" s="6">
        <v>2034</v>
      </c>
      <c r="E116" s="6" t="s">
        <v>432</v>
      </c>
      <c r="F116" s="6">
        <v>314662</v>
      </c>
      <c r="G116" s="6" t="s">
        <v>190</v>
      </c>
      <c r="H116" s="6">
        <v>4</v>
      </c>
      <c r="I116" s="6">
        <v>20240917</v>
      </c>
      <c r="J116" s="106">
        <v>45597</v>
      </c>
      <c r="K116" s="6" t="s">
        <v>108</v>
      </c>
      <c r="L116" s="6" t="s">
        <v>17</v>
      </c>
      <c r="M116" s="8">
        <v>400000</v>
      </c>
      <c r="N116" s="6">
        <v>475</v>
      </c>
      <c r="O116" s="6">
        <v>25</v>
      </c>
      <c r="P116" s="6">
        <v>545</v>
      </c>
      <c r="Q116" s="6">
        <v>7</v>
      </c>
      <c r="R116" s="6">
        <v>4</v>
      </c>
      <c r="S116" s="6">
        <v>21</v>
      </c>
      <c r="T116" s="6" t="s">
        <v>583</v>
      </c>
    </row>
    <row r="117" spans="1:20" x14ac:dyDescent="0.35">
      <c r="A117" s="6">
        <v>5729950002</v>
      </c>
      <c r="B117" s="6" t="s">
        <v>44</v>
      </c>
      <c r="C117" s="6" t="s">
        <v>482</v>
      </c>
      <c r="D117" s="6">
        <v>5010</v>
      </c>
      <c r="E117" s="6" t="s">
        <v>432</v>
      </c>
      <c r="F117" s="6">
        <v>572995</v>
      </c>
      <c r="G117" s="6" t="s">
        <v>448</v>
      </c>
      <c r="H117" s="6">
        <v>7</v>
      </c>
      <c r="I117" s="6">
        <v>20240924</v>
      </c>
      <c r="J117" s="106">
        <v>45603</v>
      </c>
      <c r="K117" s="6" t="s">
        <v>65</v>
      </c>
      <c r="L117" s="6" t="s">
        <v>17</v>
      </c>
      <c r="M117" s="8">
        <v>12000</v>
      </c>
      <c r="N117" s="6">
        <v>220</v>
      </c>
      <c r="O117" s="6">
        <v>13</v>
      </c>
      <c r="P117" s="6">
        <v>180</v>
      </c>
      <c r="Q117" s="6">
        <v>2</v>
      </c>
      <c r="R117" s="6">
        <v>2</v>
      </c>
      <c r="S117" s="6">
        <v>13</v>
      </c>
      <c r="T117" s="6" t="s">
        <v>586</v>
      </c>
    </row>
    <row r="118" spans="1:20" x14ac:dyDescent="0.35">
      <c r="A118" s="6">
        <v>5476050005</v>
      </c>
      <c r="B118" s="6" t="s">
        <v>486</v>
      </c>
      <c r="C118" s="6" t="s">
        <v>482</v>
      </c>
      <c r="D118" s="6">
        <v>26001</v>
      </c>
      <c r="E118" s="6" t="s">
        <v>432</v>
      </c>
      <c r="F118" s="6">
        <v>547605</v>
      </c>
      <c r="G118" s="6" t="s">
        <v>490</v>
      </c>
      <c r="H118" s="6">
        <v>4</v>
      </c>
      <c r="I118" s="6">
        <v>20240930</v>
      </c>
      <c r="J118" s="106">
        <v>45597</v>
      </c>
      <c r="K118" s="6" t="s">
        <v>576</v>
      </c>
      <c r="L118" s="6" t="s">
        <v>17</v>
      </c>
      <c r="M118" s="8">
        <v>500000</v>
      </c>
      <c r="N118" s="6">
        <v>834</v>
      </c>
      <c r="O118" s="6">
        <v>38</v>
      </c>
      <c r="P118" s="6">
        <v>2835</v>
      </c>
      <c r="Q118" s="6">
        <v>300</v>
      </c>
      <c r="R118" s="6">
        <v>100</v>
      </c>
      <c r="S118" s="6">
        <v>24</v>
      </c>
      <c r="T118" s="6" t="s">
        <v>583</v>
      </c>
    </row>
    <row r="119" spans="1:20" x14ac:dyDescent="0.35">
      <c r="M119" s="39">
        <f>SUM(M113:M118)</f>
        <v>1362000</v>
      </c>
    </row>
    <row r="120" spans="1:20" ht="15" thickBot="1" x14ac:dyDescent="0.4"/>
    <row r="121" spans="1:20" x14ac:dyDescent="0.35">
      <c r="B121" s="4" t="s">
        <v>119</v>
      </c>
    </row>
    <row r="122" spans="1:20" x14ac:dyDescent="0.35">
      <c r="A122" s="5" t="s">
        <v>0</v>
      </c>
      <c r="B122" s="5" t="s">
        <v>1</v>
      </c>
      <c r="C122" s="5" t="s">
        <v>2</v>
      </c>
      <c r="D122" s="5" t="s">
        <v>3</v>
      </c>
      <c r="E122" s="5" t="s">
        <v>4</v>
      </c>
      <c r="F122" s="5" t="s">
        <v>5</v>
      </c>
      <c r="G122" s="5" t="s">
        <v>6</v>
      </c>
      <c r="H122" s="5" t="s">
        <v>374</v>
      </c>
      <c r="I122" s="5" t="s">
        <v>7</v>
      </c>
      <c r="J122" s="5" t="s">
        <v>8</v>
      </c>
      <c r="K122" s="5" t="s">
        <v>9</v>
      </c>
      <c r="L122" s="5" t="s">
        <v>10</v>
      </c>
      <c r="M122" s="5" t="s">
        <v>11</v>
      </c>
      <c r="N122" s="5" t="s">
        <v>562</v>
      </c>
      <c r="O122" s="5" t="s">
        <v>563</v>
      </c>
      <c r="P122" s="5" t="s">
        <v>564</v>
      </c>
      <c r="Q122" s="5" t="s">
        <v>565</v>
      </c>
      <c r="R122" s="5" t="s">
        <v>566</v>
      </c>
      <c r="S122" s="5" t="s">
        <v>567</v>
      </c>
      <c r="T122" s="5" t="s">
        <v>568</v>
      </c>
    </row>
    <row r="123" spans="1:20" x14ac:dyDescent="0.35">
      <c r="A123" s="6">
        <v>4930180002</v>
      </c>
      <c r="B123" s="6" t="s">
        <v>58</v>
      </c>
      <c r="C123" s="6" t="s">
        <v>482</v>
      </c>
      <c r="D123" s="6">
        <v>30016</v>
      </c>
      <c r="E123" s="6" t="s">
        <v>432</v>
      </c>
      <c r="F123" s="6">
        <v>493018</v>
      </c>
      <c r="G123" s="6" t="s">
        <v>600</v>
      </c>
      <c r="H123" s="58">
        <v>1</v>
      </c>
      <c r="I123" s="6">
        <v>20241023</v>
      </c>
      <c r="J123" s="106">
        <v>45632</v>
      </c>
      <c r="K123" s="6" t="s">
        <v>108</v>
      </c>
      <c r="L123" s="6" t="s">
        <v>17</v>
      </c>
      <c r="M123" s="11">
        <v>60000</v>
      </c>
      <c r="N123" s="6">
        <v>481</v>
      </c>
      <c r="O123" s="6">
        <v>14</v>
      </c>
      <c r="P123" s="6">
        <v>120</v>
      </c>
      <c r="Q123" s="6">
        <v>3</v>
      </c>
      <c r="R123" s="6">
        <v>2</v>
      </c>
      <c r="S123" s="6">
        <v>13</v>
      </c>
      <c r="T123" s="6" t="s">
        <v>583</v>
      </c>
    </row>
    <row r="124" spans="1:20" x14ac:dyDescent="0.35">
      <c r="A124" s="6">
        <v>581100003</v>
      </c>
      <c r="B124" s="6" t="s">
        <v>29</v>
      </c>
      <c r="C124" s="6" t="s">
        <v>482</v>
      </c>
      <c r="D124" s="6">
        <v>2035</v>
      </c>
      <c r="E124" s="6" t="s">
        <v>432</v>
      </c>
      <c r="F124" s="6">
        <v>58110</v>
      </c>
      <c r="G124" s="6" t="s">
        <v>220</v>
      </c>
      <c r="H124" s="6">
        <v>7</v>
      </c>
      <c r="I124" s="6">
        <v>20241002</v>
      </c>
      <c r="J124" s="106">
        <v>45610</v>
      </c>
      <c r="K124" s="6" t="s">
        <v>527</v>
      </c>
      <c r="L124" s="6" t="s">
        <v>17</v>
      </c>
      <c r="M124" s="11">
        <v>40000</v>
      </c>
      <c r="N124" s="6">
        <v>373</v>
      </c>
      <c r="O124" s="6">
        <v>11</v>
      </c>
      <c r="P124" s="6">
        <v>430</v>
      </c>
      <c r="Q124" s="6">
        <v>6</v>
      </c>
      <c r="R124" s="6">
        <v>4</v>
      </c>
      <c r="S124" s="6">
        <v>12</v>
      </c>
      <c r="T124" s="6" t="s">
        <v>583</v>
      </c>
    </row>
    <row r="125" spans="1:20" x14ac:dyDescent="0.35">
      <c r="A125" s="6">
        <v>2726630001</v>
      </c>
      <c r="B125" s="6" t="s">
        <v>29</v>
      </c>
      <c r="C125" s="6" t="s">
        <v>482</v>
      </c>
      <c r="D125" s="6">
        <v>2047</v>
      </c>
      <c r="E125" s="6" t="s">
        <v>432</v>
      </c>
      <c r="F125" s="6">
        <v>272663</v>
      </c>
      <c r="G125" s="6" t="s">
        <v>177</v>
      </c>
      <c r="H125" s="6">
        <v>9</v>
      </c>
      <c r="I125" s="6">
        <v>20241018</v>
      </c>
      <c r="J125" s="106">
        <v>45629</v>
      </c>
      <c r="K125" s="6" t="s">
        <v>213</v>
      </c>
      <c r="L125" s="6" t="s">
        <v>17</v>
      </c>
      <c r="M125" s="11">
        <v>12000</v>
      </c>
      <c r="N125" s="6">
        <v>252</v>
      </c>
      <c r="O125" s="6">
        <v>14</v>
      </c>
      <c r="P125" s="6">
        <v>200</v>
      </c>
      <c r="Q125" s="6">
        <v>10</v>
      </c>
      <c r="R125" s="6">
        <v>5</v>
      </c>
      <c r="S125" s="6">
        <v>10</v>
      </c>
      <c r="T125" s="6" t="s">
        <v>583</v>
      </c>
    </row>
    <row r="126" spans="1:20" x14ac:dyDescent="0.35">
      <c r="A126" s="6">
        <v>5644600002</v>
      </c>
      <c r="B126" s="6" t="s">
        <v>29</v>
      </c>
      <c r="C126" s="6" t="s">
        <v>482</v>
      </c>
      <c r="D126" s="6">
        <v>2028</v>
      </c>
      <c r="E126" s="6" t="s">
        <v>432</v>
      </c>
      <c r="F126" s="6">
        <v>564460</v>
      </c>
      <c r="G126" s="6" t="s">
        <v>468</v>
      </c>
      <c r="H126" s="6">
        <v>2</v>
      </c>
      <c r="I126" s="6">
        <v>20241029</v>
      </c>
      <c r="J126" s="106">
        <v>45642</v>
      </c>
      <c r="K126" s="6" t="s">
        <v>471</v>
      </c>
      <c r="L126" s="6" t="s">
        <v>17</v>
      </c>
      <c r="M126" s="11">
        <v>150000</v>
      </c>
      <c r="N126" s="6">
        <v>223</v>
      </c>
      <c r="O126" s="6">
        <v>12</v>
      </c>
      <c r="P126" s="6">
        <v>400</v>
      </c>
      <c r="Q126" s="6">
        <v>7</v>
      </c>
      <c r="R126" s="6">
        <v>6</v>
      </c>
      <c r="S126" s="6">
        <v>9</v>
      </c>
      <c r="T126" s="6" t="s">
        <v>601</v>
      </c>
    </row>
    <row r="127" spans="1:20" x14ac:dyDescent="0.35">
      <c r="A127" s="6">
        <v>5446230002</v>
      </c>
      <c r="B127" s="6" t="s">
        <v>29</v>
      </c>
      <c r="C127" s="6" t="s">
        <v>482</v>
      </c>
      <c r="D127" s="6">
        <v>2037</v>
      </c>
      <c r="E127" s="6" t="s">
        <v>432</v>
      </c>
      <c r="F127" s="6">
        <v>544623</v>
      </c>
      <c r="G127" s="6" t="s">
        <v>394</v>
      </c>
      <c r="H127" s="6">
        <v>4</v>
      </c>
      <c r="I127" s="6">
        <v>20241007</v>
      </c>
      <c r="J127" s="106">
        <v>45618</v>
      </c>
      <c r="K127" s="6" t="s">
        <v>54</v>
      </c>
      <c r="L127" s="6" t="s">
        <v>17</v>
      </c>
      <c r="M127" s="11">
        <v>100000</v>
      </c>
      <c r="N127" s="6">
        <v>970</v>
      </c>
      <c r="O127" s="6">
        <v>28</v>
      </c>
      <c r="P127" s="6">
        <v>900</v>
      </c>
      <c r="Q127" s="6">
        <v>15</v>
      </c>
      <c r="R127" s="6">
        <v>0</v>
      </c>
      <c r="S127" s="6">
        <v>20</v>
      </c>
      <c r="T127" s="6" t="s">
        <v>588</v>
      </c>
    </row>
    <row r="128" spans="1:20" x14ac:dyDescent="0.35">
      <c r="M128" s="135">
        <f>SUM(M123:M127)</f>
        <v>362000</v>
      </c>
    </row>
    <row r="129" spans="1:20" ht="15" thickBot="1" x14ac:dyDescent="0.4"/>
    <row r="130" spans="1:20" x14ac:dyDescent="0.35">
      <c r="B130" s="4" t="s">
        <v>129</v>
      </c>
    </row>
    <row r="131" spans="1:20" s="3" customFormat="1" x14ac:dyDescent="0.35">
      <c r="A131" s="3" t="s">
        <v>0</v>
      </c>
      <c r="B131" s="3" t="s">
        <v>1</v>
      </c>
      <c r="C131" s="3" t="s">
        <v>2</v>
      </c>
      <c r="D131" s="3" t="s">
        <v>3</v>
      </c>
      <c r="E131" s="3" t="s">
        <v>4</v>
      </c>
      <c r="F131" s="3" t="s">
        <v>5</v>
      </c>
      <c r="G131" s="3" t="s">
        <v>6</v>
      </c>
      <c r="H131" s="3" t="s">
        <v>374</v>
      </c>
      <c r="I131" s="3" t="s">
        <v>7</v>
      </c>
      <c r="J131" s="136" t="s">
        <v>8</v>
      </c>
      <c r="K131" s="3" t="s">
        <v>9</v>
      </c>
      <c r="L131" s="3" t="s">
        <v>10</v>
      </c>
      <c r="M131" s="3" t="s">
        <v>11</v>
      </c>
      <c r="N131" s="3" t="s">
        <v>562</v>
      </c>
      <c r="O131" s="3" t="s">
        <v>563</v>
      </c>
      <c r="P131" s="3" t="s">
        <v>564</v>
      </c>
      <c r="Q131" s="3" t="s">
        <v>565</v>
      </c>
      <c r="R131" s="3" t="s">
        <v>566</v>
      </c>
      <c r="S131" s="3" t="s">
        <v>567</v>
      </c>
      <c r="T131" s="3" t="s">
        <v>568</v>
      </c>
    </row>
    <row r="132" spans="1:20" x14ac:dyDescent="0.35">
      <c r="A132" s="6">
        <v>6581890001</v>
      </c>
      <c r="B132" s="6" t="s">
        <v>58</v>
      </c>
      <c r="C132" s="6" t="s">
        <v>482</v>
      </c>
      <c r="D132" s="6">
        <v>30017</v>
      </c>
      <c r="E132" s="6" t="s">
        <v>432</v>
      </c>
      <c r="F132" s="6">
        <v>658189</v>
      </c>
      <c r="G132" s="6" t="s">
        <v>602</v>
      </c>
      <c r="H132" s="58">
        <v>1</v>
      </c>
      <c r="I132" s="6">
        <v>20241120</v>
      </c>
      <c r="J132" s="106">
        <v>45663</v>
      </c>
      <c r="K132" s="6" t="s">
        <v>325</v>
      </c>
      <c r="L132" s="6" t="s">
        <v>17</v>
      </c>
      <c r="M132" s="8">
        <v>40000</v>
      </c>
      <c r="N132" s="6">
        <v>50</v>
      </c>
      <c r="O132" s="6">
        <v>3</v>
      </c>
      <c r="P132" s="6">
        <v>400</v>
      </c>
      <c r="Q132" s="6">
        <v>5</v>
      </c>
      <c r="R132" s="6">
        <v>5</v>
      </c>
      <c r="S132" s="6">
        <v>4</v>
      </c>
      <c r="T132" s="6" t="s">
        <v>603</v>
      </c>
    </row>
    <row r="133" spans="1:20" x14ac:dyDescent="0.35">
      <c r="A133" s="6">
        <v>3947600001</v>
      </c>
      <c r="B133" s="6" t="s">
        <v>58</v>
      </c>
      <c r="C133" s="6" t="s">
        <v>482</v>
      </c>
      <c r="D133" s="6">
        <v>30006</v>
      </c>
      <c r="E133" s="6" t="s">
        <v>432</v>
      </c>
      <c r="F133" s="6">
        <v>394760</v>
      </c>
      <c r="G133" s="6" t="s">
        <v>460</v>
      </c>
      <c r="H133" s="6">
        <v>3</v>
      </c>
      <c r="I133" s="6">
        <v>20241108</v>
      </c>
      <c r="J133" s="106">
        <v>45665</v>
      </c>
      <c r="K133" s="6" t="s">
        <v>196</v>
      </c>
      <c r="L133" s="6" t="s">
        <v>17</v>
      </c>
      <c r="M133" s="8">
        <v>80000</v>
      </c>
      <c r="N133" s="6">
        <v>264</v>
      </c>
      <c r="O133" s="6">
        <v>15</v>
      </c>
      <c r="P133" s="6">
        <v>220</v>
      </c>
      <c r="Q133" s="6">
        <v>8</v>
      </c>
      <c r="R133" s="6">
        <v>2</v>
      </c>
      <c r="S133" s="6">
        <v>13</v>
      </c>
      <c r="T133" s="6" t="s">
        <v>604</v>
      </c>
    </row>
    <row r="134" spans="1:20" x14ac:dyDescent="0.35">
      <c r="A134" s="6">
        <v>4117260002</v>
      </c>
      <c r="B134" s="6" t="s">
        <v>29</v>
      </c>
      <c r="C134" s="6" t="s">
        <v>482</v>
      </c>
      <c r="D134" s="6">
        <v>2018</v>
      </c>
      <c r="E134" s="6" t="s">
        <v>432</v>
      </c>
      <c r="F134" s="6">
        <v>411726</v>
      </c>
      <c r="G134" s="6" t="s">
        <v>234</v>
      </c>
      <c r="H134" s="6">
        <v>7</v>
      </c>
      <c r="I134" s="6">
        <v>20241111</v>
      </c>
      <c r="J134" s="106">
        <v>45649</v>
      </c>
      <c r="K134" s="6" t="s">
        <v>527</v>
      </c>
      <c r="L134" s="6" t="s">
        <v>17</v>
      </c>
      <c r="M134" s="8">
        <v>50000</v>
      </c>
      <c r="N134" s="6">
        <v>453</v>
      </c>
      <c r="O134" s="6">
        <v>8</v>
      </c>
      <c r="P134" s="6">
        <v>470</v>
      </c>
      <c r="Q134" s="6">
        <v>5</v>
      </c>
      <c r="R134" s="6">
        <v>2</v>
      </c>
      <c r="S134" s="6">
        <v>8</v>
      </c>
      <c r="T134" s="6" t="s">
        <v>603</v>
      </c>
    </row>
    <row r="135" spans="1:20" x14ac:dyDescent="0.35">
      <c r="A135" s="6">
        <v>3425300002</v>
      </c>
      <c r="B135" s="6" t="s">
        <v>32</v>
      </c>
      <c r="C135" s="6" t="s">
        <v>482</v>
      </c>
      <c r="D135" s="6">
        <v>20023</v>
      </c>
      <c r="E135" s="6" t="s">
        <v>432</v>
      </c>
      <c r="F135" s="6">
        <v>342530</v>
      </c>
      <c r="G135" s="6" t="s">
        <v>605</v>
      </c>
      <c r="H135" s="6">
        <v>2</v>
      </c>
      <c r="I135" s="6">
        <v>20241115</v>
      </c>
      <c r="J135" s="106">
        <v>45667</v>
      </c>
      <c r="K135" s="6" t="s">
        <v>606</v>
      </c>
      <c r="L135" s="6" t="s">
        <v>17</v>
      </c>
      <c r="M135" s="8">
        <v>40000</v>
      </c>
      <c r="N135" s="6">
        <v>165</v>
      </c>
      <c r="O135" s="6">
        <v>7</v>
      </c>
      <c r="P135" s="6">
        <v>180</v>
      </c>
      <c r="Q135" s="6">
        <v>5</v>
      </c>
      <c r="R135" s="6">
        <v>0</v>
      </c>
      <c r="S135" s="6">
        <v>10</v>
      </c>
      <c r="T135" s="6" t="s">
        <v>604</v>
      </c>
    </row>
    <row r="136" spans="1:20" x14ac:dyDescent="0.35">
      <c r="A136" s="6">
        <v>4746580002</v>
      </c>
      <c r="B136" s="6" t="s">
        <v>35</v>
      </c>
      <c r="C136" s="6" t="s">
        <v>482</v>
      </c>
      <c r="D136" s="6">
        <v>24011</v>
      </c>
      <c r="E136" s="6" t="s">
        <v>432</v>
      </c>
      <c r="F136" s="6">
        <v>474658</v>
      </c>
      <c r="G136" s="6" t="s">
        <v>219</v>
      </c>
      <c r="H136" s="6">
        <v>6</v>
      </c>
      <c r="I136" s="6">
        <v>20241120</v>
      </c>
      <c r="J136" s="106">
        <v>45663</v>
      </c>
      <c r="K136" s="6" t="s">
        <v>213</v>
      </c>
      <c r="L136" s="6" t="s">
        <v>17</v>
      </c>
      <c r="M136" s="137">
        <v>60000</v>
      </c>
      <c r="N136" s="6">
        <v>500</v>
      </c>
      <c r="O136" s="6">
        <v>12</v>
      </c>
      <c r="P136" s="6">
        <v>150</v>
      </c>
      <c r="Q136" s="6">
        <v>6</v>
      </c>
      <c r="R136" s="6">
        <v>0</v>
      </c>
      <c r="S136" s="6">
        <v>12</v>
      </c>
      <c r="T136" s="6" t="s">
        <v>607</v>
      </c>
    </row>
    <row r="137" spans="1:20" x14ac:dyDescent="0.35">
      <c r="M137" s="39">
        <f>SUM(M132:M136)</f>
        <v>270000</v>
      </c>
    </row>
    <row r="138" spans="1:20" ht="15" thickBot="1" x14ac:dyDescent="0.4"/>
    <row r="139" spans="1:20" x14ac:dyDescent="0.35">
      <c r="B139" s="4" t="s">
        <v>137</v>
      </c>
    </row>
    <row r="140" spans="1:20" x14ac:dyDescent="0.35">
      <c r="A140" s="5" t="s">
        <v>0</v>
      </c>
      <c r="B140" s="5" t="s">
        <v>1</v>
      </c>
      <c r="C140" s="5" t="s">
        <v>2</v>
      </c>
      <c r="D140" s="5" t="s">
        <v>3</v>
      </c>
      <c r="E140" s="5" t="s">
        <v>4</v>
      </c>
      <c r="F140" s="5" t="s">
        <v>5</v>
      </c>
      <c r="G140" s="5" t="s">
        <v>6</v>
      </c>
      <c r="H140" s="5" t="s">
        <v>374</v>
      </c>
      <c r="I140" s="5" t="s">
        <v>7</v>
      </c>
      <c r="J140" s="5" t="s">
        <v>8</v>
      </c>
      <c r="K140" s="5" t="s">
        <v>9</v>
      </c>
      <c r="L140" s="5" t="s">
        <v>10</v>
      </c>
      <c r="M140" s="5" t="s">
        <v>11</v>
      </c>
      <c r="N140" s="5" t="s">
        <v>562</v>
      </c>
      <c r="O140" s="5" t="s">
        <v>563</v>
      </c>
      <c r="P140" s="5" t="s">
        <v>564</v>
      </c>
      <c r="Q140" s="5" t="s">
        <v>565</v>
      </c>
      <c r="R140" s="5" t="s">
        <v>566</v>
      </c>
      <c r="S140" s="5" t="s">
        <v>567</v>
      </c>
      <c r="T140" s="5" t="s">
        <v>568</v>
      </c>
    </row>
    <row r="141" spans="1:20" x14ac:dyDescent="0.35">
      <c r="A141" s="6">
        <v>6339740001</v>
      </c>
      <c r="B141" s="6" t="s">
        <v>58</v>
      </c>
      <c r="C141" s="6" t="s">
        <v>487</v>
      </c>
      <c r="D141" s="6">
        <v>30017</v>
      </c>
      <c r="E141" s="6" t="s">
        <v>432</v>
      </c>
      <c r="F141" s="6">
        <v>633974</v>
      </c>
      <c r="G141" s="6" t="s">
        <v>608</v>
      </c>
      <c r="H141" s="58">
        <v>1</v>
      </c>
      <c r="I141" s="6">
        <v>20241209</v>
      </c>
      <c r="J141" s="106">
        <v>45680</v>
      </c>
      <c r="K141" s="6" t="s">
        <v>609</v>
      </c>
      <c r="L141" s="6" t="s">
        <v>17</v>
      </c>
      <c r="M141" s="8">
        <v>500000</v>
      </c>
      <c r="N141" s="6">
        <v>382</v>
      </c>
      <c r="O141" s="6">
        <v>21</v>
      </c>
      <c r="P141" s="6">
        <v>700</v>
      </c>
      <c r="Q141" s="6">
        <v>7</v>
      </c>
      <c r="R141" s="6">
        <v>6</v>
      </c>
      <c r="S141" s="6">
        <v>12</v>
      </c>
      <c r="T141" s="6" t="s">
        <v>583</v>
      </c>
    </row>
    <row r="142" spans="1:20" x14ac:dyDescent="0.35">
      <c r="A142" s="6">
        <v>5229640001</v>
      </c>
      <c r="B142" s="6" t="s">
        <v>58</v>
      </c>
      <c r="C142" s="6" t="s">
        <v>487</v>
      </c>
      <c r="D142" s="6">
        <v>30016</v>
      </c>
      <c r="E142" s="6" t="s">
        <v>432</v>
      </c>
      <c r="F142" s="6">
        <v>522964</v>
      </c>
      <c r="G142" s="6" t="s">
        <v>610</v>
      </c>
      <c r="H142" s="58">
        <v>1</v>
      </c>
      <c r="I142" s="6">
        <v>20241209</v>
      </c>
      <c r="J142" s="106">
        <v>45681</v>
      </c>
      <c r="K142" s="6" t="s">
        <v>54</v>
      </c>
      <c r="L142" s="6" t="s">
        <v>17</v>
      </c>
      <c r="M142" s="8">
        <v>200000</v>
      </c>
      <c r="N142" s="6">
        <v>330</v>
      </c>
      <c r="O142" s="6">
        <v>16</v>
      </c>
      <c r="P142" s="6">
        <v>7</v>
      </c>
      <c r="Q142" s="6">
        <v>4</v>
      </c>
      <c r="R142" s="6">
        <v>3.5</v>
      </c>
      <c r="S142" s="6">
        <v>16</v>
      </c>
      <c r="T142" s="6" t="s">
        <v>583</v>
      </c>
    </row>
    <row r="143" spans="1:20" x14ac:dyDescent="0.35">
      <c r="A143" s="6">
        <v>6584730001</v>
      </c>
      <c r="B143" s="6" t="s">
        <v>58</v>
      </c>
      <c r="C143" s="6" t="s">
        <v>487</v>
      </c>
      <c r="D143" s="6">
        <v>30006</v>
      </c>
      <c r="E143" s="6" t="s">
        <v>432</v>
      </c>
      <c r="F143" s="6">
        <v>658473</v>
      </c>
      <c r="G143" s="6" t="s">
        <v>611</v>
      </c>
      <c r="H143" s="58">
        <v>1</v>
      </c>
      <c r="I143" s="6">
        <v>20241217</v>
      </c>
      <c r="J143" s="106">
        <v>45692</v>
      </c>
      <c r="K143" s="6" t="s">
        <v>540</v>
      </c>
      <c r="L143" s="6" t="s">
        <v>17</v>
      </c>
      <c r="M143" s="8">
        <v>400000</v>
      </c>
      <c r="N143" s="6">
        <v>624</v>
      </c>
      <c r="O143" s="6">
        <v>25</v>
      </c>
      <c r="P143" s="6">
        <v>150</v>
      </c>
      <c r="Q143" s="6">
        <v>7</v>
      </c>
      <c r="R143" s="6">
        <v>0</v>
      </c>
      <c r="S143" s="6">
        <v>21</v>
      </c>
      <c r="T143" s="6" t="s">
        <v>583</v>
      </c>
    </row>
    <row r="144" spans="1:20" x14ac:dyDescent="0.35">
      <c r="A144" s="6">
        <v>5285600001</v>
      </c>
      <c r="B144" s="6" t="s">
        <v>29</v>
      </c>
      <c r="C144" s="6" t="s">
        <v>482</v>
      </c>
      <c r="D144" s="6">
        <v>38005</v>
      </c>
      <c r="E144" s="6" t="s">
        <v>432</v>
      </c>
      <c r="F144" s="6">
        <v>528560</v>
      </c>
      <c r="G144" s="6" t="s">
        <v>612</v>
      </c>
      <c r="H144" s="58">
        <v>1</v>
      </c>
      <c r="I144" s="6">
        <v>20241220</v>
      </c>
      <c r="J144" s="106">
        <v>45691</v>
      </c>
      <c r="K144" s="6" t="s">
        <v>91</v>
      </c>
      <c r="L144" s="6" t="s">
        <v>17</v>
      </c>
      <c r="M144" s="8">
        <v>12000</v>
      </c>
      <c r="N144" s="6">
        <v>70</v>
      </c>
      <c r="O144" s="6">
        <v>6</v>
      </c>
      <c r="P144" s="6">
        <v>350</v>
      </c>
      <c r="Q144" s="6">
        <v>8</v>
      </c>
      <c r="R144" s="6">
        <v>6</v>
      </c>
      <c r="S144" s="6">
        <v>5</v>
      </c>
      <c r="T144" s="6" t="s">
        <v>586</v>
      </c>
    </row>
    <row r="145" spans="1:20" x14ac:dyDescent="0.35">
      <c r="A145" s="6">
        <v>5450300002</v>
      </c>
      <c r="B145" s="6" t="s">
        <v>109</v>
      </c>
      <c r="C145" s="6" t="s">
        <v>482</v>
      </c>
      <c r="D145" s="6">
        <v>40014</v>
      </c>
      <c r="E145" s="6" t="s">
        <v>432</v>
      </c>
      <c r="F145" s="6">
        <v>545030</v>
      </c>
      <c r="G145" s="6" t="s">
        <v>367</v>
      </c>
      <c r="H145" s="6">
        <v>4</v>
      </c>
      <c r="I145" s="6">
        <v>20241209</v>
      </c>
      <c r="J145" s="106">
        <v>45680</v>
      </c>
      <c r="K145" s="6" t="s">
        <v>108</v>
      </c>
      <c r="L145" s="6" t="s">
        <v>17</v>
      </c>
      <c r="M145" s="8">
        <v>60000</v>
      </c>
      <c r="N145" s="6">
        <v>639</v>
      </c>
      <c r="O145" s="6">
        <v>23</v>
      </c>
      <c r="P145" s="6">
        <v>170</v>
      </c>
      <c r="Q145" s="6">
        <v>5</v>
      </c>
      <c r="R145" s="6">
        <v>5</v>
      </c>
      <c r="S145" s="6">
        <v>15</v>
      </c>
      <c r="T145" s="6" t="s">
        <v>588</v>
      </c>
    </row>
    <row r="146" spans="1:20" x14ac:dyDescent="0.35">
      <c r="A146" s="6">
        <v>2623280003</v>
      </c>
      <c r="B146" s="6" t="s">
        <v>18</v>
      </c>
      <c r="C146" s="6" t="s">
        <v>482</v>
      </c>
      <c r="D146" s="6">
        <v>41016</v>
      </c>
      <c r="E146" s="6" t="s">
        <v>432</v>
      </c>
      <c r="F146" s="6">
        <v>262328</v>
      </c>
      <c r="G146" s="6" t="s">
        <v>107</v>
      </c>
      <c r="H146" s="6">
        <v>7</v>
      </c>
      <c r="I146" s="6">
        <v>20241210</v>
      </c>
      <c r="J146" s="106">
        <v>45667</v>
      </c>
      <c r="K146" s="6" t="s">
        <v>613</v>
      </c>
      <c r="L146" s="6" t="s">
        <v>17</v>
      </c>
      <c r="M146" s="8">
        <v>50000</v>
      </c>
      <c r="N146" s="6">
        <v>435</v>
      </c>
      <c r="O146" s="6">
        <v>15</v>
      </c>
      <c r="P146" s="6">
        <v>240</v>
      </c>
      <c r="Q146" s="6">
        <v>12</v>
      </c>
      <c r="R146" s="6">
        <v>0</v>
      </c>
      <c r="S146" s="6">
        <v>12</v>
      </c>
      <c r="T146" s="6" t="s">
        <v>583</v>
      </c>
    </row>
    <row r="147" spans="1:20" x14ac:dyDescent="0.35">
      <c r="A147" s="6">
        <v>5539530001</v>
      </c>
      <c r="B147" s="6" t="s">
        <v>18</v>
      </c>
      <c r="C147" s="6" t="s">
        <v>482</v>
      </c>
      <c r="D147" s="6">
        <v>41022</v>
      </c>
      <c r="E147" s="6" t="s">
        <v>432</v>
      </c>
      <c r="F147" s="6">
        <v>553953</v>
      </c>
      <c r="G147" s="6" t="s">
        <v>614</v>
      </c>
      <c r="H147" s="6">
        <v>3</v>
      </c>
      <c r="I147" s="6">
        <v>20241220</v>
      </c>
      <c r="J147" s="106">
        <v>45692</v>
      </c>
      <c r="K147" s="6" t="s">
        <v>352</v>
      </c>
      <c r="L147" s="6" t="s">
        <v>17</v>
      </c>
      <c r="M147" s="8">
        <v>50000</v>
      </c>
      <c r="N147" s="6">
        <v>250</v>
      </c>
      <c r="O147" s="6">
        <v>10</v>
      </c>
      <c r="P147" s="6">
        <v>795</v>
      </c>
      <c r="Q147" s="6">
        <v>6</v>
      </c>
      <c r="R147" s="6">
        <v>0</v>
      </c>
      <c r="S147" s="6">
        <v>10</v>
      </c>
      <c r="T147" s="6" t="s">
        <v>615</v>
      </c>
    </row>
    <row r="148" spans="1:20" x14ac:dyDescent="0.35">
      <c r="A148" s="6">
        <v>2014230001</v>
      </c>
      <c r="B148" s="6" t="s">
        <v>12</v>
      </c>
      <c r="C148" s="6" t="s">
        <v>482</v>
      </c>
      <c r="D148" s="6">
        <v>8005</v>
      </c>
      <c r="E148" s="6" t="s">
        <v>432</v>
      </c>
      <c r="F148" s="6">
        <v>201423</v>
      </c>
      <c r="G148" s="6" t="s">
        <v>616</v>
      </c>
      <c r="H148" s="6">
        <v>7</v>
      </c>
      <c r="I148" s="6">
        <v>20241219</v>
      </c>
      <c r="J148" s="106">
        <v>45707</v>
      </c>
      <c r="K148" s="6" t="s">
        <v>467</v>
      </c>
      <c r="L148" s="6" t="s">
        <v>17</v>
      </c>
      <c r="M148" s="8">
        <v>100000</v>
      </c>
      <c r="N148" s="6">
        <v>400</v>
      </c>
      <c r="O148" s="6">
        <v>17</v>
      </c>
      <c r="P148" s="6">
        <v>200</v>
      </c>
      <c r="Q148" s="6">
        <v>2</v>
      </c>
      <c r="R148" s="6">
        <v>1</v>
      </c>
      <c r="S148" s="6">
        <v>10</v>
      </c>
      <c r="T148" s="6" t="s">
        <v>588</v>
      </c>
    </row>
    <row r="149" spans="1:20" x14ac:dyDescent="0.35">
      <c r="M149" s="39">
        <f>SUM(M141:M148)</f>
        <v>1372000</v>
      </c>
    </row>
  </sheetData>
  <autoFilter ref="A140:T140" xr:uid="{964F01FB-E18B-4330-B73A-7846CAE1C40F}">
    <sortState xmlns:xlrd2="http://schemas.microsoft.com/office/spreadsheetml/2017/richdata2" ref="A141:T149">
      <sortCondition ref="B140"/>
    </sortState>
  </autoFilter>
  <phoneticPr fontId="19" type="noConversion"/>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CE45-3E10-45B7-8F26-2344BCB38A08}">
  <dimension ref="A1:JW240"/>
  <sheetViews>
    <sheetView zoomScale="80" zoomScaleNormal="80" workbookViewId="0">
      <pane xSplit="4" ySplit="1" topLeftCell="DI234" activePane="bottomRight" state="frozen"/>
      <selection pane="topRight" activeCell="F1" sqref="F1"/>
      <selection pane="bottomLeft" activeCell="A2" sqref="A2"/>
      <selection pane="bottomRight" activeCell="DN1" sqref="DN1"/>
    </sheetView>
  </sheetViews>
  <sheetFormatPr defaultRowHeight="14.5" x14ac:dyDescent="0.35"/>
  <cols>
    <col min="1" max="1" width="13.453125" style="150" bestFit="1" customWidth="1"/>
    <col min="2" max="2" width="15.26953125" customWidth="1"/>
    <col min="3" max="3" width="32.26953125" customWidth="1"/>
    <col min="4" max="4" width="34.54296875" customWidth="1"/>
    <col min="5" max="5" width="21.81640625" customWidth="1"/>
    <col min="6" max="6" width="12.54296875" customWidth="1"/>
    <col min="7" max="8" width="13.7265625" customWidth="1"/>
    <col min="9" max="9" width="17.54296875" customWidth="1"/>
    <col min="10" max="10" width="7.54296875" customWidth="1"/>
    <col min="11" max="11" width="13.26953125" customWidth="1"/>
    <col min="13" max="13" width="20.54296875" customWidth="1"/>
    <col min="14" max="14" width="17.1796875" customWidth="1"/>
    <col min="18" max="18" width="21.453125" customWidth="1"/>
    <col min="33" max="33" width="13.26953125" customWidth="1"/>
    <col min="48" max="48" width="14.453125" customWidth="1"/>
    <col min="73" max="73" width="12.26953125" customWidth="1"/>
    <col min="82" max="82" width="13.81640625" customWidth="1"/>
    <col min="83" max="83" width="18.7265625" customWidth="1"/>
    <col min="84" max="84" width="20" customWidth="1"/>
    <col min="89" max="89" width="23" customWidth="1"/>
    <col min="91" max="91" width="19.26953125" customWidth="1"/>
    <col min="99" max="99" width="24.453125" customWidth="1"/>
    <col min="112" max="112" width="14.7265625" customWidth="1"/>
    <col min="118" max="118" width="14.81640625" customWidth="1"/>
    <col min="119" max="119" width="13.26953125" customWidth="1"/>
    <col min="121" max="121" width="23.1796875" customWidth="1"/>
    <col min="122" max="122" width="16.1796875" customWidth="1"/>
    <col min="131" max="131" width="29.54296875" customWidth="1"/>
    <col min="133" max="133" width="17.54296875" customWidth="1"/>
    <col min="134" max="134" width="18" customWidth="1"/>
    <col min="135" max="135" width="33.54296875" customWidth="1"/>
    <col min="169" max="169" width="19.26953125" customWidth="1"/>
    <col min="170" max="170" width="17.1796875" customWidth="1"/>
    <col min="187" max="187" width="14.81640625" customWidth="1"/>
    <col min="188" max="188" width="15.54296875" customWidth="1"/>
    <col min="189" max="189" width="22.453125" customWidth="1"/>
    <col min="190" max="190" width="18.81640625" customWidth="1"/>
    <col min="191" max="191" width="21" customWidth="1"/>
    <col min="211" max="211" width="19.1796875" customWidth="1"/>
  </cols>
  <sheetData>
    <row r="1" spans="1:215" ht="59.15" customHeight="1" thickBot="1" x14ac:dyDescent="0.4">
      <c r="A1" s="155" t="s">
        <v>617</v>
      </c>
      <c r="B1" s="155" t="s">
        <v>618</v>
      </c>
      <c r="C1" s="155" t="s">
        <v>619</v>
      </c>
      <c r="D1" s="155" t="s">
        <v>620</v>
      </c>
      <c r="E1" s="158" t="s">
        <v>621</v>
      </c>
      <c r="F1" s="155" t="s">
        <v>622</v>
      </c>
      <c r="G1" s="155" t="s">
        <v>623</v>
      </c>
      <c r="H1" s="155" t="s">
        <v>624</v>
      </c>
      <c r="I1" s="155" t="s">
        <v>625</v>
      </c>
      <c r="J1" s="155" t="s">
        <v>626</v>
      </c>
      <c r="K1" s="155" t="s">
        <v>627</v>
      </c>
      <c r="L1" s="155" t="s">
        <v>628</v>
      </c>
      <c r="M1" s="155" t="s">
        <v>629</v>
      </c>
      <c r="N1" s="155" t="s">
        <v>630</v>
      </c>
      <c r="O1" s="158" t="s">
        <v>631</v>
      </c>
      <c r="P1" s="158" t="s">
        <v>632</v>
      </c>
      <c r="Q1" s="158" t="s">
        <v>633</v>
      </c>
      <c r="R1" s="155" t="s">
        <v>634</v>
      </c>
      <c r="S1" s="155" t="s">
        <v>635</v>
      </c>
      <c r="T1" s="155" t="s">
        <v>636</v>
      </c>
      <c r="U1" s="155" t="s">
        <v>637</v>
      </c>
      <c r="V1" s="155" t="s">
        <v>638</v>
      </c>
      <c r="W1" s="155" t="s">
        <v>639</v>
      </c>
      <c r="X1" s="155" t="s">
        <v>640</v>
      </c>
      <c r="Y1" s="155" t="s">
        <v>641</v>
      </c>
      <c r="Z1" s="155" t="s">
        <v>642</v>
      </c>
      <c r="AA1" s="155" t="s">
        <v>643</v>
      </c>
      <c r="AB1" s="155" t="s">
        <v>644</v>
      </c>
      <c r="AC1" s="155" t="s">
        <v>645</v>
      </c>
      <c r="AD1" s="155" t="s">
        <v>646</v>
      </c>
      <c r="AE1" s="155" t="s">
        <v>647</v>
      </c>
      <c r="AF1" s="155" t="s">
        <v>648</v>
      </c>
      <c r="AG1" s="155" t="s">
        <v>649</v>
      </c>
      <c r="AH1" s="155" t="s">
        <v>650</v>
      </c>
      <c r="AI1" s="155" t="s">
        <v>651</v>
      </c>
      <c r="AJ1" s="155" t="s">
        <v>652</v>
      </c>
      <c r="AK1" s="155" t="s">
        <v>653</v>
      </c>
      <c r="AL1" s="155" t="s">
        <v>654</v>
      </c>
      <c r="AM1" s="155" t="s">
        <v>655</v>
      </c>
      <c r="AN1" s="155" t="s">
        <v>656</v>
      </c>
      <c r="AO1" s="155" t="s">
        <v>657</v>
      </c>
      <c r="AP1" s="155" t="s">
        <v>658</v>
      </c>
      <c r="AQ1" s="155" t="s">
        <v>659</v>
      </c>
      <c r="AR1" s="155" t="s">
        <v>660</v>
      </c>
      <c r="AS1" s="155" t="s">
        <v>661</v>
      </c>
      <c r="AT1" s="155" t="s">
        <v>662</v>
      </c>
      <c r="AU1" s="155" t="s">
        <v>663</v>
      </c>
      <c r="AV1" s="155" t="s">
        <v>664</v>
      </c>
      <c r="AW1" s="155" t="s">
        <v>665</v>
      </c>
      <c r="AX1" s="155" t="s">
        <v>666</v>
      </c>
      <c r="AY1" s="155" t="s">
        <v>667</v>
      </c>
      <c r="AZ1" s="155" t="s">
        <v>668</v>
      </c>
      <c r="BA1" s="155" t="s">
        <v>669</v>
      </c>
      <c r="BB1" s="155" t="s">
        <v>670</v>
      </c>
      <c r="BC1" s="155" t="s">
        <v>671</v>
      </c>
      <c r="BD1" s="155" t="s">
        <v>672</v>
      </c>
      <c r="BE1" s="155" t="s">
        <v>673</v>
      </c>
      <c r="BF1" s="155" t="s">
        <v>674</v>
      </c>
      <c r="BG1" s="155" t="s">
        <v>675</v>
      </c>
      <c r="BH1" s="155" t="s">
        <v>676</v>
      </c>
      <c r="BI1" s="155" t="s">
        <v>677</v>
      </c>
      <c r="BJ1" s="155" t="s">
        <v>678</v>
      </c>
      <c r="BK1" s="155" t="s">
        <v>679</v>
      </c>
      <c r="BL1" s="155" t="s">
        <v>680</v>
      </c>
      <c r="BM1" s="155" t="s">
        <v>681</v>
      </c>
      <c r="BN1" s="155" t="s">
        <v>682</v>
      </c>
      <c r="BO1" s="155" t="s">
        <v>683</v>
      </c>
      <c r="BP1" s="155" t="s">
        <v>684</v>
      </c>
      <c r="BQ1" s="155" t="s">
        <v>685</v>
      </c>
      <c r="BR1" s="155" t="s">
        <v>686</v>
      </c>
      <c r="BS1" s="155" t="s">
        <v>687</v>
      </c>
      <c r="BT1" s="155" t="s">
        <v>688</v>
      </c>
      <c r="BU1" s="155" t="s">
        <v>689</v>
      </c>
      <c r="BV1" s="155" t="s">
        <v>690</v>
      </c>
      <c r="BW1" s="155" t="s">
        <v>691</v>
      </c>
      <c r="BX1" s="155" t="s">
        <v>692</v>
      </c>
      <c r="BY1" s="155" t="s">
        <v>693</v>
      </c>
      <c r="BZ1" s="155" t="s">
        <v>694</v>
      </c>
      <c r="CA1" s="155" t="s">
        <v>695</v>
      </c>
      <c r="CB1" s="155" t="s">
        <v>696</v>
      </c>
      <c r="CC1" s="155" t="s">
        <v>697</v>
      </c>
      <c r="CD1" s="155" t="s">
        <v>698</v>
      </c>
      <c r="CE1" s="155" t="s">
        <v>699</v>
      </c>
      <c r="CF1" s="155" t="s">
        <v>700</v>
      </c>
      <c r="CG1" s="155" t="s">
        <v>701</v>
      </c>
      <c r="CH1" s="155" t="s">
        <v>702</v>
      </c>
      <c r="CI1" s="155" t="s">
        <v>703</v>
      </c>
      <c r="CJ1" s="155" t="s">
        <v>704</v>
      </c>
      <c r="CK1" s="155" t="s">
        <v>705</v>
      </c>
      <c r="CL1" s="155" t="s">
        <v>706</v>
      </c>
      <c r="CM1" s="155" t="s">
        <v>707</v>
      </c>
      <c r="CN1" s="155" t="s">
        <v>708</v>
      </c>
      <c r="CO1" s="155" t="s">
        <v>709</v>
      </c>
      <c r="CP1" s="155" t="s">
        <v>710</v>
      </c>
      <c r="CQ1" s="155" t="s">
        <v>711</v>
      </c>
      <c r="CR1" s="155" t="s">
        <v>712</v>
      </c>
      <c r="CS1" s="155" t="s">
        <v>713</v>
      </c>
      <c r="CT1" s="155" t="s">
        <v>714</v>
      </c>
      <c r="CU1" s="155" t="s">
        <v>715</v>
      </c>
      <c r="CV1" s="155" t="s">
        <v>716</v>
      </c>
      <c r="CW1" s="155" t="s">
        <v>717</v>
      </c>
      <c r="CX1" s="155" t="s">
        <v>718</v>
      </c>
      <c r="CY1" s="155" t="s">
        <v>719</v>
      </c>
      <c r="CZ1" s="155" t="s">
        <v>720</v>
      </c>
      <c r="DA1" s="155" t="s">
        <v>721</v>
      </c>
      <c r="DB1" s="155" t="s">
        <v>722</v>
      </c>
      <c r="DC1" s="155" t="s">
        <v>723</v>
      </c>
      <c r="DD1" s="155" t="s">
        <v>724</v>
      </c>
      <c r="DE1" s="155" t="s">
        <v>725</v>
      </c>
      <c r="DF1" s="155" t="s">
        <v>726</v>
      </c>
      <c r="DG1" s="155" t="s">
        <v>727</v>
      </c>
      <c r="DH1" s="155" t="s">
        <v>728</v>
      </c>
      <c r="DI1" s="155" t="s">
        <v>729</v>
      </c>
      <c r="DJ1" s="155" t="s">
        <v>730</v>
      </c>
      <c r="DK1" s="155" t="s">
        <v>731</v>
      </c>
      <c r="DL1" s="155" t="s">
        <v>732</v>
      </c>
      <c r="DM1" s="155" t="s">
        <v>733</v>
      </c>
      <c r="DN1" s="158" t="s">
        <v>734</v>
      </c>
      <c r="DO1" s="159" t="s">
        <v>735</v>
      </c>
      <c r="DP1" s="155" t="s">
        <v>736</v>
      </c>
      <c r="DQ1" s="155" t="s">
        <v>737</v>
      </c>
      <c r="DR1" s="155" t="s">
        <v>738</v>
      </c>
      <c r="DS1" s="155" t="s">
        <v>739</v>
      </c>
      <c r="DT1" s="155" t="s">
        <v>740</v>
      </c>
      <c r="DU1" s="155" t="s">
        <v>741</v>
      </c>
      <c r="DV1" s="155" t="s">
        <v>742</v>
      </c>
      <c r="DW1" s="155" t="s">
        <v>743</v>
      </c>
      <c r="DX1" s="155" t="s">
        <v>744</v>
      </c>
      <c r="DY1" s="155" t="s">
        <v>745</v>
      </c>
      <c r="DZ1" s="155" t="s">
        <v>746</v>
      </c>
      <c r="EA1" s="155" t="s">
        <v>747</v>
      </c>
      <c r="EB1" s="155" t="s">
        <v>748</v>
      </c>
      <c r="EC1" s="155" t="s">
        <v>749</v>
      </c>
      <c r="ED1" s="155" t="s">
        <v>750</v>
      </c>
      <c r="EE1" s="155" t="s">
        <v>751</v>
      </c>
      <c r="EF1" s="155" t="s">
        <v>752</v>
      </c>
      <c r="EG1" s="155" t="s">
        <v>753</v>
      </c>
      <c r="EH1" s="155" t="s">
        <v>754</v>
      </c>
      <c r="EI1" s="155" t="s">
        <v>755</v>
      </c>
      <c r="EJ1" s="155" t="s">
        <v>756</v>
      </c>
      <c r="EK1" s="155" t="s">
        <v>757</v>
      </c>
      <c r="EL1" s="155" t="s">
        <v>758</v>
      </c>
      <c r="EM1" s="155" t="s">
        <v>759</v>
      </c>
      <c r="EN1" s="155" t="s">
        <v>760</v>
      </c>
      <c r="EO1" s="158" t="s">
        <v>761</v>
      </c>
      <c r="EP1" s="155" t="s">
        <v>762</v>
      </c>
      <c r="EQ1" s="155" t="s">
        <v>763</v>
      </c>
      <c r="ER1" s="155" t="s">
        <v>764</v>
      </c>
      <c r="ES1" s="155" t="s">
        <v>765</v>
      </c>
      <c r="ET1" s="155" t="s">
        <v>766</v>
      </c>
      <c r="EU1" s="155" t="s">
        <v>767</v>
      </c>
      <c r="EV1" s="155" t="s">
        <v>768</v>
      </c>
      <c r="EW1" s="155" t="s">
        <v>769</v>
      </c>
      <c r="EX1" s="155" t="s">
        <v>770</v>
      </c>
      <c r="EY1" s="155" t="s">
        <v>771</v>
      </c>
      <c r="EZ1" s="155" t="s">
        <v>772</v>
      </c>
      <c r="FA1" s="155" t="s">
        <v>773</v>
      </c>
      <c r="FB1" s="155" t="s">
        <v>774</v>
      </c>
      <c r="FC1" s="155" t="s">
        <v>775</v>
      </c>
      <c r="FD1" s="155" t="s">
        <v>776</v>
      </c>
      <c r="FE1" s="155" t="s">
        <v>777</v>
      </c>
      <c r="FF1" s="155" t="s">
        <v>778</v>
      </c>
      <c r="FG1" s="155" t="s">
        <v>779</v>
      </c>
      <c r="FH1" s="155" t="s">
        <v>780</v>
      </c>
      <c r="FI1" s="155" t="s">
        <v>781</v>
      </c>
      <c r="FJ1" s="155" t="s">
        <v>782</v>
      </c>
      <c r="FK1" s="155" t="s">
        <v>783</v>
      </c>
      <c r="FL1" s="155" t="s">
        <v>784</v>
      </c>
      <c r="FM1" s="155" t="s">
        <v>785</v>
      </c>
      <c r="FN1" s="155" t="s">
        <v>786</v>
      </c>
      <c r="FO1" s="155" t="s">
        <v>787</v>
      </c>
      <c r="FP1" s="155" t="s">
        <v>788</v>
      </c>
      <c r="FQ1" s="155" t="s">
        <v>789</v>
      </c>
      <c r="FR1" s="155" t="s">
        <v>790</v>
      </c>
      <c r="FS1" s="155" t="s">
        <v>791</v>
      </c>
      <c r="FT1" s="155" t="s">
        <v>792</v>
      </c>
      <c r="FU1" s="155" t="s">
        <v>793</v>
      </c>
      <c r="FV1" s="155" t="s">
        <v>794</v>
      </c>
      <c r="FW1" s="155" t="s">
        <v>795</v>
      </c>
      <c r="FX1" s="155" t="s">
        <v>796</v>
      </c>
      <c r="FY1" s="155" t="s">
        <v>797</v>
      </c>
      <c r="FZ1" s="155" t="s">
        <v>798</v>
      </c>
      <c r="GA1" s="155" t="s">
        <v>799</v>
      </c>
      <c r="GB1" s="155" t="s">
        <v>800</v>
      </c>
      <c r="GC1" s="155" t="s">
        <v>801</v>
      </c>
      <c r="GD1" s="155" t="s">
        <v>802</v>
      </c>
      <c r="GE1" s="155" t="s">
        <v>803</v>
      </c>
      <c r="GF1" s="155" t="s">
        <v>804</v>
      </c>
      <c r="GG1" s="155" t="s">
        <v>805</v>
      </c>
      <c r="GH1" s="155" t="s">
        <v>806</v>
      </c>
      <c r="GI1" s="155" t="s">
        <v>807</v>
      </c>
      <c r="GJ1" s="155" t="s">
        <v>808</v>
      </c>
      <c r="GK1" s="155" t="s">
        <v>809</v>
      </c>
      <c r="GL1" s="155" t="s">
        <v>810</v>
      </c>
      <c r="GM1" s="155" t="s">
        <v>811</v>
      </c>
      <c r="GN1" s="155" t="s">
        <v>812</v>
      </c>
      <c r="GO1" s="155" t="s">
        <v>813</v>
      </c>
      <c r="GP1" s="155" t="s">
        <v>814</v>
      </c>
      <c r="GQ1" s="155" t="s">
        <v>815</v>
      </c>
      <c r="GR1" s="155" t="s">
        <v>816</v>
      </c>
      <c r="GS1" s="155" t="s">
        <v>817</v>
      </c>
      <c r="GT1" s="155" t="s">
        <v>818</v>
      </c>
      <c r="GU1" s="155" t="s">
        <v>819</v>
      </c>
      <c r="GV1" s="155" t="s">
        <v>820</v>
      </c>
      <c r="GW1" s="155" t="s">
        <v>821</v>
      </c>
      <c r="GX1" s="155" t="s">
        <v>822</v>
      </c>
      <c r="GY1" s="155" t="s">
        <v>823</v>
      </c>
      <c r="GZ1" s="155" t="s">
        <v>824</v>
      </c>
      <c r="HA1" s="155" t="s">
        <v>825</v>
      </c>
      <c r="HB1" s="155" t="s">
        <v>826</v>
      </c>
      <c r="HC1" s="155" t="s">
        <v>827</v>
      </c>
      <c r="HD1" s="155" t="s">
        <v>828</v>
      </c>
      <c r="HE1" s="155" t="s">
        <v>829</v>
      </c>
      <c r="HF1" s="155" t="s">
        <v>830</v>
      </c>
      <c r="HG1" s="155" t="s">
        <v>831</v>
      </c>
    </row>
    <row r="2" spans="1:215" ht="19.5" customHeight="1" x14ac:dyDescent="0.35">
      <c r="A2" t="s">
        <v>832</v>
      </c>
      <c r="B2" s="151">
        <v>44875.73364583333</v>
      </c>
      <c r="C2" t="s">
        <v>833</v>
      </c>
      <c r="D2" t="s">
        <v>834</v>
      </c>
      <c r="E2" t="s">
        <v>835</v>
      </c>
      <c r="F2" t="s">
        <v>836</v>
      </c>
      <c r="G2" t="s">
        <v>836</v>
      </c>
      <c r="H2" t="s">
        <v>837</v>
      </c>
      <c r="I2" t="s">
        <v>838</v>
      </c>
      <c r="K2" t="s">
        <v>839</v>
      </c>
      <c r="L2" t="s">
        <v>626</v>
      </c>
      <c r="M2" t="s">
        <v>840</v>
      </c>
      <c r="O2">
        <v>59</v>
      </c>
      <c r="P2">
        <v>41</v>
      </c>
      <c r="Q2">
        <v>100</v>
      </c>
      <c r="T2" t="s">
        <v>841</v>
      </c>
      <c r="W2" t="s">
        <v>841</v>
      </c>
      <c r="X2" t="s">
        <v>841</v>
      </c>
      <c r="Y2" t="s">
        <v>841</v>
      </c>
      <c r="BV2" t="s">
        <v>842</v>
      </c>
      <c r="BX2" t="s">
        <v>839</v>
      </c>
      <c r="BY2" t="s">
        <v>759</v>
      </c>
      <c r="BZ2" t="s">
        <v>839</v>
      </c>
      <c r="CA2" t="s">
        <v>839</v>
      </c>
      <c r="CC2" t="s">
        <v>842</v>
      </c>
      <c r="CD2" t="s">
        <v>626</v>
      </c>
      <c r="CE2" t="s">
        <v>843</v>
      </c>
      <c r="CG2">
        <v>4</v>
      </c>
      <c r="CH2">
        <v>2</v>
      </c>
      <c r="CI2">
        <v>2</v>
      </c>
      <c r="CJ2">
        <v>0</v>
      </c>
      <c r="CK2" t="s">
        <v>681</v>
      </c>
      <c r="CM2" t="s">
        <v>844</v>
      </c>
      <c r="CN2">
        <v>1</v>
      </c>
      <c r="CO2">
        <v>0</v>
      </c>
      <c r="CP2">
        <v>0</v>
      </c>
      <c r="CQ2">
        <v>0</v>
      </c>
      <c r="CR2">
        <v>0</v>
      </c>
      <c r="CS2">
        <v>0</v>
      </c>
      <c r="CU2" t="s">
        <v>845</v>
      </c>
      <c r="CV2">
        <v>0</v>
      </c>
      <c r="CW2">
        <v>0</v>
      </c>
      <c r="CX2">
        <v>0</v>
      </c>
      <c r="CY2">
        <v>1</v>
      </c>
      <c r="CZ2">
        <v>0</v>
      </c>
      <c r="DA2">
        <v>0</v>
      </c>
      <c r="DB2">
        <v>0</v>
      </c>
      <c r="DC2">
        <v>0</v>
      </c>
      <c r="DD2">
        <v>0</v>
      </c>
      <c r="DE2">
        <v>0</v>
      </c>
      <c r="DF2">
        <v>0</v>
      </c>
      <c r="DJ2">
        <v>2</v>
      </c>
      <c r="DK2">
        <v>2</v>
      </c>
      <c r="DL2">
        <v>4</v>
      </c>
      <c r="DN2">
        <v>300</v>
      </c>
      <c r="DP2">
        <v>500</v>
      </c>
      <c r="DQ2" t="s">
        <v>846</v>
      </c>
      <c r="DR2">
        <v>1</v>
      </c>
      <c r="DS2">
        <v>0</v>
      </c>
      <c r="DT2">
        <v>1</v>
      </c>
      <c r="DU2">
        <v>0</v>
      </c>
      <c r="DV2">
        <v>0</v>
      </c>
      <c r="DW2">
        <v>1</v>
      </c>
      <c r="DX2">
        <v>0</v>
      </c>
      <c r="DY2">
        <v>0</v>
      </c>
      <c r="DZ2">
        <v>0</v>
      </c>
      <c r="EB2" t="s">
        <v>839</v>
      </c>
      <c r="EC2" t="s">
        <v>847</v>
      </c>
      <c r="ED2" t="s">
        <v>848</v>
      </c>
      <c r="EI2">
        <v>370</v>
      </c>
      <c r="EM2" t="s">
        <v>841</v>
      </c>
      <c r="ET2" t="s">
        <v>841</v>
      </c>
      <c r="EZ2" t="s">
        <v>841</v>
      </c>
      <c r="FA2">
        <v>6</v>
      </c>
      <c r="FB2" t="s">
        <v>841</v>
      </c>
      <c r="FL2" t="s">
        <v>841</v>
      </c>
      <c r="FM2">
        <v>5000</v>
      </c>
      <c r="FO2">
        <v>4</v>
      </c>
      <c r="FP2">
        <v>5</v>
      </c>
      <c r="FQ2">
        <v>9</v>
      </c>
      <c r="FS2" t="s">
        <v>842</v>
      </c>
      <c r="FT2" t="s">
        <v>842</v>
      </c>
      <c r="FU2" t="s">
        <v>839</v>
      </c>
      <c r="FV2" t="s">
        <v>839</v>
      </c>
      <c r="FW2" t="s">
        <v>842</v>
      </c>
      <c r="FY2" t="s">
        <v>842</v>
      </c>
      <c r="FZ2" t="s">
        <v>842</v>
      </c>
      <c r="GA2" t="s">
        <v>839</v>
      </c>
      <c r="GB2" t="s">
        <v>839</v>
      </c>
      <c r="GC2" t="s">
        <v>839</v>
      </c>
      <c r="GD2" t="s">
        <v>842</v>
      </c>
      <c r="GG2" t="s">
        <v>839</v>
      </c>
      <c r="GI2" t="s">
        <v>849</v>
      </c>
      <c r="GJ2">
        <v>1</v>
      </c>
      <c r="GK2">
        <v>0</v>
      </c>
      <c r="GL2">
        <v>0</v>
      </c>
      <c r="GM2">
        <v>0</v>
      </c>
      <c r="GN2">
        <v>0</v>
      </c>
      <c r="GO2">
        <v>0</v>
      </c>
      <c r="GP2">
        <v>0</v>
      </c>
      <c r="GQ2">
        <v>0</v>
      </c>
      <c r="GR2">
        <v>0</v>
      </c>
      <c r="GS2">
        <v>0</v>
      </c>
      <c r="GT2">
        <v>0</v>
      </c>
      <c r="GU2">
        <v>0</v>
      </c>
      <c r="GV2">
        <v>0</v>
      </c>
      <c r="GW2">
        <v>0</v>
      </c>
      <c r="GX2">
        <v>0</v>
      </c>
      <c r="GY2">
        <v>0</v>
      </c>
      <c r="GZ2">
        <v>0</v>
      </c>
      <c r="HB2" t="s">
        <v>842</v>
      </c>
      <c r="HC2" s="155" t="s">
        <v>850</v>
      </c>
    </row>
    <row r="3" spans="1:215" x14ac:dyDescent="0.35">
      <c r="A3" t="s">
        <v>851</v>
      </c>
      <c r="B3" s="151">
        <v>44876.808310185188</v>
      </c>
      <c r="C3" t="s">
        <v>852</v>
      </c>
      <c r="D3" t="s">
        <v>853</v>
      </c>
      <c r="E3" t="s">
        <v>835</v>
      </c>
      <c r="F3" t="s">
        <v>854</v>
      </c>
      <c r="G3" t="s">
        <v>854</v>
      </c>
      <c r="H3" t="s">
        <v>839</v>
      </c>
      <c r="I3" t="s">
        <v>838</v>
      </c>
      <c r="K3" t="s">
        <v>842</v>
      </c>
      <c r="O3">
        <v>33</v>
      </c>
      <c r="P3">
        <v>24</v>
      </c>
      <c r="Q3">
        <v>57</v>
      </c>
      <c r="T3" t="s">
        <v>841</v>
      </c>
      <c r="U3" t="s">
        <v>841</v>
      </c>
      <c r="V3" t="s">
        <v>841</v>
      </c>
      <c r="W3" t="s">
        <v>841</v>
      </c>
      <c r="X3" t="s">
        <v>841</v>
      </c>
      <c r="Y3" t="s">
        <v>841</v>
      </c>
      <c r="Z3" t="s">
        <v>841</v>
      </c>
      <c r="AH3">
        <v>0</v>
      </c>
      <c r="AI3">
        <v>1</v>
      </c>
      <c r="AJ3">
        <v>1</v>
      </c>
      <c r="AK3">
        <v>1</v>
      </c>
      <c r="AL3">
        <v>1</v>
      </c>
      <c r="AM3">
        <v>1</v>
      </c>
      <c r="AN3">
        <v>1</v>
      </c>
      <c r="AO3">
        <v>1</v>
      </c>
      <c r="BV3" t="s">
        <v>839</v>
      </c>
      <c r="BW3" t="s">
        <v>758</v>
      </c>
      <c r="BX3" t="s">
        <v>839</v>
      </c>
      <c r="BY3" t="s">
        <v>759</v>
      </c>
      <c r="BZ3" t="s">
        <v>839</v>
      </c>
      <c r="CA3" t="s">
        <v>839</v>
      </c>
      <c r="CC3" t="s">
        <v>842</v>
      </c>
      <c r="CD3" t="s">
        <v>855</v>
      </c>
      <c r="CG3">
        <v>3</v>
      </c>
      <c r="CH3">
        <v>1</v>
      </c>
      <c r="CI3">
        <v>1</v>
      </c>
      <c r="CJ3">
        <v>1</v>
      </c>
      <c r="CK3" t="s">
        <v>856</v>
      </c>
      <c r="CM3" t="s">
        <v>844</v>
      </c>
      <c r="CN3">
        <v>1</v>
      </c>
      <c r="CO3">
        <v>0</v>
      </c>
      <c r="CP3">
        <v>0</v>
      </c>
      <c r="CQ3">
        <v>0</v>
      </c>
      <c r="CR3">
        <v>0</v>
      </c>
      <c r="CS3">
        <v>0</v>
      </c>
      <c r="CU3" t="s">
        <v>857</v>
      </c>
      <c r="CV3">
        <v>1</v>
      </c>
      <c r="CW3">
        <v>0</v>
      </c>
      <c r="CX3">
        <v>1</v>
      </c>
      <c r="CY3">
        <v>0</v>
      </c>
      <c r="CZ3">
        <v>0</v>
      </c>
      <c r="DA3">
        <v>1</v>
      </c>
      <c r="DB3">
        <v>0</v>
      </c>
      <c r="DC3">
        <v>1</v>
      </c>
      <c r="DD3">
        <v>1</v>
      </c>
      <c r="DE3">
        <v>1</v>
      </c>
      <c r="DF3">
        <v>0</v>
      </c>
      <c r="DJ3">
        <v>4</v>
      </c>
      <c r="DK3">
        <v>4</v>
      </c>
      <c r="DL3">
        <v>8</v>
      </c>
      <c r="DN3">
        <v>400</v>
      </c>
      <c r="DP3">
        <v>600</v>
      </c>
      <c r="DQ3" t="s">
        <v>858</v>
      </c>
      <c r="DR3">
        <v>0</v>
      </c>
      <c r="DS3">
        <v>0</v>
      </c>
      <c r="DT3">
        <v>1</v>
      </c>
      <c r="DU3">
        <v>0</v>
      </c>
      <c r="DV3">
        <v>1</v>
      </c>
      <c r="DW3">
        <v>0</v>
      </c>
      <c r="DX3">
        <v>0</v>
      </c>
      <c r="DY3">
        <v>0</v>
      </c>
      <c r="DZ3">
        <v>0</v>
      </c>
      <c r="EB3" t="s">
        <v>839</v>
      </c>
      <c r="EC3" t="s">
        <v>847</v>
      </c>
      <c r="ED3" t="s">
        <v>848</v>
      </c>
      <c r="EI3">
        <v>200</v>
      </c>
      <c r="EM3" t="s">
        <v>841</v>
      </c>
      <c r="EO3">
        <v>250</v>
      </c>
      <c r="ES3" t="s">
        <v>841</v>
      </c>
      <c r="EZ3" t="s">
        <v>841</v>
      </c>
      <c r="FA3">
        <v>3</v>
      </c>
      <c r="FB3" t="s">
        <v>841</v>
      </c>
      <c r="FG3">
        <v>3</v>
      </c>
      <c r="FH3" t="s">
        <v>841</v>
      </c>
      <c r="FM3">
        <v>500</v>
      </c>
      <c r="FO3">
        <v>3</v>
      </c>
      <c r="FP3">
        <v>3</v>
      </c>
      <c r="FQ3">
        <v>6</v>
      </c>
      <c r="FS3" t="s">
        <v>839</v>
      </c>
      <c r="FT3" t="s">
        <v>839</v>
      </c>
      <c r="FU3" t="s">
        <v>842</v>
      </c>
      <c r="FV3" t="s">
        <v>842</v>
      </c>
      <c r="FW3" t="s">
        <v>842</v>
      </c>
      <c r="FY3" t="s">
        <v>842</v>
      </c>
      <c r="FZ3" t="s">
        <v>842</v>
      </c>
      <c r="GA3" t="s">
        <v>842</v>
      </c>
      <c r="GB3" t="s">
        <v>842</v>
      </c>
      <c r="GC3" t="s">
        <v>842</v>
      </c>
      <c r="GD3" t="s">
        <v>842</v>
      </c>
      <c r="GG3" t="s">
        <v>842</v>
      </c>
      <c r="GI3" t="s">
        <v>859</v>
      </c>
      <c r="GJ3">
        <v>0</v>
      </c>
      <c r="GK3">
        <v>0</v>
      </c>
      <c r="GL3">
        <v>0</v>
      </c>
      <c r="GM3">
        <v>0</v>
      </c>
      <c r="GN3">
        <v>1</v>
      </c>
      <c r="GO3">
        <v>0</v>
      </c>
      <c r="GP3">
        <v>1</v>
      </c>
      <c r="GQ3">
        <v>0</v>
      </c>
      <c r="GR3">
        <v>0</v>
      </c>
      <c r="GS3">
        <v>0</v>
      </c>
      <c r="GT3">
        <v>0</v>
      </c>
      <c r="GU3">
        <v>1</v>
      </c>
      <c r="GV3">
        <v>0</v>
      </c>
      <c r="GW3">
        <v>0</v>
      </c>
      <c r="GX3">
        <v>0</v>
      </c>
      <c r="GY3">
        <v>1</v>
      </c>
      <c r="GZ3">
        <v>0</v>
      </c>
      <c r="HA3" t="s">
        <v>860</v>
      </c>
      <c r="HB3" t="s">
        <v>839</v>
      </c>
    </row>
    <row r="4" spans="1:215" x14ac:dyDescent="0.35">
      <c r="A4" t="s">
        <v>861</v>
      </c>
      <c r="B4" s="151">
        <v>44876.815358796302</v>
      </c>
      <c r="C4" t="s">
        <v>862</v>
      </c>
      <c r="D4" t="s">
        <v>863</v>
      </c>
      <c r="E4" t="s">
        <v>835</v>
      </c>
      <c r="F4" t="s">
        <v>864</v>
      </c>
      <c r="G4" t="s">
        <v>865</v>
      </c>
      <c r="H4" t="s">
        <v>839</v>
      </c>
      <c r="I4" t="s">
        <v>838</v>
      </c>
      <c r="K4" t="s">
        <v>842</v>
      </c>
      <c r="O4">
        <v>20</v>
      </c>
      <c r="P4">
        <v>31</v>
      </c>
      <c r="Q4">
        <v>51</v>
      </c>
      <c r="S4" t="s">
        <v>841</v>
      </c>
      <c r="T4" t="s">
        <v>841</v>
      </c>
      <c r="U4" t="s">
        <v>841</v>
      </c>
      <c r="V4" t="s">
        <v>841</v>
      </c>
      <c r="W4" t="s">
        <v>841</v>
      </c>
      <c r="AH4">
        <v>1</v>
      </c>
      <c r="AJ4">
        <v>1</v>
      </c>
      <c r="AK4">
        <v>1</v>
      </c>
      <c r="AL4">
        <v>1</v>
      </c>
      <c r="AZ4" t="s">
        <v>841</v>
      </c>
      <c r="BM4" t="s">
        <v>841</v>
      </c>
      <c r="BS4" t="s">
        <v>841</v>
      </c>
      <c r="BV4" t="s">
        <v>842</v>
      </c>
      <c r="BX4" t="s">
        <v>842</v>
      </c>
      <c r="BZ4" t="s">
        <v>839</v>
      </c>
      <c r="CA4" t="s">
        <v>839</v>
      </c>
      <c r="CC4" t="s">
        <v>839</v>
      </c>
      <c r="CD4" t="s">
        <v>855</v>
      </c>
      <c r="CG4">
        <v>3</v>
      </c>
      <c r="CH4">
        <v>1</v>
      </c>
      <c r="CI4">
        <v>1</v>
      </c>
      <c r="CJ4">
        <v>0</v>
      </c>
      <c r="CK4" t="s">
        <v>866</v>
      </c>
      <c r="CM4" t="s">
        <v>867</v>
      </c>
      <c r="CN4">
        <v>0</v>
      </c>
      <c r="CO4">
        <v>1</v>
      </c>
      <c r="CP4">
        <v>0</v>
      </c>
      <c r="CQ4">
        <v>0</v>
      </c>
      <c r="CR4">
        <v>0</v>
      </c>
      <c r="CS4">
        <v>0</v>
      </c>
      <c r="CU4" t="s">
        <v>868</v>
      </c>
      <c r="CV4">
        <v>1</v>
      </c>
      <c r="CW4">
        <v>0</v>
      </c>
      <c r="CX4">
        <v>1</v>
      </c>
      <c r="CY4">
        <v>0</v>
      </c>
      <c r="CZ4">
        <v>0</v>
      </c>
      <c r="DA4">
        <v>0</v>
      </c>
      <c r="DB4">
        <v>0</v>
      </c>
      <c r="DC4">
        <v>0</v>
      </c>
      <c r="DD4">
        <v>1</v>
      </c>
      <c r="DE4">
        <v>1</v>
      </c>
      <c r="DF4">
        <v>0</v>
      </c>
      <c r="DJ4">
        <v>1</v>
      </c>
      <c r="DK4">
        <v>4</v>
      </c>
      <c r="DL4">
        <v>5</v>
      </c>
      <c r="DN4">
        <v>400</v>
      </c>
      <c r="DP4">
        <v>500</v>
      </c>
      <c r="DQ4" t="s">
        <v>846</v>
      </c>
      <c r="DR4">
        <v>1</v>
      </c>
      <c r="DS4">
        <v>0</v>
      </c>
      <c r="DT4">
        <v>1</v>
      </c>
      <c r="DU4">
        <v>0</v>
      </c>
      <c r="DV4">
        <v>0</v>
      </c>
      <c r="DW4">
        <v>1</v>
      </c>
      <c r="DX4">
        <v>0</v>
      </c>
      <c r="DY4">
        <v>0</v>
      </c>
      <c r="DZ4">
        <v>0</v>
      </c>
      <c r="EB4" t="s">
        <v>839</v>
      </c>
      <c r="EC4" t="s">
        <v>869</v>
      </c>
      <c r="ED4" t="s">
        <v>848</v>
      </c>
      <c r="EI4" s="157">
        <v>100</v>
      </c>
      <c r="EJ4" s="157"/>
      <c r="EK4" s="157"/>
      <c r="EL4" s="157"/>
      <c r="EM4" s="157" t="s">
        <v>841</v>
      </c>
      <c r="EN4" s="157"/>
      <c r="EO4" s="157">
        <v>100</v>
      </c>
      <c r="EP4" s="157"/>
      <c r="EQ4" s="157"/>
      <c r="ER4" s="157"/>
      <c r="ES4" s="157" t="s">
        <v>841</v>
      </c>
      <c r="ET4" s="157"/>
      <c r="EU4" s="157">
        <v>250</v>
      </c>
      <c r="EV4" s="157"/>
      <c r="EW4" s="157"/>
      <c r="EX4" s="157"/>
      <c r="EY4" s="157" t="s">
        <v>841</v>
      </c>
      <c r="EZ4" s="157"/>
      <c r="FA4" s="157">
        <v>8</v>
      </c>
      <c r="FB4" s="157" t="s">
        <v>841</v>
      </c>
      <c r="FC4" s="157"/>
      <c r="FD4" s="157"/>
      <c r="FE4" s="157"/>
      <c r="FF4" s="157"/>
      <c r="FG4" s="157"/>
      <c r="FH4" s="157"/>
      <c r="FI4" s="157"/>
      <c r="FJ4" s="157"/>
      <c r="FK4" s="157"/>
      <c r="FL4" s="157" t="s">
        <v>841</v>
      </c>
      <c r="FM4">
        <v>650</v>
      </c>
      <c r="FO4">
        <v>0</v>
      </c>
      <c r="FP4">
        <v>0</v>
      </c>
      <c r="FQ4">
        <v>0</v>
      </c>
      <c r="FS4" t="s">
        <v>839</v>
      </c>
      <c r="FT4" t="s">
        <v>842</v>
      </c>
      <c r="FU4" t="s">
        <v>842</v>
      </c>
      <c r="FV4" t="s">
        <v>839</v>
      </c>
      <c r="FW4" t="s">
        <v>682</v>
      </c>
      <c r="FY4" t="s">
        <v>842</v>
      </c>
      <c r="FZ4" t="s">
        <v>842</v>
      </c>
      <c r="GA4" t="s">
        <v>839</v>
      </c>
      <c r="GB4" t="s">
        <v>842</v>
      </c>
      <c r="GC4" t="s">
        <v>842</v>
      </c>
      <c r="GD4" t="s">
        <v>842</v>
      </c>
      <c r="GG4" t="s">
        <v>668</v>
      </c>
      <c r="GI4" t="s">
        <v>870</v>
      </c>
      <c r="GJ4">
        <v>1</v>
      </c>
      <c r="GK4">
        <v>0</v>
      </c>
      <c r="GL4">
        <v>1</v>
      </c>
      <c r="GM4">
        <v>0</v>
      </c>
      <c r="GN4">
        <v>0</v>
      </c>
      <c r="GO4">
        <v>0</v>
      </c>
      <c r="GP4">
        <v>0</v>
      </c>
      <c r="GQ4">
        <v>0</v>
      </c>
      <c r="GR4">
        <v>0</v>
      </c>
      <c r="GS4">
        <v>0</v>
      </c>
      <c r="GT4">
        <v>0</v>
      </c>
      <c r="GU4">
        <v>0</v>
      </c>
      <c r="GV4">
        <v>0</v>
      </c>
      <c r="GW4">
        <v>0</v>
      </c>
      <c r="GX4">
        <v>0</v>
      </c>
      <c r="GY4">
        <v>0</v>
      </c>
      <c r="GZ4">
        <v>0</v>
      </c>
      <c r="HB4" t="s">
        <v>842</v>
      </c>
      <c r="HC4" t="s">
        <v>871</v>
      </c>
    </row>
    <row r="5" spans="1:215" x14ac:dyDescent="0.35">
      <c r="A5" t="s">
        <v>872</v>
      </c>
      <c r="B5" s="151">
        <v>44876.824004629627</v>
      </c>
      <c r="C5" t="s">
        <v>873</v>
      </c>
      <c r="D5" t="s">
        <v>874</v>
      </c>
      <c r="E5" t="s">
        <v>875</v>
      </c>
      <c r="F5" t="s">
        <v>876</v>
      </c>
      <c r="G5" t="s">
        <v>876</v>
      </c>
      <c r="H5" t="s">
        <v>839</v>
      </c>
      <c r="I5" t="s">
        <v>838</v>
      </c>
      <c r="K5" t="s">
        <v>842</v>
      </c>
      <c r="O5">
        <v>293</v>
      </c>
      <c r="P5">
        <v>225</v>
      </c>
      <c r="Q5">
        <v>518</v>
      </c>
      <c r="S5" t="s">
        <v>841</v>
      </c>
      <c r="T5" t="s">
        <v>841</v>
      </c>
      <c r="U5" t="s">
        <v>841</v>
      </c>
      <c r="V5" t="s">
        <v>841</v>
      </c>
      <c r="W5" t="s">
        <v>841</v>
      </c>
      <c r="X5" t="s">
        <v>841</v>
      </c>
      <c r="Y5" t="s">
        <v>841</v>
      </c>
      <c r="Z5" t="s">
        <v>841</v>
      </c>
      <c r="AA5" t="s">
        <v>841</v>
      </c>
      <c r="AB5" t="s">
        <v>841</v>
      </c>
      <c r="AC5" t="s">
        <v>841</v>
      </c>
      <c r="AD5" t="s">
        <v>841</v>
      </c>
      <c r="AE5" t="s">
        <v>841</v>
      </c>
      <c r="AF5" t="s">
        <v>841</v>
      </c>
      <c r="AH5">
        <v>1</v>
      </c>
      <c r="AI5">
        <v>1</v>
      </c>
      <c r="AJ5">
        <v>1</v>
      </c>
      <c r="AK5">
        <v>1</v>
      </c>
      <c r="AL5">
        <v>1</v>
      </c>
      <c r="AM5">
        <v>2</v>
      </c>
      <c r="AN5">
        <v>2</v>
      </c>
      <c r="AO5">
        <v>2</v>
      </c>
      <c r="AP5">
        <v>1</v>
      </c>
      <c r="AQ5">
        <v>1</v>
      </c>
      <c r="AR5">
        <v>1</v>
      </c>
      <c r="AS5">
        <v>1</v>
      </c>
      <c r="AT5">
        <v>1</v>
      </c>
      <c r="AU5">
        <v>1</v>
      </c>
      <c r="AW5">
        <v>10</v>
      </c>
      <c r="AX5">
        <v>7</v>
      </c>
      <c r="AY5">
        <v>17</v>
      </c>
      <c r="BB5">
        <v>8</v>
      </c>
      <c r="BC5">
        <v>6</v>
      </c>
      <c r="BD5">
        <v>14</v>
      </c>
      <c r="BF5">
        <v>2</v>
      </c>
      <c r="BG5">
        <v>1</v>
      </c>
      <c r="BH5">
        <v>3</v>
      </c>
      <c r="BJ5">
        <v>18</v>
      </c>
      <c r="BK5">
        <v>16</v>
      </c>
      <c r="BL5">
        <v>34</v>
      </c>
      <c r="BP5">
        <v>10</v>
      </c>
      <c r="BQ5">
        <v>7</v>
      </c>
      <c r="BR5">
        <v>17</v>
      </c>
      <c r="BV5" t="s">
        <v>839</v>
      </c>
      <c r="BW5" t="s">
        <v>759</v>
      </c>
      <c r="BX5" t="s">
        <v>839</v>
      </c>
      <c r="BY5" t="s">
        <v>759</v>
      </c>
      <c r="BZ5" t="s">
        <v>839</v>
      </c>
      <c r="CA5" t="s">
        <v>839</v>
      </c>
      <c r="CC5" t="s">
        <v>839</v>
      </c>
      <c r="CD5" t="s">
        <v>855</v>
      </c>
      <c r="CG5">
        <v>3</v>
      </c>
      <c r="CH5">
        <v>1</v>
      </c>
      <c r="CI5">
        <v>2</v>
      </c>
      <c r="CJ5">
        <v>0</v>
      </c>
      <c r="CK5" t="s">
        <v>877</v>
      </c>
      <c r="CM5" t="s">
        <v>844</v>
      </c>
      <c r="CN5">
        <v>1</v>
      </c>
      <c r="CO5">
        <v>0</v>
      </c>
      <c r="CP5">
        <v>0</v>
      </c>
      <c r="CQ5">
        <v>0</v>
      </c>
      <c r="CR5">
        <v>0</v>
      </c>
      <c r="CS5">
        <v>0</v>
      </c>
      <c r="CU5" t="s">
        <v>878</v>
      </c>
      <c r="CV5">
        <v>1</v>
      </c>
      <c r="CW5">
        <v>0</v>
      </c>
      <c r="CX5">
        <v>1</v>
      </c>
      <c r="CY5">
        <v>1</v>
      </c>
      <c r="CZ5">
        <v>1</v>
      </c>
      <c r="DA5">
        <v>0</v>
      </c>
      <c r="DB5">
        <v>0</v>
      </c>
      <c r="DC5">
        <v>0</v>
      </c>
      <c r="DD5">
        <v>1</v>
      </c>
      <c r="DE5">
        <v>0</v>
      </c>
      <c r="DF5">
        <v>0</v>
      </c>
      <c r="DJ5">
        <v>12</v>
      </c>
      <c r="DK5">
        <v>10</v>
      </c>
      <c r="DL5">
        <v>22</v>
      </c>
      <c r="DN5">
        <v>300</v>
      </c>
      <c r="DP5">
        <v>1500</v>
      </c>
      <c r="DQ5" t="s">
        <v>879</v>
      </c>
      <c r="DR5">
        <v>1</v>
      </c>
      <c r="DS5">
        <v>0</v>
      </c>
      <c r="DT5">
        <v>0</v>
      </c>
      <c r="DU5">
        <v>0</v>
      </c>
      <c r="DV5">
        <v>1</v>
      </c>
      <c r="DW5">
        <v>0</v>
      </c>
      <c r="DX5">
        <v>0</v>
      </c>
      <c r="DY5">
        <v>0</v>
      </c>
      <c r="DZ5">
        <v>0</v>
      </c>
      <c r="EB5" t="s">
        <v>839</v>
      </c>
      <c r="EC5" t="s">
        <v>869</v>
      </c>
      <c r="ED5" t="s">
        <v>848</v>
      </c>
      <c r="EI5">
        <v>480</v>
      </c>
      <c r="EM5" t="s">
        <v>841</v>
      </c>
      <c r="EO5">
        <v>490</v>
      </c>
      <c r="ES5" t="s">
        <v>841</v>
      </c>
      <c r="EU5">
        <v>520</v>
      </c>
      <c r="EY5" t="s">
        <v>841</v>
      </c>
      <c r="FA5">
        <v>6.5</v>
      </c>
      <c r="FB5" t="s">
        <v>841</v>
      </c>
      <c r="FG5">
        <v>7</v>
      </c>
      <c r="FH5" t="s">
        <v>841</v>
      </c>
      <c r="FM5">
        <v>1000</v>
      </c>
      <c r="FO5">
        <v>2</v>
      </c>
      <c r="FP5">
        <v>1</v>
      </c>
      <c r="FQ5">
        <v>3</v>
      </c>
      <c r="FS5" t="s">
        <v>842</v>
      </c>
      <c r="FT5" t="s">
        <v>839</v>
      </c>
      <c r="FU5" t="s">
        <v>839</v>
      </c>
      <c r="FV5" t="s">
        <v>839</v>
      </c>
      <c r="FW5" t="s">
        <v>839</v>
      </c>
      <c r="FX5" t="s">
        <v>880</v>
      </c>
      <c r="FY5" t="s">
        <v>842</v>
      </c>
      <c r="FZ5" t="s">
        <v>839</v>
      </c>
      <c r="GA5" t="s">
        <v>839</v>
      </c>
      <c r="GB5" t="s">
        <v>839</v>
      </c>
      <c r="GC5" t="s">
        <v>842</v>
      </c>
      <c r="GD5" t="s">
        <v>839</v>
      </c>
      <c r="GE5" t="s">
        <v>881</v>
      </c>
      <c r="GG5" t="s">
        <v>842</v>
      </c>
      <c r="GI5" t="s">
        <v>882</v>
      </c>
      <c r="GJ5">
        <v>0</v>
      </c>
      <c r="GK5">
        <v>1</v>
      </c>
      <c r="GL5">
        <v>0</v>
      </c>
      <c r="GM5">
        <v>0</v>
      </c>
      <c r="GN5">
        <v>0</v>
      </c>
      <c r="GO5">
        <v>0</v>
      </c>
      <c r="GP5">
        <v>0</v>
      </c>
      <c r="GQ5">
        <v>0</v>
      </c>
      <c r="GR5">
        <v>0</v>
      </c>
      <c r="GS5">
        <v>0</v>
      </c>
      <c r="GT5">
        <v>0</v>
      </c>
      <c r="GU5">
        <v>0</v>
      </c>
      <c r="GV5">
        <v>0</v>
      </c>
      <c r="GW5">
        <v>0</v>
      </c>
      <c r="GX5">
        <v>0</v>
      </c>
      <c r="GY5">
        <v>0</v>
      </c>
      <c r="GZ5">
        <v>0</v>
      </c>
      <c r="HB5" t="s">
        <v>839</v>
      </c>
    </row>
    <row r="6" spans="1:215" x14ac:dyDescent="0.35">
      <c r="A6" t="s">
        <v>883</v>
      </c>
      <c r="B6" s="151">
        <v>44877.5075</v>
      </c>
      <c r="C6" t="s">
        <v>884</v>
      </c>
      <c r="D6" t="s">
        <v>885</v>
      </c>
      <c r="E6" t="s">
        <v>875</v>
      </c>
      <c r="F6" t="s">
        <v>886</v>
      </c>
      <c r="G6" t="s">
        <v>886</v>
      </c>
      <c r="H6" t="s">
        <v>839</v>
      </c>
      <c r="I6" t="s">
        <v>838</v>
      </c>
      <c r="K6" t="s">
        <v>839</v>
      </c>
      <c r="L6" t="s">
        <v>887</v>
      </c>
      <c r="O6">
        <v>45</v>
      </c>
      <c r="P6">
        <v>44</v>
      </c>
      <c r="Q6">
        <v>89</v>
      </c>
      <c r="S6" t="s">
        <v>841</v>
      </c>
      <c r="T6" t="s">
        <v>841</v>
      </c>
      <c r="U6" t="s">
        <v>841</v>
      </c>
      <c r="V6" t="s">
        <v>841</v>
      </c>
      <c r="W6" t="s">
        <v>841</v>
      </c>
      <c r="X6" t="s">
        <v>841</v>
      </c>
      <c r="Y6" t="s">
        <v>841</v>
      </c>
      <c r="Z6" t="s">
        <v>841</v>
      </c>
      <c r="AH6">
        <v>1</v>
      </c>
      <c r="AI6">
        <v>1</v>
      </c>
      <c r="AJ6">
        <v>2</v>
      </c>
      <c r="AK6">
        <v>1</v>
      </c>
      <c r="AL6">
        <v>1</v>
      </c>
      <c r="AM6">
        <v>1</v>
      </c>
      <c r="AN6">
        <v>1</v>
      </c>
      <c r="AO6">
        <v>1</v>
      </c>
      <c r="AP6">
        <v>0</v>
      </c>
      <c r="AQ6">
        <v>0</v>
      </c>
      <c r="AR6">
        <v>0</v>
      </c>
      <c r="AS6">
        <v>0</v>
      </c>
      <c r="AT6">
        <v>0</v>
      </c>
      <c r="AU6">
        <v>0</v>
      </c>
      <c r="AZ6" t="s">
        <v>841</v>
      </c>
      <c r="BM6" t="s">
        <v>841</v>
      </c>
      <c r="BS6" t="s">
        <v>841</v>
      </c>
      <c r="BV6" t="s">
        <v>839</v>
      </c>
      <c r="BW6" t="s">
        <v>759</v>
      </c>
      <c r="BX6" t="s">
        <v>839</v>
      </c>
      <c r="BY6" t="s">
        <v>759</v>
      </c>
      <c r="BZ6" t="s">
        <v>839</v>
      </c>
      <c r="CA6" t="s">
        <v>839</v>
      </c>
      <c r="CC6" t="s">
        <v>839</v>
      </c>
      <c r="CD6" t="s">
        <v>855</v>
      </c>
      <c r="CG6">
        <v>6</v>
      </c>
      <c r="CH6">
        <v>2</v>
      </c>
      <c r="CI6">
        <v>2</v>
      </c>
      <c r="CJ6">
        <v>0</v>
      </c>
      <c r="CK6" t="s">
        <v>877</v>
      </c>
      <c r="CM6" t="s">
        <v>844</v>
      </c>
      <c r="CN6">
        <v>1</v>
      </c>
      <c r="CO6">
        <v>0</v>
      </c>
      <c r="CP6">
        <v>0</v>
      </c>
      <c r="CQ6">
        <v>0</v>
      </c>
      <c r="CR6">
        <v>0</v>
      </c>
      <c r="CS6">
        <v>0</v>
      </c>
      <c r="CU6" t="s">
        <v>888</v>
      </c>
      <c r="CV6">
        <v>1</v>
      </c>
      <c r="CW6">
        <v>1</v>
      </c>
      <c r="CX6">
        <v>1</v>
      </c>
      <c r="CY6">
        <v>0</v>
      </c>
      <c r="CZ6">
        <v>0</v>
      </c>
      <c r="DA6">
        <v>0</v>
      </c>
      <c r="DB6">
        <v>0</v>
      </c>
      <c r="DC6">
        <v>0</v>
      </c>
      <c r="DD6">
        <v>1</v>
      </c>
      <c r="DE6">
        <v>0</v>
      </c>
      <c r="DF6">
        <v>0</v>
      </c>
      <c r="DJ6">
        <v>3</v>
      </c>
      <c r="DK6">
        <v>7</v>
      </c>
      <c r="DL6">
        <v>10</v>
      </c>
      <c r="DN6">
        <v>300</v>
      </c>
      <c r="DP6">
        <v>700</v>
      </c>
      <c r="DQ6" t="s">
        <v>889</v>
      </c>
      <c r="DR6">
        <v>1</v>
      </c>
      <c r="DS6">
        <v>1</v>
      </c>
      <c r="DT6">
        <v>0</v>
      </c>
      <c r="DU6">
        <v>0</v>
      </c>
      <c r="DV6">
        <v>1</v>
      </c>
      <c r="DW6">
        <v>0</v>
      </c>
      <c r="DX6">
        <v>0</v>
      </c>
      <c r="DY6">
        <v>0</v>
      </c>
      <c r="DZ6">
        <v>0</v>
      </c>
      <c r="EB6" t="s">
        <v>839</v>
      </c>
      <c r="EC6" t="s">
        <v>869</v>
      </c>
      <c r="ED6" t="s">
        <v>848</v>
      </c>
      <c r="EI6" s="157"/>
      <c r="EJ6" s="157"/>
      <c r="EK6" s="157"/>
      <c r="EL6" s="157"/>
      <c r="EM6" s="157"/>
      <c r="EN6" s="157" t="s">
        <v>841</v>
      </c>
      <c r="EO6" s="157"/>
      <c r="EP6" s="157"/>
      <c r="EQ6" s="157"/>
      <c r="ER6" s="157"/>
      <c r="ES6" s="157"/>
      <c r="ET6" s="157" t="s">
        <v>841</v>
      </c>
      <c r="EU6" s="157"/>
      <c r="EV6" s="157"/>
      <c r="EW6" s="157"/>
      <c r="EX6" s="157"/>
      <c r="EY6" s="157"/>
      <c r="EZ6" s="157" t="s">
        <v>841</v>
      </c>
      <c r="FA6" s="157"/>
      <c r="FB6" s="157"/>
      <c r="FC6" s="157"/>
      <c r="FD6" s="157"/>
      <c r="FE6" s="157"/>
      <c r="FF6" s="157" t="s">
        <v>841</v>
      </c>
      <c r="FG6" s="157"/>
      <c r="FH6" s="157"/>
      <c r="FI6" s="157"/>
      <c r="FJ6" s="157"/>
      <c r="FK6" s="157"/>
      <c r="FL6" s="157" t="s">
        <v>841</v>
      </c>
      <c r="FM6">
        <v>400</v>
      </c>
      <c r="FO6">
        <v>0</v>
      </c>
      <c r="FP6">
        <v>0</v>
      </c>
      <c r="FQ6">
        <v>0</v>
      </c>
      <c r="FS6" t="s">
        <v>839</v>
      </c>
      <c r="FT6" t="s">
        <v>842</v>
      </c>
      <c r="FU6" t="s">
        <v>839</v>
      </c>
      <c r="FV6" t="s">
        <v>839</v>
      </c>
      <c r="FW6" t="s">
        <v>839</v>
      </c>
      <c r="FX6" t="s">
        <v>890</v>
      </c>
      <c r="FY6" t="s">
        <v>839</v>
      </c>
      <c r="FZ6" t="s">
        <v>839</v>
      </c>
      <c r="GA6" t="s">
        <v>842</v>
      </c>
      <c r="GB6" t="s">
        <v>842</v>
      </c>
      <c r="GC6" t="s">
        <v>842</v>
      </c>
      <c r="GD6" t="s">
        <v>839</v>
      </c>
      <c r="GE6" t="s">
        <v>881</v>
      </c>
      <c r="GG6" t="s">
        <v>839</v>
      </c>
      <c r="GI6" t="s">
        <v>891</v>
      </c>
      <c r="GJ6">
        <v>1</v>
      </c>
      <c r="GK6">
        <v>0</v>
      </c>
      <c r="GL6">
        <v>0</v>
      </c>
      <c r="GM6">
        <v>0</v>
      </c>
      <c r="GN6">
        <v>0</v>
      </c>
      <c r="GO6">
        <v>1</v>
      </c>
      <c r="GP6">
        <v>1</v>
      </c>
      <c r="GQ6">
        <v>0</v>
      </c>
      <c r="GR6">
        <v>0</v>
      </c>
      <c r="GS6">
        <v>0</v>
      </c>
      <c r="GT6">
        <v>0</v>
      </c>
      <c r="GU6">
        <v>0</v>
      </c>
      <c r="GV6">
        <v>0</v>
      </c>
      <c r="GW6">
        <v>0</v>
      </c>
      <c r="GX6">
        <v>0</v>
      </c>
      <c r="GY6">
        <v>0</v>
      </c>
      <c r="GZ6">
        <v>0</v>
      </c>
      <c r="HB6" t="s">
        <v>839</v>
      </c>
    </row>
    <row r="7" spans="1:215" x14ac:dyDescent="0.35">
      <c r="A7" t="s">
        <v>892</v>
      </c>
      <c r="B7" s="151">
        <v>44877.91847222222</v>
      </c>
      <c r="C7" t="s">
        <v>893</v>
      </c>
      <c r="D7" t="s">
        <v>894</v>
      </c>
      <c r="E7" t="s">
        <v>835</v>
      </c>
      <c r="F7" t="s">
        <v>895</v>
      </c>
      <c r="G7" t="s">
        <v>839</v>
      </c>
      <c r="H7" t="s">
        <v>839</v>
      </c>
      <c r="I7" t="s">
        <v>896</v>
      </c>
      <c r="K7" t="s">
        <v>839</v>
      </c>
      <c r="L7" t="s">
        <v>897</v>
      </c>
      <c r="O7">
        <v>36</v>
      </c>
      <c r="P7">
        <v>63</v>
      </c>
      <c r="Q7">
        <v>99</v>
      </c>
      <c r="S7" t="s">
        <v>841</v>
      </c>
      <c r="T7" t="s">
        <v>841</v>
      </c>
      <c r="U7" t="s">
        <v>841</v>
      </c>
      <c r="V7" t="s">
        <v>841</v>
      </c>
      <c r="W7" t="s">
        <v>841</v>
      </c>
      <c r="X7" t="s">
        <v>841</v>
      </c>
      <c r="Y7" t="s">
        <v>841</v>
      </c>
      <c r="AH7">
        <v>1</v>
      </c>
      <c r="AI7">
        <v>1</v>
      </c>
      <c r="AJ7">
        <v>1</v>
      </c>
      <c r="AK7">
        <v>1</v>
      </c>
      <c r="AL7">
        <v>1</v>
      </c>
      <c r="AM7">
        <v>1</v>
      </c>
      <c r="AN7">
        <v>1</v>
      </c>
      <c r="AO7">
        <v>0</v>
      </c>
      <c r="AP7">
        <v>0</v>
      </c>
      <c r="AQ7">
        <v>0</v>
      </c>
      <c r="AR7">
        <v>0</v>
      </c>
      <c r="AS7">
        <v>0</v>
      </c>
      <c r="AT7">
        <v>0</v>
      </c>
      <c r="AU7">
        <v>0</v>
      </c>
      <c r="AZ7" t="s">
        <v>841</v>
      </c>
      <c r="BJ7">
        <v>0</v>
      </c>
      <c r="BK7">
        <v>0</v>
      </c>
      <c r="BL7">
        <v>0</v>
      </c>
      <c r="BM7" t="s">
        <v>841</v>
      </c>
      <c r="BP7">
        <v>0</v>
      </c>
      <c r="BQ7">
        <v>0</v>
      </c>
      <c r="BR7">
        <v>0</v>
      </c>
      <c r="BS7" t="s">
        <v>841</v>
      </c>
      <c r="BV7" t="s">
        <v>839</v>
      </c>
      <c r="BW7" t="s">
        <v>758</v>
      </c>
      <c r="BX7" t="s">
        <v>839</v>
      </c>
      <c r="BY7" t="s">
        <v>759</v>
      </c>
      <c r="BZ7" t="s">
        <v>839</v>
      </c>
      <c r="CA7" t="s">
        <v>839</v>
      </c>
      <c r="CC7" t="s">
        <v>839</v>
      </c>
      <c r="CD7" t="s">
        <v>855</v>
      </c>
      <c r="CG7">
        <v>10</v>
      </c>
      <c r="CH7">
        <v>5</v>
      </c>
      <c r="CI7">
        <v>5</v>
      </c>
      <c r="CJ7">
        <v>0</v>
      </c>
      <c r="CK7" t="s">
        <v>877</v>
      </c>
      <c r="CM7" t="s">
        <v>867</v>
      </c>
      <c r="CN7">
        <v>0</v>
      </c>
      <c r="CO7">
        <v>1</v>
      </c>
      <c r="CP7">
        <v>0</v>
      </c>
      <c r="CQ7">
        <v>0</v>
      </c>
      <c r="CR7">
        <v>0</v>
      </c>
      <c r="CS7">
        <v>0</v>
      </c>
      <c r="CU7" t="s">
        <v>898</v>
      </c>
      <c r="CV7">
        <v>1</v>
      </c>
      <c r="CW7">
        <v>0</v>
      </c>
      <c r="CX7">
        <v>1</v>
      </c>
      <c r="CY7">
        <v>1</v>
      </c>
      <c r="CZ7">
        <v>0</v>
      </c>
      <c r="DA7">
        <v>0</v>
      </c>
      <c r="DB7">
        <v>0</v>
      </c>
      <c r="DC7">
        <v>0</v>
      </c>
      <c r="DD7">
        <v>0</v>
      </c>
      <c r="DE7">
        <v>1</v>
      </c>
      <c r="DF7">
        <v>0</v>
      </c>
      <c r="DJ7">
        <v>1</v>
      </c>
      <c r="DK7">
        <v>9</v>
      </c>
      <c r="DL7">
        <v>10</v>
      </c>
      <c r="DN7">
        <v>300</v>
      </c>
      <c r="DP7">
        <v>600</v>
      </c>
      <c r="DQ7" t="s">
        <v>899</v>
      </c>
      <c r="DR7">
        <v>1</v>
      </c>
      <c r="DS7">
        <v>1</v>
      </c>
      <c r="DT7">
        <v>1</v>
      </c>
      <c r="DU7">
        <v>0</v>
      </c>
      <c r="DV7">
        <v>1</v>
      </c>
      <c r="DW7">
        <v>1</v>
      </c>
      <c r="DX7">
        <v>0</v>
      </c>
      <c r="DY7">
        <v>0</v>
      </c>
      <c r="DZ7">
        <v>0</v>
      </c>
      <c r="EB7" t="s">
        <v>839</v>
      </c>
      <c r="EC7" t="s">
        <v>847</v>
      </c>
      <c r="ED7" t="s">
        <v>900</v>
      </c>
      <c r="EI7">
        <v>7.5</v>
      </c>
      <c r="EJ7" t="s">
        <v>841</v>
      </c>
      <c r="EO7">
        <v>7.5</v>
      </c>
      <c r="EP7" t="s">
        <v>841</v>
      </c>
      <c r="EU7">
        <v>7.5</v>
      </c>
      <c r="EV7" t="s">
        <v>841</v>
      </c>
      <c r="FA7">
        <v>0</v>
      </c>
      <c r="FF7" t="s">
        <v>841</v>
      </c>
      <c r="FG7">
        <v>0</v>
      </c>
      <c r="FL7" t="s">
        <v>841</v>
      </c>
      <c r="FM7">
        <v>1500</v>
      </c>
      <c r="FO7">
        <v>2</v>
      </c>
      <c r="FP7">
        <v>2</v>
      </c>
      <c r="FQ7">
        <v>4</v>
      </c>
      <c r="FS7" t="s">
        <v>842</v>
      </c>
      <c r="FT7" t="s">
        <v>842</v>
      </c>
      <c r="FU7" t="s">
        <v>839</v>
      </c>
      <c r="FV7" t="s">
        <v>839</v>
      </c>
      <c r="FW7" t="s">
        <v>682</v>
      </c>
      <c r="FY7" t="s">
        <v>842</v>
      </c>
      <c r="FZ7" t="s">
        <v>842</v>
      </c>
      <c r="GA7" t="s">
        <v>842</v>
      </c>
      <c r="GB7" t="s">
        <v>839</v>
      </c>
      <c r="GC7" t="s">
        <v>842</v>
      </c>
      <c r="GD7" t="s">
        <v>842</v>
      </c>
      <c r="GG7" t="s">
        <v>842</v>
      </c>
      <c r="GI7" t="s">
        <v>901</v>
      </c>
      <c r="GJ7">
        <v>1</v>
      </c>
      <c r="GK7">
        <v>1</v>
      </c>
      <c r="GL7">
        <v>1</v>
      </c>
      <c r="GM7">
        <v>0</v>
      </c>
      <c r="GN7">
        <v>0</v>
      </c>
      <c r="GO7">
        <v>0</v>
      </c>
      <c r="GP7">
        <v>1</v>
      </c>
      <c r="GQ7">
        <v>0</v>
      </c>
      <c r="GR7">
        <v>0</v>
      </c>
      <c r="GS7">
        <v>1</v>
      </c>
      <c r="GT7">
        <v>0</v>
      </c>
      <c r="GU7">
        <v>0</v>
      </c>
      <c r="GV7">
        <v>0</v>
      </c>
      <c r="GW7">
        <v>0</v>
      </c>
      <c r="GX7">
        <v>1</v>
      </c>
      <c r="GY7">
        <v>0</v>
      </c>
      <c r="GZ7">
        <v>0</v>
      </c>
      <c r="HB7" t="s">
        <v>839</v>
      </c>
    </row>
    <row r="8" spans="1:215" x14ac:dyDescent="0.35">
      <c r="A8" t="s">
        <v>902</v>
      </c>
      <c r="B8" s="151">
        <v>44878.780914351853</v>
      </c>
      <c r="C8" t="s">
        <v>903</v>
      </c>
      <c r="D8" t="s">
        <v>904</v>
      </c>
      <c r="E8" t="s">
        <v>835</v>
      </c>
      <c r="F8" t="s">
        <v>905</v>
      </c>
      <c r="G8" t="s">
        <v>905</v>
      </c>
      <c r="H8" t="s">
        <v>839</v>
      </c>
      <c r="I8" t="s">
        <v>838</v>
      </c>
      <c r="K8" t="s">
        <v>842</v>
      </c>
      <c r="O8">
        <v>111</v>
      </c>
      <c r="P8">
        <v>139</v>
      </c>
      <c r="Q8">
        <v>250</v>
      </c>
      <c r="T8" t="s">
        <v>841</v>
      </c>
      <c r="V8" t="s">
        <v>841</v>
      </c>
      <c r="W8" t="s">
        <v>841</v>
      </c>
      <c r="X8" t="s">
        <v>841</v>
      </c>
      <c r="Y8" t="s">
        <v>841</v>
      </c>
      <c r="Z8" t="s">
        <v>841</v>
      </c>
      <c r="AA8" t="s">
        <v>841</v>
      </c>
      <c r="AB8" t="s">
        <v>841</v>
      </c>
      <c r="AC8" t="s">
        <v>841</v>
      </c>
      <c r="AD8" t="s">
        <v>841</v>
      </c>
      <c r="AE8" t="s">
        <v>841</v>
      </c>
      <c r="AF8" t="s">
        <v>841</v>
      </c>
      <c r="AH8">
        <v>0</v>
      </c>
      <c r="AI8">
        <v>45</v>
      </c>
      <c r="AJ8">
        <v>0</v>
      </c>
      <c r="AK8">
        <v>39</v>
      </c>
      <c r="AL8">
        <v>37</v>
      </c>
      <c r="AM8">
        <v>19</v>
      </c>
      <c r="AN8">
        <v>28</v>
      </c>
      <c r="AO8">
        <v>20</v>
      </c>
      <c r="AP8">
        <v>13</v>
      </c>
      <c r="AQ8">
        <v>12</v>
      </c>
      <c r="AR8">
        <v>12</v>
      </c>
      <c r="AS8">
        <v>9</v>
      </c>
      <c r="AT8">
        <v>8</v>
      </c>
      <c r="AU8">
        <v>9</v>
      </c>
      <c r="AW8">
        <v>4</v>
      </c>
      <c r="AX8">
        <v>5</v>
      </c>
      <c r="AY8">
        <v>9</v>
      </c>
      <c r="BB8">
        <v>1</v>
      </c>
      <c r="BC8">
        <v>2</v>
      </c>
      <c r="BD8">
        <v>3</v>
      </c>
      <c r="BF8">
        <v>3</v>
      </c>
      <c r="BG8">
        <v>3</v>
      </c>
      <c r="BH8">
        <v>6</v>
      </c>
      <c r="BJ8">
        <v>7</v>
      </c>
      <c r="BK8">
        <v>8</v>
      </c>
      <c r="BL8">
        <v>15</v>
      </c>
      <c r="BP8">
        <v>4</v>
      </c>
      <c r="BQ8">
        <v>5</v>
      </c>
      <c r="BR8">
        <v>9</v>
      </c>
      <c r="BV8" t="s">
        <v>842</v>
      </c>
      <c r="BX8" t="s">
        <v>839</v>
      </c>
      <c r="BY8" t="s">
        <v>759</v>
      </c>
      <c r="BZ8" t="s">
        <v>839</v>
      </c>
      <c r="CA8" t="s">
        <v>839</v>
      </c>
      <c r="CC8" t="s">
        <v>839</v>
      </c>
      <c r="CD8" t="s">
        <v>855</v>
      </c>
      <c r="CG8">
        <v>3</v>
      </c>
      <c r="CH8">
        <v>1</v>
      </c>
      <c r="CI8">
        <v>1</v>
      </c>
      <c r="CJ8">
        <v>1</v>
      </c>
      <c r="CK8" t="s">
        <v>681</v>
      </c>
      <c r="CM8" t="s">
        <v>906</v>
      </c>
      <c r="CN8">
        <v>0</v>
      </c>
      <c r="CO8">
        <v>1</v>
      </c>
      <c r="CP8">
        <v>1</v>
      </c>
      <c r="CQ8">
        <v>0</v>
      </c>
      <c r="CR8">
        <v>0</v>
      </c>
      <c r="CS8">
        <v>0</v>
      </c>
      <c r="CU8" t="s">
        <v>907</v>
      </c>
      <c r="CV8">
        <v>1</v>
      </c>
      <c r="CW8">
        <v>0</v>
      </c>
      <c r="CX8">
        <v>1</v>
      </c>
      <c r="CY8">
        <v>0</v>
      </c>
      <c r="CZ8">
        <v>0</v>
      </c>
      <c r="DA8">
        <v>0</v>
      </c>
      <c r="DB8">
        <v>0</v>
      </c>
      <c r="DC8">
        <v>0</v>
      </c>
      <c r="DD8">
        <v>1</v>
      </c>
      <c r="DE8">
        <v>0</v>
      </c>
      <c r="DF8">
        <v>0</v>
      </c>
      <c r="DJ8">
        <v>5</v>
      </c>
      <c r="DK8">
        <v>7</v>
      </c>
      <c r="DL8">
        <v>12</v>
      </c>
      <c r="DN8">
        <v>300</v>
      </c>
      <c r="DP8">
        <v>700</v>
      </c>
      <c r="DQ8" t="s">
        <v>908</v>
      </c>
      <c r="DR8">
        <v>1</v>
      </c>
      <c r="DS8">
        <v>1</v>
      </c>
      <c r="DT8">
        <v>1</v>
      </c>
      <c r="DU8">
        <v>0</v>
      </c>
      <c r="DV8">
        <v>1</v>
      </c>
      <c r="DW8">
        <v>0</v>
      </c>
      <c r="DX8">
        <v>0</v>
      </c>
      <c r="DY8">
        <v>0</v>
      </c>
      <c r="DZ8">
        <v>0</v>
      </c>
      <c r="EB8" t="s">
        <v>842</v>
      </c>
      <c r="EC8" t="s">
        <v>909</v>
      </c>
      <c r="ED8" t="s">
        <v>848</v>
      </c>
      <c r="EI8">
        <v>120</v>
      </c>
      <c r="EJ8" t="s">
        <v>841</v>
      </c>
      <c r="EO8">
        <v>180</v>
      </c>
      <c r="ES8" t="s">
        <v>841</v>
      </c>
      <c r="EU8">
        <v>350</v>
      </c>
      <c r="EY8" t="s">
        <v>841</v>
      </c>
      <c r="FA8">
        <v>5</v>
      </c>
      <c r="FL8" t="s">
        <v>841</v>
      </c>
      <c r="FM8">
        <v>520</v>
      </c>
      <c r="FO8">
        <v>0</v>
      </c>
      <c r="FP8">
        <v>0</v>
      </c>
      <c r="FQ8">
        <v>0</v>
      </c>
      <c r="FS8" t="s">
        <v>842</v>
      </c>
      <c r="FT8" t="s">
        <v>842</v>
      </c>
      <c r="FU8" t="s">
        <v>839</v>
      </c>
      <c r="FV8" t="s">
        <v>839</v>
      </c>
      <c r="FW8" t="s">
        <v>839</v>
      </c>
      <c r="FX8" t="s">
        <v>910</v>
      </c>
      <c r="FY8" t="s">
        <v>839</v>
      </c>
      <c r="FZ8" t="s">
        <v>839</v>
      </c>
      <c r="GA8" t="s">
        <v>839</v>
      </c>
      <c r="GB8" t="s">
        <v>839</v>
      </c>
      <c r="GC8" t="s">
        <v>839</v>
      </c>
      <c r="GD8" t="s">
        <v>842</v>
      </c>
      <c r="GG8" t="s">
        <v>668</v>
      </c>
      <c r="GI8" t="s">
        <v>911</v>
      </c>
      <c r="GJ8">
        <v>1</v>
      </c>
      <c r="GK8">
        <v>1</v>
      </c>
      <c r="GL8">
        <v>1</v>
      </c>
      <c r="GM8">
        <v>1</v>
      </c>
      <c r="GN8">
        <v>1</v>
      </c>
      <c r="GO8">
        <v>0</v>
      </c>
      <c r="GP8">
        <v>1</v>
      </c>
      <c r="GQ8">
        <v>0</v>
      </c>
      <c r="GR8">
        <v>1</v>
      </c>
      <c r="GS8">
        <v>1</v>
      </c>
      <c r="GT8">
        <v>1</v>
      </c>
      <c r="GU8">
        <v>1</v>
      </c>
      <c r="GV8">
        <v>1</v>
      </c>
      <c r="GW8">
        <v>1</v>
      </c>
      <c r="GX8">
        <v>1</v>
      </c>
      <c r="GY8">
        <v>0</v>
      </c>
      <c r="GZ8">
        <v>0</v>
      </c>
      <c r="HB8" t="s">
        <v>839</v>
      </c>
    </row>
    <row r="9" spans="1:215" x14ac:dyDescent="0.35">
      <c r="A9" t="s">
        <v>912</v>
      </c>
      <c r="B9" s="151">
        <v>44878.810127314813</v>
      </c>
      <c r="C9" t="s">
        <v>913</v>
      </c>
      <c r="D9" t="s">
        <v>914</v>
      </c>
      <c r="E9" t="s">
        <v>835</v>
      </c>
      <c r="F9" t="s">
        <v>915</v>
      </c>
      <c r="G9" t="s">
        <v>915</v>
      </c>
      <c r="H9" t="s">
        <v>839</v>
      </c>
      <c r="I9" t="s">
        <v>838</v>
      </c>
      <c r="K9" t="s">
        <v>842</v>
      </c>
      <c r="O9">
        <v>157</v>
      </c>
      <c r="P9">
        <v>131</v>
      </c>
      <c r="Q9">
        <v>288</v>
      </c>
      <c r="S9" t="s">
        <v>841</v>
      </c>
      <c r="T9" t="s">
        <v>841</v>
      </c>
      <c r="U9" t="s">
        <v>841</v>
      </c>
      <c r="V9" t="s">
        <v>841</v>
      </c>
      <c r="W9" t="s">
        <v>841</v>
      </c>
      <c r="X9" t="s">
        <v>841</v>
      </c>
      <c r="Y9" t="s">
        <v>841</v>
      </c>
      <c r="Z9" t="s">
        <v>841</v>
      </c>
      <c r="AA9" t="s">
        <v>841</v>
      </c>
      <c r="AB9" t="s">
        <v>841</v>
      </c>
      <c r="AC9" t="s">
        <v>841</v>
      </c>
      <c r="AH9">
        <v>1</v>
      </c>
      <c r="AI9">
        <v>1</v>
      </c>
      <c r="AJ9">
        <v>1</v>
      </c>
      <c r="AK9">
        <v>1</v>
      </c>
      <c r="AL9">
        <v>1</v>
      </c>
      <c r="AM9">
        <v>1</v>
      </c>
      <c r="AN9">
        <v>1</v>
      </c>
      <c r="AO9">
        <v>1</v>
      </c>
      <c r="AP9">
        <v>1</v>
      </c>
      <c r="AQ9">
        <v>1</v>
      </c>
      <c r="AR9">
        <v>1</v>
      </c>
      <c r="AS9">
        <v>0</v>
      </c>
      <c r="AT9">
        <v>0</v>
      </c>
      <c r="AZ9" t="s">
        <v>841</v>
      </c>
      <c r="BJ9">
        <v>0</v>
      </c>
      <c r="BK9">
        <v>4</v>
      </c>
      <c r="BL9">
        <v>4</v>
      </c>
      <c r="BS9" t="s">
        <v>841</v>
      </c>
      <c r="BV9" t="s">
        <v>839</v>
      </c>
      <c r="BW9" t="s">
        <v>758</v>
      </c>
      <c r="BX9" t="s">
        <v>839</v>
      </c>
      <c r="BY9" t="s">
        <v>759</v>
      </c>
      <c r="BZ9" t="s">
        <v>839</v>
      </c>
      <c r="CA9" t="s">
        <v>839</v>
      </c>
      <c r="CC9" t="s">
        <v>839</v>
      </c>
      <c r="CD9" t="s">
        <v>916</v>
      </c>
      <c r="CG9">
        <v>4</v>
      </c>
      <c r="CH9">
        <v>2</v>
      </c>
      <c r="CI9">
        <v>2</v>
      </c>
      <c r="CJ9">
        <v>0</v>
      </c>
      <c r="CK9" t="s">
        <v>866</v>
      </c>
      <c r="CM9" t="s">
        <v>917</v>
      </c>
      <c r="CN9">
        <v>0</v>
      </c>
      <c r="CO9">
        <v>0</v>
      </c>
      <c r="CP9">
        <v>1</v>
      </c>
      <c r="CQ9">
        <v>0</v>
      </c>
      <c r="CR9">
        <v>0</v>
      </c>
      <c r="CS9">
        <v>0</v>
      </c>
      <c r="CU9" t="s">
        <v>918</v>
      </c>
      <c r="CV9">
        <v>1</v>
      </c>
      <c r="CW9">
        <v>0</v>
      </c>
      <c r="CX9">
        <v>1</v>
      </c>
      <c r="CY9">
        <v>0</v>
      </c>
      <c r="CZ9">
        <v>0</v>
      </c>
      <c r="DA9">
        <v>1</v>
      </c>
      <c r="DB9">
        <v>0</v>
      </c>
      <c r="DC9">
        <v>0</v>
      </c>
      <c r="DD9">
        <v>0</v>
      </c>
      <c r="DE9">
        <v>0</v>
      </c>
      <c r="DF9">
        <v>0</v>
      </c>
      <c r="DJ9">
        <v>2</v>
      </c>
      <c r="DK9">
        <v>10</v>
      </c>
      <c r="DL9">
        <v>12</v>
      </c>
      <c r="DN9">
        <v>220</v>
      </c>
      <c r="DP9">
        <v>440</v>
      </c>
      <c r="DQ9" t="s">
        <v>919</v>
      </c>
      <c r="DR9">
        <v>1</v>
      </c>
      <c r="DS9">
        <v>0</v>
      </c>
      <c r="DT9">
        <v>1</v>
      </c>
      <c r="DU9">
        <v>1</v>
      </c>
      <c r="DV9">
        <v>1</v>
      </c>
      <c r="DW9">
        <v>1</v>
      </c>
      <c r="DX9">
        <v>0</v>
      </c>
      <c r="DY9">
        <v>0</v>
      </c>
      <c r="DZ9">
        <v>0</v>
      </c>
      <c r="EB9" t="s">
        <v>842</v>
      </c>
      <c r="EC9" t="s">
        <v>909</v>
      </c>
      <c r="ED9" t="s">
        <v>848</v>
      </c>
      <c r="EI9">
        <v>50</v>
      </c>
      <c r="EL9" t="s">
        <v>841</v>
      </c>
      <c r="EO9">
        <v>50</v>
      </c>
      <c r="ER9" t="s">
        <v>841</v>
      </c>
      <c r="EZ9" t="s">
        <v>841</v>
      </c>
      <c r="FA9">
        <v>5</v>
      </c>
      <c r="FB9" t="s">
        <v>841</v>
      </c>
      <c r="FG9">
        <v>5</v>
      </c>
      <c r="FH9" t="s">
        <v>841</v>
      </c>
      <c r="FM9">
        <v>45</v>
      </c>
      <c r="FO9">
        <v>4</v>
      </c>
      <c r="FP9">
        <v>3</v>
      </c>
      <c r="FQ9">
        <v>7</v>
      </c>
      <c r="FS9" t="s">
        <v>839</v>
      </c>
      <c r="FT9" t="s">
        <v>839</v>
      </c>
      <c r="FU9" t="s">
        <v>839</v>
      </c>
      <c r="FV9" t="s">
        <v>839</v>
      </c>
      <c r="FW9" t="s">
        <v>839</v>
      </c>
      <c r="FX9" t="s">
        <v>910</v>
      </c>
      <c r="FY9" t="s">
        <v>842</v>
      </c>
      <c r="FZ9" t="s">
        <v>839</v>
      </c>
      <c r="GA9" t="s">
        <v>842</v>
      </c>
      <c r="GB9" t="s">
        <v>842</v>
      </c>
      <c r="GC9" t="s">
        <v>839</v>
      </c>
      <c r="GD9" t="s">
        <v>839</v>
      </c>
      <c r="GE9" t="s">
        <v>881</v>
      </c>
      <c r="GG9" t="s">
        <v>842</v>
      </c>
      <c r="GI9" t="s">
        <v>920</v>
      </c>
      <c r="GJ9">
        <v>1</v>
      </c>
      <c r="GK9">
        <v>0</v>
      </c>
      <c r="GL9">
        <v>1</v>
      </c>
      <c r="GM9">
        <v>0</v>
      </c>
      <c r="GN9">
        <v>1</v>
      </c>
      <c r="GO9">
        <v>1</v>
      </c>
      <c r="GP9">
        <v>0</v>
      </c>
      <c r="GQ9">
        <v>0</v>
      </c>
      <c r="GR9">
        <v>1</v>
      </c>
      <c r="GS9">
        <v>0</v>
      </c>
      <c r="GT9">
        <v>0</v>
      </c>
      <c r="GU9">
        <v>0</v>
      </c>
      <c r="GV9">
        <v>0</v>
      </c>
      <c r="GW9">
        <v>1</v>
      </c>
      <c r="GX9">
        <v>0</v>
      </c>
      <c r="GY9">
        <v>0</v>
      </c>
      <c r="GZ9">
        <v>0</v>
      </c>
      <c r="HB9" t="s">
        <v>839</v>
      </c>
    </row>
    <row r="10" spans="1:215" x14ac:dyDescent="0.35">
      <c r="A10" t="s">
        <v>921</v>
      </c>
      <c r="B10" s="151">
        <v>44880.512326388889</v>
      </c>
      <c r="C10" t="s">
        <v>922</v>
      </c>
      <c r="D10" t="s">
        <v>923</v>
      </c>
      <c r="E10" t="s">
        <v>835</v>
      </c>
      <c r="F10" t="s">
        <v>924</v>
      </c>
      <c r="G10" t="s">
        <v>924</v>
      </c>
      <c r="H10" t="s">
        <v>839</v>
      </c>
      <c r="I10" t="s">
        <v>896</v>
      </c>
      <c r="K10" t="s">
        <v>839</v>
      </c>
      <c r="L10" t="s">
        <v>887</v>
      </c>
      <c r="O10">
        <v>122</v>
      </c>
      <c r="P10">
        <v>139</v>
      </c>
      <c r="Q10">
        <v>261</v>
      </c>
      <c r="S10" t="s">
        <v>841</v>
      </c>
      <c r="T10" t="s">
        <v>841</v>
      </c>
      <c r="U10" t="s">
        <v>841</v>
      </c>
      <c r="V10" t="s">
        <v>841</v>
      </c>
      <c r="W10" t="s">
        <v>841</v>
      </c>
      <c r="X10" t="s">
        <v>841</v>
      </c>
      <c r="Y10" t="s">
        <v>841</v>
      </c>
      <c r="Z10" t="s">
        <v>841</v>
      </c>
      <c r="AA10" t="s">
        <v>841</v>
      </c>
      <c r="AB10" t="s">
        <v>841</v>
      </c>
      <c r="AC10" t="s">
        <v>841</v>
      </c>
      <c r="AD10" t="s">
        <v>841</v>
      </c>
      <c r="AE10" t="s">
        <v>841</v>
      </c>
      <c r="AF10" t="s">
        <v>841</v>
      </c>
      <c r="AH10">
        <v>1</v>
      </c>
      <c r="AI10">
        <v>1</v>
      </c>
      <c r="AJ10">
        <v>1</v>
      </c>
      <c r="AK10">
        <v>1</v>
      </c>
      <c r="AL10">
        <v>1</v>
      </c>
      <c r="AM10">
        <v>1</v>
      </c>
      <c r="AN10">
        <v>2</v>
      </c>
      <c r="AO10">
        <v>1</v>
      </c>
      <c r="AP10">
        <v>1</v>
      </c>
      <c r="AQ10">
        <v>1</v>
      </c>
      <c r="AR10">
        <v>1</v>
      </c>
      <c r="AS10">
        <v>1</v>
      </c>
      <c r="AT10">
        <v>1</v>
      </c>
      <c r="AU10">
        <v>1</v>
      </c>
      <c r="AW10">
        <v>2</v>
      </c>
      <c r="AX10">
        <v>5</v>
      </c>
      <c r="AY10">
        <v>7</v>
      </c>
      <c r="BB10">
        <v>0</v>
      </c>
      <c r="BC10">
        <v>0</v>
      </c>
      <c r="BD10">
        <v>0</v>
      </c>
      <c r="BF10">
        <v>1</v>
      </c>
      <c r="BG10">
        <v>5</v>
      </c>
      <c r="BH10">
        <v>6</v>
      </c>
      <c r="BJ10">
        <v>5</v>
      </c>
      <c r="BK10">
        <v>6</v>
      </c>
      <c r="BL10">
        <v>11</v>
      </c>
      <c r="BP10">
        <v>2</v>
      </c>
      <c r="BQ10">
        <v>5</v>
      </c>
      <c r="BR10">
        <v>7</v>
      </c>
      <c r="BV10" t="s">
        <v>839</v>
      </c>
      <c r="BW10" t="s">
        <v>759</v>
      </c>
      <c r="BX10" t="s">
        <v>839</v>
      </c>
      <c r="BY10" t="s">
        <v>759</v>
      </c>
      <c r="BZ10" t="s">
        <v>839</v>
      </c>
      <c r="CA10" t="s">
        <v>925</v>
      </c>
      <c r="CC10" t="s">
        <v>839</v>
      </c>
      <c r="CD10" t="s">
        <v>855</v>
      </c>
      <c r="CG10">
        <v>10</v>
      </c>
      <c r="CH10">
        <v>5</v>
      </c>
      <c r="CI10">
        <v>5</v>
      </c>
      <c r="CJ10">
        <v>0</v>
      </c>
      <c r="CK10" t="s">
        <v>877</v>
      </c>
      <c r="CM10" t="s">
        <v>844</v>
      </c>
      <c r="CN10">
        <v>1</v>
      </c>
      <c r="CO10">
        <v>0</v>
      </c>
      <c r="CP10">
        <v>0</v>
      </c>
      <c r="CQ10">
        <v>0</v>
      </c>
      <c r="CR10">
        <v>0</v>
      </c>
      <c r="CS10">
        <v>0</v>
      </c>
      <c r="CU10" t="s">
        <v>926</v>
      </c>
      <c r="CV10">
        <v>1</v>
      </c>
      <c r="CW10">
        <v>0</v>
      </c>
      <c r="CX10">
        <v>1</v>
      </c>
      <c r="CY10">
        <v>1</v>
      </c>
      <c r="CZ10">
        <v>0</v>
      </c>
      <c r="DA10">
        <v>0</v>
      </c>
      <c r="DB10">
        <v>0</v>
      </c>
      <c r="DC10">
        <v>0</v>
      </c>
      <c r="DD10">
        <v>1</v>
      </c>
      <c r="DE10">
        <v>1</v>
      </c>
      <c r="DF10">
        <v>0</v>
      </c>
      <c r="DJ10">
        <v>10</v>
      </c>
      <c r="DK10">
        <v>11</v>
      </c>
      <c r="DL10">
        <v>21</v>
      </c>
      <c r="DN10">
        <v>450</v>
      </c>
      <c r="DP10">
        <v>700</v>
      </c>
      <c r="DQ10" t="s">
        <v>927</v>
      </c>
      <c r="DR10">
        <v>1</v>
      </c>
      <c r="DS10">
        <v>0</v>
      </c>
      <c r="DT10">
        <v>1</v>
      </c>
      <c r="DU10">
        <v>0</v>
      </c>
      <c r="DV10">
        <v>0</v>
      </c>
      <c r="DW10">
        <v>0</v>
      </c>
      <c r="DX10">
        <v>0</v>
      </c>
      <c r="DY10">
        <v>0</v>
      </c>
      <c r="DZ10">
        <v>0</v>
      </c>
      <c r="EB10" t="s">
        <v>839</v>
      </c>
      <c r="EC10" t="s">
        <v>869</v>
      </c>
      <c r="ED10" t="s">
        <v>928</v>
      </c>
      <c r="EI10">
        <v>150</v>
      </c>
      <c r="EM10" t="s">
        <v>841</v>
      </c>
      <c r="EO10">
        <v>150</v>
      </c>
      <c r="ES10" t="s">
        <v>841</v>
      </c>
      <c r="EZ10" t="s">
        <v>841</v>
      </c>
      <c r="FA10">
        <v>4</v>
      </c>
      <c r="FB10" t="s">
        <v>841</v>
      </c>
      <c r="FL10" t="s">
        <v>841</v>
      </c>
      <c r="FM10">
        <v>400</v>
      </c>
      <c r="FO10">
        <v>3</v>
      </c>
      <c r="FP10">
        <v>3</v>
      </c>
      <c r="FQ10">
        <v>6</v>
      </c>
      <c r="FS10" t="s">
        <v>842</v>
      </c>
      <c r="FT10" t="s">
        <v>839</v>
      </c>
      <c r="FU10" t="s">
        <v>842</v>
      </c>
      <c r="FV10" t="s">
        <v>839</v>
      </c>
      <c r="FW10" t="s">
        <v>842</v>
      </c>
      <c r="FY10" t="s">
        <v>839</v>
      </c>
      <c r="FZ10" t="s">
        <v>839</v>
      </c>
      <c r="GA10" t="s">
        <v>839</v>
      </c>
      <c r="GB10" t="s">
        <v>842</v>
      </c>
      <c r="GC10" t="s">
        <v>842</v>
      </c>
      <c r="GD10" t="s">
        <v>839</v>
      </c>
      <c r="GE10" t="s">
        <v>929</v>
      </c>
      <c r="GG10" t="s">
        <v>839</v>
      </c>
      <c r="GI10" t="s">
        <v>930</v>
      </c>
      <c r="GJ10">
        <v>0</v>
      </c>
      <c r="GK10">
        <v>1</v>
      </c>
      <c r="GL10">
        <v>0</v>
      </c>
      <c r="GM10">
        <v>1</v>
      </c>
      <c r="GN10">
        <v>0</v>
      </c>
      <c r="GO10">
        <v>0</v>
      </c>
      <c r="GP10">
        <v>0</v>
      </c>
      <c r="GQ10">
        <v>0</v>
      </c>
      <c r="GR10">
        <v>0</v>
      </c>
      <c r="GS10">
        <v>0</v>
      </c>
      <c r="GT10">
        <v>0</v>
      </c>
      <c r="GU10">
        <v>1</v>
      </c>
      <c r="GV10">
        <v>0</v>
      </c>
      <c r="GW10">
        <v>0</v>
      </c>
      <c r="GX10">
        <v>1</v>
      </c>
      <c r="GY10">
        <v>0</v>
      </c>
      <c r="GZ10">
        <v>0</v>
      </c>
      <c r="HB10" t="s">
        <v>839</v>
      </c>
    </row>
    <row r="11" spans="1:215" x14ac:dyDescent="0.35">
      <c r="A11" t="s">
        <v>931</v>
      </c>
      <c r="B11" s="151">
        <v>44882.345937500002</v>
      </c>
      <c r="C11" t="s">
        <v>932</v>
      </c>
      <c r="D11" t="s">
        <v>933</v>
      </c>
      <c r="E11" t="s">
        <v>835</v>
      </c>
      <c r="F11" t="s">
        <v>934</v>
      </c>
      <c r="G11" t="s">
        <v>934</v>
      </c>
      <c r="H11" t="s">
        <v>839</v>
      </c>
      <c r="I11" t="s">
        <v>896</v>
      </c>
      <c r="K11" t="s">
        <v>839</v>
      </c>
      <c r="L11" t="s">
        <v>887</v>
      </c>
      <c r="O11">
        <v>100</v>
      </c>
      <c r="P11">
        <v>108</v>
      </c>
      <c r="Q11">
        <v>208</v>
      </c>
      <c r="S11" t="s">
        <v>841</v>
      </c>
      <c r="T11" t="s">
        <v>841</v>
      </c>
      <c r="U11" t="s">
        <v>841</v>
      </c>
      <c r="V11" t="s">
        <v>841</v>
      </c>
      <c r="W11" t="s">
        <v>841</v>
      </c>
      <c r="X11" t="s">
        <v>841</v>
      </c>
      <c r="Y11" t="s">
        <v>841</v>
      </c>
      <c r="Z11" t="s">
        <v>841</v>
      </c>
      <c r="AA11" t="s">
        <v>841</v>
      </c>
      <c r="AB11" t="s">
        <v>841</v>
      </c>
      <c r="AH11">
        <v>18</v>
      </c>
      <c r="AI11">
        <v>28</v>
      </c>
      <c r="AJ11">
        <v>23</v>
      </c>
      <c r="AK11">
        <v>27</v>
      </c>
      <c r="AL11">
        <v>26</v>
      </c>
      <c r="AM11">
        <v>23</v>
      </c>
      <c r="AN11">
        <v>28</v>
      </c>
      <c r="AO11">
        <v>10</v>
      </c>
      <c r="AP11">
        <v>12</v>
      </c>
      <c r="AQ11">
        <v>13</v>
      </c>
      <c r="AR11">
        <v>0</v>
      </c>
      <c r="AS11">
        <v>0</v>
      </c>
      <c r="AT11">
        <v>0</v>
      </c>
      <c r="AU11">
        <v>0</v>
      </c>
      <c r="AZ11" t="s">
        <v>841</v>
      </c>
      <c r="BM11" t="s">
        <v>841</v>
      </c>
      <c r="BS11" t="s">
        <v>841</v>
      </c>
      <c r="BV11" t="s">
        <v>842</v>
      </c>
      <c r="BX11" t="s">
        <v>839</v>
      </c>
      <c r="BY11" t="s">
        <v>759</v>
      </c>
      <c r="BZ11" t="s">
        <v>839</v>
      </c>
      <c r="CA11" t="s">
        <v>839</v>
      </c>
      <c r="CC11" t="s">
        <v>839</v>
      </c>
      <c r="CD11" t="s">
        <v>626</v>
      </c>
      <c r="CE11" t="s">
        <v>935</v>
      </c>
      <c r="CG11">
        <v>5</v>
      </c>
      <c r="CH11">
        <v>1</v>
      </c>
      <c r="CI11">
        <v>1</v>
      </c>
      <c r="CJ11">
        <v>3</v>
      </c>
      <c r="CK11" t="s">
        <v>877</v>
      </c>
      <c r="CM11" t="s">
        <v>844</v>
      </c>
      <c r="CN11">
        <v>1</v>
      </c>
      <c r="CO11">
        <v>0</v>
      </c>
      <c r="CP11">
        <v>0</v>
      </c>
      <c r="CQ11">
        <v>0</v>
      </c>
      <c r="CR11">
        <v>0</v>
      </c>
      <c r="CS11">
        <v>0</v>
      </c>
      <c r="CU11" t="s">
        <v>936</v>
      </c>
      <c r="CV11">
        <v>1</v>
      </c>
      <c r="CW11">
        <v>0</v>
      </c>
      <c r="CX11">
        <v>1</v>
      </c>
      <c r="CY11">
        <v>0</v>
      </c>
      <c r="CZ11">
        <v>0</v>
      </c>
      <c r="DA11">
        <v>1</v>
      </c>
      <c r="DB11">
        <v>0</v>
      </c>
      <c r="DC11">
        <v>0</v>
      </c>
      <c r="DD11">
        <v>1</v>
      </c>
      <c r="DE11">
        <v>0</v>
      </c>
      <c r="DF11">
        <v>0</v>
      </c>
      <c r="DJ11">
        <v>4</v>
      </c>
      <c r="DK11">
        <v>9</v>
      </c>
      <c r="DL11">
        <v>13</v>
      </c>
      <c r="DN11">
        <v>250</v>
      </c>
      <c r="DP11">
        <v>500</v>
      </c>
      <c r="DQ11" t="s">
        <v>937</v>
      </c>
      <c r="DR11">
        <v>1</v>
      </c>
      <c r="DS11">
        <v>0</v>
      </c>
      <c r="DT11">
        <v>0</v>
      </c>
      <c r="DU11">
        <v>0</v>
      </c>
      <c r="DV11">
        <v>0</v>
      </c>
      <c r="DW11">
        <v>0</v>
      </c>
      <c r="DX11">
        <v>0</v>
      </c>
      <c r="DY11">
        <v>0</v>
      </c>
      <c r="DZ11">
        <v>0</v>
      </c>
      <c r="EB11" t="s">
        <v>839</v>
      </c>
      <c r="EC11" t="s">
        <v>869</v>
      </c>
      <c r="ED11" t="s">
        <v>848</v>
      </c>
      <c r="EI11">
        <v>80</v>
      </c>
      <c r="EM11" t="s">
        <v>841</v>
      </c>
      <c r="EO11">
        <v>80</v>
      </c>
      <c r="ES11" t="s">
        <v>841</v>
      </c>
      <c r="EU11">
        <v>120</v>
      </c>
      <c r="EY11" t="s">
        <v>841</v>
      </c>
      <c r="FA11">
        <v>6</v>
      </c>
      <c r="FB11" t="s">
        <v>841</v>
      </c>
      <c r="FL11" t="s">
        <v>841</v>
      </c>
      <c r="FM11">
        <v>542</v>
      </c>
      <c r="FO11">
        <v>0</v>
      </c>
      <c r="FP11">
        <v>0</v>
      </c>
      <c r="FQ11">
        <v>0</v>
      </c>
      <c r="FS11" t="s">
        <v>839</v>
      </c>
      <c r="FT11" t="s">
        <v>842</v>
      </c>
      <c r="FU11" t="s">
        <v>839</v>
      </c>
      <c r="FV11" t="s">
        <v>839</v>
      </c>
      <c r="FW11" t="s">
        <v>682</v>
      </c>
      <c r="FY11" t="s">
        <v>842</v>
      </c>
      <c r="FZ11" t="s">
        <v>839</v>
      </c>
      <c r="GA11" t="s">
        <v>839</v>
      </c>
      <c r="GB11" t="s">
        <v>842</v>
      </c>
      <c r="GC11" t="s">
        <v>842</v>
      </c>
      <c r="GD11" t="s">
        <v>842</v>
      </c>
      <c r="GG11" t="s">
        <v>668</v>
      </c>
      <c r="GI11" t="s">
        <v>938</v>
      </c>
      <c r="GJ11">
        <v>0</v>
      </c>
      <c r="GK11">
        <v>0</v>
      </c>
      <c r="GL11">
        <v>0</v>
      </c>
      <c r="GM11">
        <v>0</v>
      </c>
      <c r="GN11">
        <v>0</v>
      </c>
      <c r="GO11">
        <v>1</v>
      </c>
      <c r="GP11">
        <v>0</v>
      </c>
      <c r="GQ11">
        <v>0</v>
      </c>
      <c r="GR11">
        <v>0</v>
      </c>
      <c r="GS11">
        <v>0</v>
      </c>
      <c r="GT11">
        <v>0</v>
      </c>
      <c r="GU11">
        <v>0</v>
      </c>
      <c r="GV11">
        <v>0</v>
      </c>
      <c r="GW11">
        <v>1</v>
      </c>
      <c r="GX11">
        <v>0</v>
      </c>
      <c r="GY11">
        <v>0</v>
      </c>
      <c r="GZ11">
        <v>0</v>
      </c>
      <c r="HB11" t="s">
        <v>839</v>
      </c>
    </row>
    <row r="12" spans="1:215" x14ac:dyDescent="0.35">
      <c r="A12" t="s">
        <v>939</v>
      </c>
      <c r="B12" s="151">
        <v>44884.356203703697</v>
      </c>
      <c r="C12" t="s">
        <v>940</v>
      </c>
      <c r="D12" t="s">
        <v>941</v>
      </c>
      <c r="E12" t="s">
        <v>835</v>
      </c>
      <c r="F12" t="s">
        <v>942</v>
      </c>
      <c r="G12" t="s">
        <v>942</v>
      </c>
      <c r="H12" t="s">
        <v>839</v>
      </c>
      <c r="I12" t="s">
        <v>896</v>
      </c>
      <c r="K12" t="s">
        <v>839</v>
      </c>
      <c r="L12" t="s">
        <v>897</v>
      </c>
      <c r="O12">
        <v>50</v>
      </c>
      <c r="P12">
        <v>70</v>
      </c>
      <c r="Q12">
        <v>120</v>
      </c>
      <c r="S12" t="s">
        <v>841</v>
      </c>
      <c r="T12" t="s">
        <v>841</v>
      </c>
      <c r="U12" t="s">
        <v>841</v>
      </c>
      <c r="V12" t="s">
        <v>841</v>
      </c>
      <c r="W12" t="s">
        <v>841</v>
      </c>
      <c r="X12" t="s">
        <v>841</v>
      </c>
      <c r="Y12" t="s">
        <v>841</v>
      </c>
      <c r="Z12" t="s">
        <v>841</v>
      </c>
      <c r="AA12" t="s">
        <v>841</v>
      </c>
      <c r="AB12" t="s">
        <v>841</v>
      </c>
      <c r="AH12">
        <v>1</v>
      </c>
      <c r="AI12">
        <v>2</v>
      </c>
      <c r="AJ12">
        <v>1</v>
      </c>
      <c r="AK12">
        <v>1</v>
      </c>
      <c r="AL12">
        <v>1</v>
      </c>
      <c r="AM12">
        <v>1</v>
      </c>
      <c r="AO12">
        <v>1</v>
      </c>
      <c r="AP12">
        <v>1</v>
      </c>
      <c r="AQ12">
        <v>1</v>
      </c>
      <c r="AR12">
        <v>0</v>
      </c>
      <c r="AS12">
        <v>0</v>
      </c>
      <c r="AT12">
        <v>0</v>
      </c>
      <c r="AU12">
        <v>0</v>
      </c>
      <c r="AZ12" t="s">
        <v>841</v>
      </c>
      <c r="BJ12">
        <v>0</v>
      </c>
      <c r="BK12">
        <v>0</v>
      </c>
      <c r="BL12">
        <v>0</v>
      </c>
      <c r="BM12" t="s">
        <v>841</v>
      </c>
      <c r="BP12">
        <v>0</v>
      </c>
      <c r="BQ12">
        <v>0</v>
      </c>
      <c r="BR12">
        <v>0</v>
      </c>
      <c r="BS12" t="s">
        <v>841</v>
      </c>
      <c r="BV12" t="s">
        <v>839</v>
      </c>
      <c r="BW12" t="s">
        <v>759</v>
      </c>
      <c r="BX12" t="s">
        <v>839</v>
      </c>
      <c r="BY12" t="s">
        <v>759</v>
      </c>
      <c r="BZ12" t="s">
        <v>839</v>
      </c>
      <c r="CA12" t="s">
        <v>839</v>
      </c>
      <c r="CC12" t="s">
        <v>839</v>
      </c>
      <c r="CD12" t="s">
        <v>855</v>
      </c>
      <c r="CG12">
        <v>4</v>
      </c>
      <c r="CH12">
        <v>2</v>
      </c>
      <c r="CI12">
        <v>2</v>
      </c>
      <c r="CJ12">
        <v>0</v>
      </c>
      <c r="CK12" t="s">
        <v>681</v>
      </c>
      <c r="CM12" t="s">
        <v>867</v>
      </c>
      <c r="CN12">
        <v>0</v>
      </c>
      <c r="CO12">
        <v>1</v>
      </c>
      <c r="CP12">
        <v>0</v>
      </c>
      <c r="CQ12">
        <v>0</v>
      </c>
      <c r="CR12">
        <v>0</v>
      </c>
      <c r="CS12">
        <v>0</v>
      </c>
      <c r="CU12" t="s">
        <v>943</v>
      </c>
      <c r="CV12">
        <v>1</v>
      </c>
      <c r="CW12">
        <v>1</v>
      </c>
      <c r="CX12">
        <v>1</v>
      </c>
      <c r="CY12">
        <v>0</v>
      </c>
      <c r="CZ12">
        <v>0</v>
      </c>
      <c r="DA12">
        <v>0</v>
      </c>
      <c r="DB12">
        <v>0</v>
      </c>
      <c r="DC12">
        <v>1</v>
      </c>
      <c r="DD12">
        <v>1</v>
      </c>
      <c r="DE12">
        <v>0</v>
      </c>
      <c r="DF12">
        <v>0</v>
      </c>
      <c r="DJ12">
        <v>2</v>
      </c>
      <c r="DK12">
        <v>10</v>
      </c>
      <c r="DL12">
        <v>12</v>
      </c>
      <c r="DN12">
        <v>400</v>
      </c>
      <c r="DP12">
        <v>650</v>
      </c>
      <c r="DQ12" t="s">
        <v>944</v>
      </c>
      <c r="DR12">
        <v>1</v>
      </c>
      <c r="DS12">
        <v>0</v>
      </c>
      <c r="DT12">
        <v>1</v>
      </c>
      <c r="DU12">
        <v>0</v>
      </c>
      <c r="DV12">
        <v>1</v>
      </c>
      <c r="DW12">
        <v>0</v>
      </c>
      <c r="DX12">
        <v>1</v>
      </c>
      <c r="DY12">
        <v>0</v>
      </c>
      <c r="DZ12">
        <v>0</v>
      </c>
      <c r="EB12" t="s">
        <v>839</v>
      </c>
      <c r="EC12" t="s">
        <v>847</v>
      </c>
      <c r="ED12" t="s">
        <v>848</v>
      </c>
      <c r="EI12" s="157">
        <v>1100</v>
      </c>
      <c r="EJ12" s="157"/>
      <c r="EK12" s="157"/>
      <c r="EL12" s="157"/>
      <c r="EM12" s="157" t="s">
        <v>841</v>
      </c>
      <c r="EN12" s="157"/>
      <c r="EO12" s="157"/>
      <c r="EP12" s="157"/>
      <c r="EQ12" s="157"/>
      <c r="ER12" s="157"/>
      <c r="ES12" s="157"/>
      <c r="ET12" s="157" t="s">
        <v>841</v>
      </c>
      <c r="EU12" s="157"/>
      <c r="EV12" s="157"/>
      <c r="EW12" s="157"/>
      <c r="EX12" s="157"/>
      <c r="EY12" s="157"/>
      <c r="EZ12" s="157" t="s">
        <v>841</v>
      </c>
      <c r="FA12" s="157">
        <v>10</v>
      </c>
      <c r="FB12" s="157"/>
      <c r="FC12" s="157"/>
      <c r="FD12" s="157" t="s">
        <v>841</v>
      </c>
      <c r="FE12" s="157"/>
      <c r="FF12" s="157"/>
      <c r="FG12" s="157">
        <v>10</v>
      </c>
      <c r="FH12" s="157"/>
      <c r="FI12" s="157"/>
      <c r="FJ12" s="157" t="s">
        <v>841</v>
      </c>
      <c r="FK12" s="157"/>
      <c r="FL12" s="157"/>
      <c r="FM12">
        <v>1200</v>
      </c>
      <c r="FO12">
        <v>5</v>
      </c>
      <c r="FP12">
        <v>5</v>
      </c>
      <c r="FQ12">
        <v>10</v>
      </c>
      <c r="FS12" t="s">
        <v>839</v>
      </c>
      <c r="FT12" t="s">
        <v>839</v>
      </c>
      <c r="FU12" t="s">
        <v>839</v>
      </c>
      <c r="FV12" t="s">
        <v>839</v>
      </c>
      <c r="FW12" t="s">
        <v>842</v>
      </c>
      <c r="FY12" t="s">
        <v>842</v>
      </c>
      <c r="FZ12" t="s">
        <v>839</v>
      </c>
      <c r="GA12" t="s">
        <v>839</v>
      </c>
      <c r="GB12" t="s">
        <v>842</v>
      </c>
      <c r="GC12" t="s">
        <v>839</v>
      </c>
      <c r="GD12" t="s">
        <v>839</v>
      </c>
      <c r="GE12" t="s">
        <v>929</v>
      </c>
      <c r="GG12" t="s">
        <v>839</v>
      </c>
      <c r="GI12" t="s">
        <v>945</v>
      </c>
      <c r="GJ12">
        <v>1</v>
      </c>
      <c r="GK12">
        <v>0</v>
      </c>
      <c r="GL12">
        <v>0</v>
      </c>
      <c r="GM12">
        <v>0</v>
      </c>
      <c r="GN12">
        <v>0</v>
      </c>
      <c r="GO12">
        <v>0</v>
      </c>
      <c r="GP12">
        <v>0</v>
      </c>
      <c r="GQ12">
        <v>0</v>
      </c>
      <c r="GR12">
        <v>0</v>
      </c>
      <c r="GS12">
        <v>1</v>
      </c>
      <c r="GT12">
        <v>0</v>
      </c>
      <c r="GU12">
        <v>0</v>
      </c>
      <c r="GV12">
        <v>0</v>
      </c>
      <c r="GW12">
        <v>0</v>
      </c>
      <c r="GX12">
        <v>0</v>
      </c>
      <c r="GY12">
        <v>0</v>
      </c>
      <c r="GZ12">
        <v>0</v>
      </c>
      <c r="HB12" t="s">
        <v>839</v>
      </c>
    </row>
    <row r="13" spans="1:215" x14ac:dyDescent="0.35">
      <c r="A13" t="s">
        <v>946</v>
      </c>
      <c r="B13" s="151">
        <v>44886.553460648152</v>
      </c>
      <c r="C13" t="s">
        <v>947</v>
      </c>
      <c r="D13" t="s">
        <v>948</v>
      </c>
      <c r="E13" t="s">
        <v>835</v>
      </c>
      <c r="F13" t="s">
        <v>949</v>
      </c>
      <c r="G13" t="s">
        <v>949</v>
      </c>
      <c r="H13" t="s">
        <v>839</v>
      </c>
      <c r="I13" t="s">
        <v>838</v>
      </c>
      <c r="K13" t="s">
        <v>839</v>
      </c>
      <c r="L13" t="s">
        <v>897</v>
      </c>
      <c r="O13">
        <v>131</v>
      </c>
      <c r="P13">
        <v>189</v>
      </c>
      <c r="Q13">
        <v>320</v>
      </c>
      <c r="S13" t="s">
        <v>841</v>
      </c>
      <c r="T13" t="s">
        <v>841</v>
      </c>
      <c r="U13" t="s">
        <v>841</v>
      </c>
      <c r="V13" t="s">
        <v>841</v>
      </c>
      <c r="W13" t="s">
        <v>841</v>
      </c>
      <c r="AH13">
        <v>1</v>
      </c>
      <c r="AI13">
        <v>2</v>
      </c>
      <c r="AJ13">
        <v>2</v>
      </c>
      <c r="AK13">
        <v>2</v>
      </c>
      <c r="AL13">
        <v>1</v>
      </c>
      <c r="AZ13" t="s">
        <v>841</v>
      </c>
      <c r="BJ13">
        <v>0</v>
      </c>
      <c r="BK13">
        <v>0</v>
      </c>
      <c r="BM13" t="s">
        <v>841</v>
      </c>
      <c r="BS13" t="s">
        <v>841</v>
      </c>
      <c r="BV13" t="s">
        <v>842</v>
      </c>
      <c r="BX13" t="s">
        <v>839</v>
      </c>
      <c r="BY13" t="s">
        <v>950</v>
      </c>
      <c r="BZ13" t="s">
        <v>839</v>
      </c>
      <c r="CA13" t="s">
        <v>839</v>
      </c>
      <c r="CC13" t="s">
        <v>839</v>
      </c>
      <c r="CD13" t="s">
        <v>855</v>
      </c>
      <c r="CG13">
        <v>5</v>
      </c>
      <c r="CH13">
        <v>2</v>
      </c>
      <c r="CI13">
        <v>2</v>
      </c>
      <c r="CJ13">
        <v>1</v>
      </c>
      <c r="CK13" t="s">
        <v>877</v>
      </c>
      <c r="CM13" t="s">
        <v>951</v>
      </c>
      <c r="CN13">
        <v>1</v>
      </c>
      <c r="CO13">
        <v>1</v>
      </c>
      <c r="CP13">
        <v>0</v>
      </c>
      <c r="CQ13">
        <v>0</v>
      </c>
      <c r="CR13">
        <v>0</v>
      </c>
      <c r="CS13">
        <v>0</v>
      </c>
      <c r="CU13" t="s">
        <v>868</v>
      </c>
      <c r="CV13">
        <v>1</v>
      </c>
      <c r="CW13">
        <v>0</v>
      </c>
      <c r="CX13">
        <v>1</v>
      </c>
      <c r="CY13">
        <v>0</v>
      </c>
      <c r="CZ13">
        <v>0</v>
      </c>
      <c r="DA13">
        <v>0</v>
      </c>
      <c r="DB13">
        <v>0</v>
      </c>
      <c r="DC13">
        <v>0</v>
      </c>
      <c r="DD13">
        <v>1</v>
      </c>
      <c r="DE13">
        <v>1</v>
      </c>
      <c r="DF13">
        <v>0</v>
      </c>
      <c r="DJ13">
        <v>3</v>
      </c>
      <c r="DK13">
        <v>22</v>
      </c>
      <c r="DL13">
        <v>25</v>
      </c>
      <c r="DN13">
        <v>350</v>
      </c>
      <c r="DP13">
        <v>800</v>
      </c>
      <c r="DQ13" t="s">
        <v>899</v>
      </c>
      <c r="DR13">
        <v>1</v>
      </c>
      <c r="DS13">
        <v>1</v>
      </c>
      <c r="DT13">
        <v>1</v>
      </c>
      <c r="DU13">
        <v>0</v>
      </c>
      <c r="DV13">
        <v>1</v>
      </c>
      <c r="DW13">
        <v>1</v>
      </c>
      <c r="DX13">
        <v>0</v>
      </c>
      <c r="DY13">
        <v>0</v>
      </c>
      <c r="DZ13">
        <v>0</v>
      </c>
      <c r="EB13" t="s">
        <v>842</v>
      </c>
      <c r="EC13" t="s">
        <v>869</v>
      </c>
      <c r="ED13" t="s">
        <v>848</v>
      </c>
      <c r="EI13" s="157">
        <v>320</v>
      </c>
      <c r="EJ13" s="157"/>
      <c r="EK13" s="157"/>
      <c r="EL13" s="157" t="s">
        <v>841</v>
      </c>
      <c r="EM13" s="157"/>
      <c r="EN13" s="157"/>
      <c r="EO13" s="157"/>
      <c r="EP13" s="157"/>
      <c r="EQ13" s="157"/>
      <c r="ER13" s="157"/>
      <c r="ES13" s="157"/>
      <c r="ET13" s="157" t="s">
        <v>841</v>
      </c>
      <c r="EU13" s="157"/>
      <c r="EV13" s="157"/>
      <c r="EW13" s="157"/>
      <c r="EX13" s="157"/>
      <c r="EY13" s="157"/>
      <c r="EZ13" s="157" t="s">
        <v>841</v>
      </c>
      <c r="FA13" s="157"/>
      <c r="FB13" s="157"/>
      <c r="FC13" s="157"/>
      <c r="FD13" s="157"/>
      <c r="FE13" s="157"/>
      <c r="FF13" s="157" t="s">
        <v>841</v>
      </c>
      <c r="FG13" s="157"/>
      <c r="FH13" s="157"/>
      <c r="FI13" s="157"/>
      <c r="FJ13" s="157"/>
      <c r="FK13" s="157"/>
      <c r="FL13" s="157" t="s">
        <v>841</v>
      </c>
      <c r="FM13">
        <v>0</v>
      </c>
      <c r="FO13">
        <v>2</v>
      </c>
      <c r="FP13">
        <v>6</v>
      </c>
      <c r="FQ13">
        <v>8</v>
      </c>
      <c r="FS13" t="s">
        <v>842</v>
      </c>
      <c r="FT13" t="s">
        <v>839</v>
      </c>
      <c r="FU13" t="s">
        <v>839</v>
      </c>
      <c r="FV13" t="s">
        <v>839</v>
      </c>
      <c r="FW13" t="s">
        <v>682</v>
      </c>
      <c r="FY13" t="s">
        <v>839</v>
      </c>
      <c r="FZ13" t="s">
        <v>839</v>
      </c>
      <c r="GA13" t="s">
        <v>842</v>
      </c>
      <c r="GB13" t="s">
        <v>842</v>
      </c>
      <c r="GC13" t="s">
        <v>842</v>
      </c>
      <c r="GD13" t="s">
        <v>839</v>
      </c>
      <c r="GE13" t="s">
        <v>929</v>
      </c>
      <c r="GG13" t="s">
        <v>668</v>
      </c>
      <c r="GI13" t="s">
        <v>952</v>
      </c>
      <c r="GJ13">
        <v>1</v>
      </c>
      <c r="GK13">
        <v>0</v>
      </c>
      <c r="GL13">
        <v>0</v>
      </c>
      <c r="GM13">
        <v>0</v>
      </c>
      <c r="GN13">
        <v>0</v>
      </c>
      <c r="GO13">
        <v>0</v>
      </c>
      <c r="GP13">
        <v>0</v>
      </c>
      <c r="GQ13">
        <v>0</v>
      </c>
      <c r="GR13">
        <v>1</v>
      </c>
      <c r="GS13">
        <v>1</v>
      </c>
      <c r="GT13">
        <v>0</v>
      </c>
      <c r="GU13">
        <v>1</v>
      </c>
      <c r="GV13">
        <v>0</v>
      </c>
      <c r="GW13">
        <v>0</v>
      </c>
      <c r="GX13">
        <v>0</v>
      </c>
      <c r="GY13">
        <v>0</v>
      </c>
      <c r="GZ13">
        <v>0</v>
      </c>
      <c r="HB13" t="s">
        <v>839</v>
      </c>
    </row>
    <row r="14" spans="1:215" x14ac:dyDescent="0.35">
      <c r="A14" t="s">
        <v>953</v>
      </c>
      <c r="B14" s="151">
        <v>44886.595995370371</v>
      </c>
      <c r="C14" t="s">
        <v>954</v>
      </c>
      <c r="D14" t="s">
        <v>955</v>
      </c>
      <c r="E14" t="s">
        <v>875</v>
      </c>
      <c r="F14" t="s">
        <v>956</v>
      </c>
      <c r="G14" t="s">
        <v>956</v>
      </c>
      <c r="H14" t="s">
        <v>839</v>
      </c>
      <c r="I14" t="s">
        <v>896</v>
      </c>
      <c r="K14" t="s">
        <v>842</v>
      </c>
      <c r="O14">
        <v>31</v>
      </c>
      <c r="P14">
        <v>29</v>
      </c>
      <c r="Q14">
        <v>60</v>
      </c>
      <c r="S14" t="s">
        <v>841</v>
      </c>
      <c r="T14" t="s">
        <v>841</v>
      </c>
      <c r="U14" t="s">
        <v>841</v>
      </c>
      <c r="V14" t="s">
        <v>841</v>
      </c>
      <c r="W14" t="s">
        <v>841</v>
      </c>
      <c r="BV14" t="s">
        <v>842</v>
      </c>
      <c r="BX14" t="s">
        <v>842</v>
      </c>
      <c r="BZ14" t="s">
        <v>839</v>
      </c>
      <c r="CA14" t="s">
        <v>839</v>
      </c>
      <c r="CC14" t="s">
        <v>839</v>
      </c>
      <c r="CD14" t="s">
        <v>855</v>
      </c>
      <c r="CG14">
        <v>2</v>
      </c>
      <c r="CJ14">
        <v>2</v>
      </c>
      <c r="CK14" t="s">
        <v>866</v>
      </c>
      <c r="CM14" t="s">
        <v>844</v>
      </c>
      <c r="CN14">
        <v>1</v>
      </c>
      <c r="CO14">
        <v>0</v>
      </c>
      <c r="CP14">
        <v>0</v>
      </c>
      <c r="CQ14">
        <v>0</v>
      </c>
      <c r="CR14">
        <v>0</v>
      </c>
      <c r="CS14">
        <v>0</v>
      </c>
      <c r="CU14" t="s">
        <v>907</v>
      </c>
      <c r="CV14">
        <v>1</v>
      </c>
      <c r="CW14">
        <v>0</v>
      </c>
      <c r="CX14">
        <v>1</v>
      </c>
      <c r="CY14">
        <v>0</v>
      </c>
      <c r="CZ14">
        <v>0</v>
      </c>
      <c r="DA14">
        <v>0</v>
      </c>
      <c r="DB14">
        <v>0</v>
      </c>
      <c r="DC14">
        <v>0</v>
      </c>
      <c r="DD14">
        <v>1</v>
      </c>
      <c r="DE14">
        <v>0</v>
      </c>
      <c r="DF14">
        <v>0</v>
      </c>
      <c r="DJ14">
        <v>0</v>
      </c>
      <c r="DK14">
        <v>3</v>
      </c>
      <c r="DL14">
        <v>3</v>
      </c>
      <c r="DN14">
        <v>250</v>
      </c>
      <c r="DP14">
        <v>350</v>
      </c>
      <c r="DQ14" t="s">
        <v>858</v>
      </c>
      <c r="DR14">
        <v>0</v>
      </c>
      <c r="DS14">
        <v>0</v>
      </c>
      <c r="DT14">
        <v>1</v>
      </c>
      <c r="DU14">
        <v>0</v>
      </c>
      <c r="DV14">
        <v>1</v>
      </c>
      <c r="DW14">
        <v>0</v>
      </c>
      <c r="DX14">
        <v>0</v>
      </c>
      <c r="DY14">
        <v>0</v>
      </c>
      <c r="DZ14">
        <v>0</v>
      </c>
      <c r="EB14" t="s">
        <v>839</v>
      </c>
      <c r="EC14" t="s">
        <v>957</v>
      </c>
      <c r="ED14" t="s">
        <v>626</v>
      </c>
      <c r="EE14" t="s">
        <v>668</v>
      </c>
      <c r="EI14">
        <v>590</v>
      </c>
      <c r="EM14" t="s">
        <v>841</v>
      </c>
      <c r="EO14">
        <v>590</v>
      </c>
      <c r="ES14" t="s">
        <v>841</v>
      </c>
      <c r="EU14">
        <v>690</v>
      </c>
      <c r="EY14" t="s">
        <v>841</v>
      </c>
      <c r="FA14">
        <v>5</v>
      </c>
      <c r="FB14" t="s">
        <v>841</v>
      </c>
      <c r="FG14">
        <v>5</v>
      </c>
      <c r="FH14" t="s">
        <v>841</v>
      </c>
      <c r="FM14">
        <v>30</v>
      </c>
      <c r="FO14">
        <v>0</v>
      </c>
      <c r="FP14">
        <v>2</v>
      </c>
      <c r="FQ14">
        <v>2</v>
      </c>
      <c r="FS14" t="s">
        <v>842</v>
      </c>
      <c r="FT14" t="s">
        <v>842</v>
      </c>
      <c r="FU14" t="s">
        <v>839</v>
      </c>
      <c r="FV14" t="s">
        <v>842</v>
      </c>
      <c r="FW14" t="s">
        <v>842</v>
      </c>
      <c r="FY14" t="s">
        <v>842</v>
      </c>
      <c r="FZ14" t="s">
        <v>842</v>
      </c>
      <c r="GA14" t="s">
        <v>842</v>
      </c>
      <c r="GB14" t="s">
        <v>842</v>
      </c>
      <c r="GC14" t="s">
        <v>842</v>
      </c>
      <c r="GD14" t="s">
        <v>842</v>
      </c>
      <c r="GG14" t="s">
        <v>668</v>
      </c>
      <c r="GI14" t="s">
        <v>958</v>
      </c>
      <c r="GJ14">
        <v>1</v>
      </c>
      <c r="GK14">
        <v>0</v>
      </c>
      <c r="GL14">
        <v>0</v>
      </c>
      <c r="GM14">
        <v>0</v>
      </c>
      <c r="GN14">
        <v>0</v>
      </c>
      <c r="GO14">
        <v>1</v>
      </c>
      <c r="GP14">
        <v>0</v>
      </c>
      <c r="GQ14">
        <v>0</v>
      </c>
      <c r="GR14">
        <v>1</v>
      </c>
      <c r="GS14">
        <v>0</v>
      </c>
      <c r="GT14">
        <v>0</v>
      </c>
      <c r="GU14">
        <v>1</v>
      </c>
      <c r="GV14">
        <v>0</v>
      </c>
      <c r="GW14">
        <v>0</v>
      </c>
      <c r="GX14">
        <v>1</v>
      </c>
      <c r="GY14">
        <v>0</v>
      </c>
      <c r="GZ14">
        <v>0</v>
      </c>
      <c r="HB14" t="s">
        <v>839</v>
      </c>
    </row>
    <row r="15" spans="1:215" x14ac:dyDescent="0.35">
      <c r="A15" t="s">
        <v>959</v>
      </c>
      <c r="B15" s="151">
        <v>44886.853113425917</v>
      </c>
      <c r="C15" t="s">
        <v>960</v>
      </c>
      <c r="D15" t="s">
        <v>961</v>
      </c>
      <c r="E15" t="s">
        <v>835</v>
      </c>
      <c r="F15" t="s">
        <v>962</v>
      </c>
      <c r="G15" t="s">
        <v>963</v>
      </c>
      <c r="H15" t="s">
        <v>839</v>
      </c>
      <c r="I15" t="s">
        <v>896</v>
      </c>
      <c r="K15" t="s">
        <v>839</v>
      </c>
      <c r="L15" t="s">
        <v>887</v>
      </c>
      <c r="O15">
        <v>198</v>
      </c>
      <c r="P15">
        <v>207</v>
      </c>
      <c r="Q15">
        <v>405</v>
      </c>
      <c r="S15" t="s">
        <v>841</v>
      </c>
      <c r="T15" t="s">
        <v>841</v>
      </c>
      <c r="U15" t="s">
        <v>841</v>
      </c>
      <c r="V15" t="s">
        <v>841</v>
      </c>
      <c r="W15" t="s">
        <v>841</v>
      </c>
      <c r="X15" t="s">
        <v>841</v>
      </c>
      <c r="Y15" t="s">
        <v>841</v>
      </c>
      <c r="Z15" t="s">
        <v>841</v>
      </c>
      <c r="AA15" t="s">
        <v>841</v>
      </c>
      <c r="AB15" t="s">
        <v>841</v>
      </c>
      <c r="AH15">
        <v>1</v>
      </c>
      <c r="AI15">
        <v>2</v>
      </c>
      <c r="AJ15">
        <v>2</v>
      </c>
      <c r="AK15">
        <v>2</v>
      </c>
      <c r="AL15">
        <v>2</v>
      </c>
      <c r="AM15">
        <v>2</v>
      </c>
      <c r="AN15">
        <v>2</v>
      </c>
      <c r="AO15">
        <v>1</v>
      </c>
      <c r="AP15">
        <v>1</v>
      </c>
      <c r="AQ15">
        <v>1</v>
      </c>
      <c r="AZ15" t="s">
        <v>841</v>
      </c>
      <c r="BM15" t="s">
        <v>841</v>
      </c>
      <c r="BS15" t="s">
        <v>841</v>
      </c>
      <c r="BV15" t="s">
        <v>839</v>
      </c>
      <c r="BW15" t="s">
        <v>758</v>
      </c>
      <c r="BX15" t="s">
        <v>839</v>
      </c>
      <c r="BY15" t="s">
        <v>759</v>
      </c>
      <c r="BZ15" t="s">
        <v>839</v>
      </c>
      <c r="CA15" t="s">
        <v>839</v>
      </c>
      <c r="CC15" t="s">
        <v>839</v>
      </c>
      <c r="CD15" t="s">
        <v>855</v>
      </c>
      <c r="CG15">
        <v>8</v>
      </c>
      <c r="CH15">
        <v>4</v>
      </c>
      <c r="CI15">
        <v>4</v>
      </c>
      <c r="CJ15">
        <v>0</v>
      </c>
      <c r="CK15" t="s">
        <v>681</v>
      </c>
      <c r="CM15" t="s">
        <v>844</v>
      </c>
      <c r="CN15">
        <v>1</v>
      </c>
      <c r="CO15">
        <v>0</v>
      </c>
      <c r="CP15">
        <v>0</v>
      </c>
      <c r="CQ15">
        <v>0</v>
      </c>
      <c r="CR15">
        <v>0</v>
      </c>
      <c r="CS15">
        <v>0</v>
      </c>
      <c r="CU15" t="s">
        <v>868</v>
      </c>
      <c r="CV15">
        <v>1</v>
      </c>
      <c r="CW15">
        <v>0</v>
      </c>
      <c r="CX15">
        <v>1</v>
      </c>
      <c r="CY15">
        <v>0</v>
      </c>
      <c r="CZ15">
        <v>0</v>
      </c>
      <c r="DA15">
        <v>0</v>
      </c>
      <c r="DB15">
        <v>0</v>
      </c>
      <c r="DC15">
        <v>0</v>
      </c>
      <c r="DD15">
        <v>1</v>
      </c>
      <c r="DE15">
        <v>1</v>
      </c>
      <c r="DF15">
        <v>0</v>
      </c>
      <c r="DJ15">
        <v>4</v>
      </c>
      <c r="DK15">
        <v>16</v>
      </c>
      <c r="DL15">
        <v>20</v>
      </c>
      <c r="DN15">
        <v>300</v>
      </c>
      <c r="DP15">
        <v>400</v>
      </c>
      <c r="DQ15" t="s">
        <v>964</v>
      </c>
      <c r="DR15">
        <v>1</v>
      </c>
      <c r="DS15">
        <v>1</v>
      </c>
      <c r="DT15">
        <v>1</v>
      </c>
      <c r="DU15">
        <v>0</v>
      </c>
      <c r="DV15">
        <v>1</v>
      </c>
      <c r="DW15">
        <v>1</v>
      </c>
      <c r="DX15">
        <v>1</v>
      </c>
      <c r="DY15">
        <v>0</v>
      </c>
      <c r="DZ15">
        <v>0</v>
      </c>
      <c r="EB15" t="s">
        <v>839</v>
      </c>
      <c r="EC15" t="s">
        <v>869</v>
      </c>
      <c r="ED15" t="s">
        <v>848</v>
      </c>
      <c r="EI15">
        <v>100</v>
      </c>
      <c r="EM15" t="s">
        <v>841</v>
      </c>
      <c r="EO15">
        <v>150</v>
      </c>
      <c r="ES15" t="s">
        <v>841</v>
      </c>
      <c r="EU15">
        <v>200</v>
      </c>
      <c r="EY15" t="s">
        <v>841</v>
      </c>
      <c r="FA15">
        <v>7</v>
      </c>
      <c r="FB15" t="s">
        <v>841</v>
      </c>
      <c r="FG15">
        <v>5</v>
      </c>
      <c r="FH15" t="s">
        <v>841</v>
      </c>
      <c r="FM15">
        <v>300</v>
      </c>
      <c r="FO15">
        <v>1</v>
      </c>
      <c r="FP15">
        <v>1</v>
      </c>
      <c r="FQ15">
        <v>2</v>
      </c>
      <c r="FS15" t="s">
        <v>839</v>
      </c>
      <c r="FT15" t="s">
        <v>839</v>
      </c>
      <c r="FU15" t="s">
        <v>839</v>
      </c>
      <c r="FV15" t="s">
        <v>839</v>
      </c>
      <c r="FW15" t="s">
        <v>839</v>
      </c>
      <c r="FX15" t="s">
        <v>965</v>
      </c>
      <c r="FY15" t="s">
        <v>839</v>
      </c>
      <c r="FZ15" t="s">
        <v>839</v>
      </c>
      <c r="GA15" t="s">
        <v>842</v>
      </c>
      <c r="GB15" t="s">
        <v>839</v>
      </c>
      <c r="GC15" t="s">
        <v>839</v>
      </c>
      <c r="GD15" t="s">
        <v>839</v>
      </c>
      <c r="GE15" t="s">
        <v>881</v>
      </c>
      <c r="GG15" t="s">
        <v>839</v>
      </c>
      <c r="GI15" t="s">
        <v>945</v>
      </c>
      <c r="GJ15">
        <v>1</v>
      </c>
      <c r="GK15">
        <v>0</v>
      </c>
      <c r="GL15">
        <v>0</v>
      </c>
      <c r="GM15">
        <v>0</v>
      </c>
      <c r="GN15">
        <v>0</v>
      </c>
      <c r="GO15">
        <v>0</v>
      </c>
      <c r="GP15">
        <v>0</v>
      </c>
      <c r="GQ15">
        <v>0</v>
      </c>
      <c r="GR15">
        <v>0</v>
      </c>
      <c r="GS15">
        <v>1</v>
      </c>
      <c r="GT15">
        <v>0</v>
      </c>
      <c r="GU15">
        <v>0</v>
      </c>
      <c r="GV15">
        <v>0</v>
      </c>
      <c r="GW15">
        <v>0</v>
      </c>
      <c r="GX15">
        <v>0</v>
      </c>
      <c r="GY15">
        <v>0</v>
      </c>
      <c r="GZ15">
        <v>0</v>
      </c>
      <c r="HB15" t="s">
        <v>839</v>
      </c>
    </row>
    <row r="16" spans="1:215" ht="17.25" customHeight="1" x14ac:dyDescent="0.35">
      <c r="A16" t="s">
        <v>966</v>
      </c>
      <c r="B16" s="151">
        <v>44887.334444444437</v>
      </c>
      <c r="C16" t="s">
        <v>967</v>
      </c>
      <c r="D16" t="s">
        <v>968</v>
      </c>
      <c r="E16" t="s">
        <v>875</v>
      </c>
      <c r="F16" t="s">
        <v>969</v>
      </c>
      <c r="G16" t="s">
        <v>969</v>
      </c>
      <c r="H16" t="s">
        <v>839</v>
      </c>
      <c r="I16" t="s">
        <v>896</v>
      </c>
      <c r="K16" t="s">
        <v>839</v>
      </c>
      <c r="L16" t="s">
        <v>626</v>
      </c>
      <c r="M16" s="155" t="s">
        <v>970</v>
      </c>
      <c r="O16">
        <v>35</v>
      </c>
      <c r="P16">
        <v>22</v>
      </c>
      <c r="Q16">
        <v>57</v>
      </c>
      <c r="V16" t="s">
        <v>841</v>
      </c>
      <c r="W16" t="s">
        <v>841</v>
      </c>
      <c r="X16" t="s">
        <v>841</v>
      </c>
      <c r="Y16" t="s">
        <v>841</v>
      </c>
      <c r="Z16" t="s">
        <v>841</v>
      </c>
      <c r="AA16" t="s">
        <v>841</v>
      </c>
      <c r="AB16" t="s">
        <v>841</v>
      </c>
      <c r="AK16">
        <v>1</v>
      </c>
      <c r="AL16">
        <v>1</v>
      </c>
      <c r="AM16">
        <v>1</v>
      </c>
      <c r="AN16">
        <v>1</v>
      </c>
      <c r="AO16">
        <v>1</v>
      </c>
      <c r="AP16">
        <v>1</v>
      </c>
      <c r="AQ16">
        <v>1</v>
      </c>
      <c r="AZ16" t="s">
        <v>841</v>
      </c>
      <c r="BM16" t="s">
        <v>841</v>
      </c>
      <c r="BS16" t="s">
        <v>841</v>
      </c>
      <c r="BV16" t="s">
        <v>842</v>
      </c>
      <c r="BX16" t="s">
        <v>839</v>
      </c>
      <c r="BY16" t="s">
        <v>759</v>
      </c>
      <c r="BZ16" t="s">
        <v>839</v>
      </c>
      <c r="CA16" t="s">
        <v>839</v>
      </c>
      <c r="CC16" t="s">
        <v>839</v>
      </c>
      <c r="CD16" t="s">
        <v>626</v>
      </c>
      <c r="CE16" s="155" t="s">
        <v>971</v>
      </c>
      <c r="CG16">
        <v>5</v>
      </c>
      <c r="CH16">
        <v>2</v>
      </c>
      <c r="CI16">
        <v>2</v>
      </c>
      <c r="CJ16">
        <v>1</v>
      </c>
      <c r="CK16" t="s">
        <v>681</v>
      </c>
      <c r="CM16" t="s">
        <v>626</v>
      </c>
      <c r="CN16">
        <v>0</v>
      </c>
      <c r="CO16">
        <v>0</v>
      </c>
      <c r="CP16">
        <v>0</v>
      </c>
      <c r="CQ16">
        <v>0</v>
      </c>
      <c r="CR16">
        <v>0</v>
      </c>
      <c r="CS16">
        <v>1</v>
      </c>
      <c r="CT16" t="s">
        <v>972</v>
      </c>
      <c r="CU16" t="s">
        <v>973</v>
      </c>
      <c r="CV16">
        <v>1</v>
      </c>
      <c r="CW16">
        <v>0</v>
      </c>
      <c r="CX16">
        <v>0</v>
      </c>
      <c r="CY16">
        <v>0</v>
      </c>
      <c r="CZ16">
        <v>0</v>
      </c>
      <c r="DA16">
        <v>0</v>
      </c>
      <c r="DB16">
        <v>0</v>
      </c>
      <c r="DC16">
        <v>0</v>
      </c>
      <c r="DD16">
        <v>0</v>
      </c>
      <c r="DE16">
        <v>1</v>
      </c>
      <c r="DF16">
        <v>1</v>
      </c>
      <c r="DG16" t="s">
        <v>974</v>
      </c>
      <c r="DJ16">
        <v>2</v>
      </c>
      <c r="DK16">
        <v>3</v>
      </c>
      <c r="DL16">
        <v>5</v>
      </c>
      <c r="DN16">
        <v>250</v>
      </c>
      <c r="DP16">
        <v>300</v>
      </c>
      <c r="DQ16" t="s">
        <v>975</v>
      </c>
      <c r="DR16">
        <v>0</v>
      </c>
      <c r="DS16">
        <v>0</v>
      </c>
      <c r="DT16">
        <v>0</v>
      </c>
      <c r="DU16">
        <v>1</v>
      </c>
      <c r="DV16">
        <v>0</v>
      </c>
      <c r="DW16">
        <v>0</v>
      </c>
      <c r="DX16">
        <v>0</v>
      </c>
      <c r="DY16">
        <v>0</v>
      </c>
      <c r="DZ16">
        <v>0</v>
      </c>
      <c r="EB16" t="s">
        <v>839</v>
      </c>
      <c r="EC16" t="s">
        <v>847</v>
      </c>
      <c r="ED16" t="s">
        <v>900</v>
      </c>
      <c r="EI16">
        <v>220</v>
      </c>
      <c r="EM16" t="s">
        <v>841</v>
      </c>
      <c r="EO16">
        <v>220</v>
      </c>
      <c r="ES16" t="s">
        <v>841</v>
      </c>
      <c r="EZ16" t="s">
        <v>841</v>
      </c>
      <c r="FA16">
        <v>7</v>
      </c>
      <c r="FB16" t="s">
        <v>841</v>
      </c>
      <c r="FG16">
        <v>3</v>
      </c>
      <c r="FH16" t="s">
        <v>841</v>
      </c>
      <c r="FM16">
        <v>7</v>
      </c>
      <c r="FO16">
        <v>3</v>
      </c>
      <c r="FP16">
        <v>2</v>
      </c>
      <c r="FQ16">
        <v>5</v>
      </c>
      <c r="FS16" t="s">
        <v>842</v>
      </c>
      <c r="FT16" t="s">
        <v>842</v>
      </c>
      <c r="FU16" t="s">
        <v>842</v>
      </c>
      <c r="FV16" t="s">
        <v>842</v>
      </c>
      <c r="FW16" t="s">
        <v>682</v>
      </c>
      <c r="FY16" t="s">
        <v>839</v>
      </c>
      <c r="FZ16" t="s">
        <v>839</v>
      </c>
      <c r="GA16" t="s">
        <v>842</v>
      </c>
      <c r="GB16" t="s">
        <v>842</v>
      </c>
      <c r="GC16" t="s">
        <v>842</v>
      </c>
      <c r="GD16" t="s">
        <v>842</v>
      </c>
      <c r="GG16" t="s">
        <v>668</v>
      </c>
      <c r="GI16" t="s">
        <v>976</v>
      </c>
      <c r="GJ16">
        <v>1</v>
      </c>
      <c r="GK16">
        <v>1</v>
      </c>
      <c r="GL16">
        <v>0</v>
      </c>
      <c r="GM16">
        <v>0</v>
      </c>
      <c r="GN16">
        <v>0</v>
      </c>
      <c r="GO16">
        <v>0</v>
      </c>
      <c r="GP16">
        <v>0</v>
      </c>
      <c r="GQ16">
        <v>0</v>
      </c>
      <c r="GR16">
        <v>0</v>
      </c>
      <c r="GS16">
        <v>0</v>
      </c>
      <c r="GT16">
        <v>0</v>
      </c>
      <c r="GU16">
        <v>0</v>
      </c>
      <c r="GV16">
        <v>0</v>
      </c>
      <c r="GW16">
        <v>0</v>
      </c>
      <c r="GX16">
        <v>0</v>
      </c>
      <c r="GY16">
        <v>0</v>
      </c>
      <c r="GZ16">
        <v>0</v>
      </c>
      <c r="HB16" t="s">
        <v>839</v>
      </c>
    </row>
    <row r="17" spans="1:211" x14ac:dyDescent="0.35">
      <c r="A17" t="s">
        <v>977</v>
      </c>
      <c r="B17" s="151">
        <v>44887.343356481477</v>
      </c>
      <c r="C17" t="s">
        <v>978</v>
      </c>
      <c r="D17" t="s">
        <v>979</v>
      </c>
      <c r="E17" t="s">
        <v>875</v>
      </c>
      <c r="F17" t="s">
        <v>980</v>
      </c>
      <c r="G17" t="s">
        <v>980</v>
      </c>
      <c r="H17" t="s">
        <v>839</v>
      </c>
      <c r="I17" t="s">
        <v>896</v>
      </c>
      <c r="K17" t="s">
        <v>842</v>
      </c>
      <c r="O17">
        <v>85</v>
      </c>
      <c r="P17">
        <v>86</v>
      </c>
      <c r="Q17">
        <v>171</v>
      </c>
      <c r="S17" t="s">
        <v>841</v>
      </c>
      <c r="T17" t="s">
        <v>841</v>
      </c>
      <c r="U17" t="s">
        <v>841</v>
      </c>
      <c r="V17" t="s">
        <v>841</v>
      </c>
      <c r="W17" t="s">
        <v>841</v>
      </c>
      <c r="X17" t="s">
        <v>841</v>
      </c>
      <c r="Y17" t="s">
        <v>841</v>
      </c>
      <c r="Z17" t="s">
        <v>841</v>
      </c>
      <c r="AA17" t="s">
        <v>841</v>
      </c>
      <c r="AB17" t="s">
        <v>841</v>
      </c>
      <c r="AH17">
        <v>1</v>
      </c>
      <c r="AI17">
        <v>1</v>
      </c>
      <c r="AJ17">
        <v>1</v>
      </c>
      <c r="AK17">
        <v>1</v>
      </c>
      <c r="AL17">
        <v>1</v>
      </c>
      <c r="AM17">
        <v>1</v>
      </c>
      <c r="AN17">
        <v>1</v>
      </c>
      <c r="AO17">
        <v>1</v>
      </c>
      <c r="AP17">
        <v>1</v>
      </c>
      <c r="AQ17">
        <v>1</v>
      </c>
      <c r="AZ17" t="s">
        <v>841</v>
      </c>
      <c r="BM17" t="s">
        <v>841</v>
      </c>
      <c r="BS17" t="s">
        <v>841</v>
      </c>
      <c r="BV17" t="s">
        <v>842</v>
      </c>
      <c r="BX17" t="s">
        <v>839</v>
      </c>
      <c r="BY17" t="s">
        <v>759</v>
      </c>
      <c r="BZ17" t="s">
        <v>839</v>
      </c>
      <c r="CA17" t="s">
        <v>839</v>
      </c>
      <c r="CC17" t="s">
        <v>839</v>
      </c>
      <c r="CD17" t="s">
        <v>855</v>
      </c>
      <c r="CG17">
        <v>4</v>
      </c>
      <c r="CH17">
        <v>1</v>
      </c>
      <c r="CI17">
        <v>2</v>
      </c>
      <c r="CJ17">
        <v>1</v>
      </c>
      <c r="CK17" t="s">
        <v>856</v>
      </c>
      <c r="CM17" t="s">
        <v>867</v>
      </c>
      <c r="CN17">
        <v>0</v>
      </c>
      <c r="CO17">
        <v>1</v>
      </c>
      <c r="CP17">
        <v>0</v>
      </c>
      <c r="CQ17">
        <v>0</v>
      </c>
      <c r="CR17">
        <v>0</v>
      </c>
      <c r="CS17">
        <v>0</v>
      </c>
      <c r="CU17" t="s">
        <v>981</v>
      </c>
      <c r="CV17">
        <v>1</v>
      </c>
      <c r="CW17">
        <v>0</v>
      </c>
      <c r="CX17">
        <v>0</v>
      </c>
      <c r="CY17">
        <v>0</v>
      </c>
      <c r="CZ17">
        <v>0</v>
      </c>
      <c r="DA17">
        <v>0</v>
      </c>
      <c r="DB17">
        <v>0</v>
      </c>
      <c r="DC17">
        <v>1</v>
      </c>
      <c r="DD17">
        <v>1</v>
      </c>
      <c r="DE17">
        <v>1</v>
      </c>
      <c r="DF17">
        <v>0</v>
      </c>
      <c r="DJ17">
        <v>3</v>
      </c>
      <c r="DK17">
        <v>7</v>
      </c>
      <c r="DL17">
        <v>10</v>
      </c>
      <c r="DN17">
        <v>300</v>
      </c>
      <c r="DP17">
        <v>600</v>
      </c>
      <c r="DQ17" t="s">
        <v>681</v>
      </c>
      <c r="DR17">
        <v>0</v>
      </c>
      <c r="DS17">
        <v>0</v>
      </c>
      <c r="DT17">
        <v>0</v>
      </c>
      <c r="DU17">
        <v>0</v>
      </c>
      <c r="DV17">
        <v>0</v>
      </c>
      <c r="DW17">
        <v>0</v>
      </c>
      <c r="DX17">
        <v>0</v>
      </c>
      <c r="DY17">
        <v>0</v>
      </c>
      <c r="DZ17">
        <v>1</v>
      </c>
      <c r="EB17" t="s">
        <v>842</v>
      </c>
      <c r="EC17" t="s">
        <v>925</v>
      </c>
      <c r="ED17" t="s">
        <v>848</v>
      </c>
      <c r="EI17">
        <v>500</v>
      </c>
      <c r="EM17" t="s">
        <v>841</v>
      </c>
      <c r="EO17">
        <v>500</v>
      </c>
      <c r="ES17" t="s">
        <v>841</v>
      </c>
      <c r="EZ17" t="s">
        <v>841</v>
      </c>
      <c r="FA17">
        <v>8</v>
      </c>
      <c r="FB17" t="s">
        <v>841</v>
      </c>
      <c r="FG17">
        <v>4</v>
      </c>
      <c r="FH17" t="s">
        <v>841</v>
      </c>
      <c r="FM17">
        <v>50</v>
      </c>
      <c r="FO17">
        <v>5</v>
      </c>
      <c r="FP17">
        <v>5</v>
      </c>
      <c r="FQ17">
        <v>10</v>
      </c>
      <c r="FS17" t="s">
        <v>842</v>
      </c>
      <c r="FT17" t="s">
        <v>842</v>
      </c>
      <c r="FU17" t="s">
        <v>839</v>
      </c>
      <c r="FV17" t="s">
        <v>839</v>
      </c>
      <c r="FW17" t="s">
        <v>682</v>
      </c>
      <c r="FY17" t="s">
        <v>842</v>
      </c>
      <c r="FZ17" t="s">
        <v>839</v>
      </c>
      <c r="GA17" t="s">
        <v>842</v>
      </c>
      <c r="GB17" t="s">
        <v>842</v>
      </c>
      <c r="GC17" t="s">
        <v>842</v>
      </c>
      <c r="GD17" t="s">
        <v>842</v>
      </c>
      <c r="GG17" t="s">
        <v>668</v>
      </c>
      <c r="GI17" t="s">
        <v>849</v>
      </c>
      <c r="GJ17">
        <v>1</v>
      </c>
      <c r="GK17">
        <v>0</v>
      </c>
      <c r="GL17">
        <v>0</v>
      </c>
      <c r="GM17">
        <v>0</v>
      </c>
      <c r="GN17">
        <v>0</v>
      </c>
      <c r="GO17">
        <v>0</v>
      </c>
      <c r="GP17">
        <v>0</v>
      </c>
      <c r="GQ17">
        <v>0</v>
      </c>
      <c r="GR17">
        <v>0</v>
      </c>
      <c r="GS17">
        <v>0</v>
      </c>
      <c r="GT17">
        <v>0</v>
      </c>
      <c r="GU17">
        <v>0</v>
      </c>
      <c r="GV17">
        <v>0</v>
      </c>
      <c r="GW17">
        <v>0</v>
      </c>
      <c r="GX17">
        <v>0</v>
      </c>
      <c r="GY17">
        <v>0</v>
      </c>
      <c r="GZ17">
        <v>0</v>
      </c>
      <c r="HB17" t="s">
        <v>839</v>
      </c>
    </row>
    <row r="18" spans="1:211" ht="21.75" customHeight="1" x14ac:dyDescent="0.35">
      <c r="A18" t="s">
        <v>982</v>
      </c>
      <c r="B18" s="151">
        <v>44887.378425925926</v>
      </c>
      <c r="C18" t="s">
        <v>983</v>
      </c>
      <c r="D18" t="s">
        <v>984</v>
      </c>
      <c r="E18" t="s">
        <v>875</v>
      </c>
      <c r="F18" t="s">
        <v>985</v>
      </c>
      <c r="G18" t="s">
        <v>985</v>
      </c>
      <c r="H18" t="s">
        <v>839</v>
      </c>
      <c r="I18" t="s">
        <v>838</v>
      </c>
      <c r="K18" t="s">
        <v>839</v>
      </c>
      <c r="L18" t="s">
        <v>626</v>
      </c>
      <c r="M18" s="155" t="s">
        <v>986</v>
      </c>
      <c r="O18">
        <v>61</v>
      </c>
      <c r="P18">
        <v>69</v>
      </c>
      <c r="Q18">
        <v>130</v>
      </c>
      <c r="S18" t="s">
        <v>841</v>
      </c>
      <c r="T18" t="s">
        <v>841</v>
      </c>
      <c r="U18" t="s">
        <v>841</v>
      </c>
      <c r="V18" t="s">
        <v>841</v>
      </c>
      <c r="W18" t="s">
        <v>841</v>
      </c>
      <c r="X18" t="s">
        <v>841</v>
      </c>
      <c r="Y18" t="s">
        <v>841</v>
      </c>
      <c r="AH18">
        <v>1</v>
      </c>
      <c r="AI18">
        <v>1</v>
      </c>
      <c r="AJ18">
        <v>1</v>
      </c>
      <c r="AK18">
        <v>1</v>
      </c>
      <c r="AL18">
        <v>1</v>
      </c>
      <c r="AM18">
        <v>1</v>
      </c>
      <c r="AN18">
        <v>1</v>
      </c>
      <c r="AZ18" t="s">
        <v>841</v>
      </c>
      <c r="BM18" t="s">
        <v>841</v>
      </c>
      <c r="BS18" t="s">
        <v>841</v>
      </c>
      <c r="BV18" t="s">
        <v>842</v>
      </c>
      <c r="BX18" t="s">
        <v>839</v>
      </c>
      <c r="BY18" t="s">
        <v>950</v>
      </c>
      <c r="BZ18" t="s">
        <v>839</v>
      </c>
      <c r="CA18" t="s">
        <v>839</v>
      </c>
      <c r="CC18" t="s">
        <v>842</v>
      </c>
      <c r="CD18" t="s">
        <v>855</v>
      </c>
      <c r="CG18">
        <v>2</v>
      </c>
      <c r="CH18">
        <v>1</v>
      </c>
      <c r="CI18">
        <v>1</v>
      </c>
      <c r="CJ18">
        <v>0</v>
      </c>
      <c r="CK18" t="s">
        <v>866</v>
      </c>
      <c r="CM18" t="s">
        <v>917</v>
      </c>
      <c r="CN18">
        <v>0</v>
      </c>
      <c r="CO18">
        <v>0</v>
      </c>
      <c r="CP18">
        <v>1</v>
      </c>
      <c r="CQ18">
        <v>0</v>
      </c>
      <c r="CR18">
        <v>0</v>
      </c>
      <c r="CS18">
        <v>0</v>
      </c>
      <c r="CU18" t="s">
        <v>987</v>
      </c>
      <c r="CV18">
        <v>1</v>
      </c>
      <c r="CW18">
        <v>0</v>
      </c>
      <c r="CX18">
        <v>1</v>
      </c>
      <c r="CY18">
        <v>0</v>
      </c>
      <c r="CZ18">
        <v>0</v>
      </c>
      <c r="DA18">
        <v>0</v>
      </c>
      <c r="DB18">
        <v>0</v>
      </c>
      <c r="DC18">
        <v>0</v>
      </c>
      <c r="DD18">
        <v>0</v>
      </c>
      <c r="DE18">
        <v>0</v>
      </c>
      <c r="DF18">
        <v>0</v>
      </c>
      <c r="DJ18">
        <v>4</v>
      </c>
      <c r="DK18">
        <v>3</v>
      </c>
      <c r="DL18">
        <v>7</v>
      </c>
      <c r="DN18">
        <v>250</v>
      </c>
      <c r="DP18">
        <v>500</v>
      </c>
      <c r="DQ18" t="s">
        <v>858</v>
      </c>
      <c r="DR18">
        <v>0</v>
      </c>
      <c r="DS18">
        <v>0</v>
      </c>
      <c r="DT18">
        <v>1</v>
      </c>
      <c r="DU18">
        <v>0</v>
      </c>
      <c r="DV18">
        <v>1</v>
      </c>
      <c r="DW18">
        <v>0</v>
      </c>
      <c r="DX18">
        <v>0</v>
      </c>
      <c r="DY18">
        <v>0</v>
      </c>
      <c r="DZ18">
        <v>0</v>
      </c>
      <c r="EB18" t="s">
        <v>839</v>
      </c>
      <c r="EC18" t="s">
        <v>847</v>
      </c>
      <c r="ED18" t="s">
        <v>848</v>
      </c>
      <c r="EI18">
        <v>150</v>
      </c>
      <c r="EM18" t="s">
        <v>841</v>
      </c>
      <c r="EO18">
        <v>150</v>
      </c>
      <c r="ES18" t="s">
        <v>841</v>
      </c>
      <c r="EZ18" t="s">
        <v>841</v>
      </c>
      <c r="FA18">
        <v>10</v>
      </c>
      <c r="FB18" t="s">
        <v>841</v>
      </c>
      <c r="FG18">
        <v>5</v>
      </c>
      <c r="FH18" t="s">
        <v>841</v>
      </c>
      <c r="FM18">
        <v>0</v>
      </c>
      <c r="FO18">
        <v>0</v>
      </c>
      <c r="FP18">
        <v>0</v>
      </c>
      <c r="FQ18">
        <v>0</v>
      </c>
      <c r="FS18" t="s">
        <v>839</v>
      </c>
      <c r="FT18" t="s">
        <v>839</v>
      </c>
      <c r="FU18" t="s">
        <v>839</v>
      </c>
      <c r="FV18" t="s">
        <v>842</v>
      </c>
      <c r="FW18" t="s">
        <v>839</v>
      </c>
      <c r="FX18" t="s">
        <v>965</v>
      </c>
      <c r="FY18" t="s">
        <v>842</v>
      </c>
      <c r="FZ18" t="s">
        <v>842</v>
      </c>
      <c r="GA18" t="s">
        <v>842</v>
      </c>
      <c r="GB18" t="s">
        <v>839</v>
      </c>
      <c r="GC18" t="s">
        <v>842</v>
      </c>
      <c r="GD18" t="s">
        <v>842</v>
      </c>
      <c r="GG18" t="s">
        <v>668</v>
      </c>
      <c r="GI18" t="s">
        <v>988</v>
      </c>
      <c r="GJ18">
        <v>1</v>
      </c>
      <c r="GK18">
        <v>0</v>
      </c>
      <c r="GL18">
        <v>1</v>
      </c>
      <c r="GM18">
        <v>0</v>
      </c>
      <c r="GN18">
        <v>1</v>
      </c>
      <c r="GO18">
        <v>0</v>
      </c>
      <c r="GP18">
        <v>0</v>
      </c>
      <c r="GQ18">
        <v>0</v>
      </c>
      <c r="GR18">
        <v>1</v>
      </c>
      <c r="GS18">
        <v>1</v>
      </c>
      <c r="GT18">
        <v>1</v>
      </c>
      <c r="GU18">
        <v>1</v>
      </c>
      <c r="GV18">
        <v>1</v>
      </c>
      <c r="GW18">
        <v>1</v>
      </c>
      <c r="GX18">
        <v>0</v>
      </c>
      <c r="GY18">
        <v>0</v>
      </c>
      <c r="GZ18">
        <v>0</v>
      </c>
      <c r="HB18" t="s">
        <v>839</v>
      </c>
    </row>
    <row r="19" spans="1:211" x14ac:dyDescent="0.35">
      <c r="A19" t="s">
        <v>989</v>
      </c>
      <c r="B19" s="151">
        <v>44887.390775462962</v>
      </c>
      <c r="C19" t="s">
        <v>990</v>
      </c>
      <c r="D19" t="s">
        <v>991</v>
      </c>
      <c r="E19" t="s">
        <v>875</v>
      </c>
      <c r="F19" t="s">
        <v>992</v>
      </c>
      <c r="G19" t="s">
        <v>992</v>
      </c>
      <c r="H19" t="s">
        <v>839</v>
      </c>
      <c r="I19" t="s">
        <v>896</v>
      </c>
      <c r="K19" t="s">
        <v>839</v>
      </c>
      <c r="L19" t="s">
        <v>887</v>
      </c>
      <c r="O19">
        <v>262</v>
      </c>
      <c r="P19">
        <v>230</v>
      </c>
      <c r="Q19">
        <v>492</v>
      </c>
      <c r="S19" t="s">
        <v>841</v>
      </c>
      <c r="T19" t="s">
        <v>841</v>
      </c>
      <c r="U19" t="s">
        <v>841</v>
      </c>
      <c r="V19" t="s">
        <v>841</v>
      </c>
      <c r="W19" t="s">
        <v>841</v>
      </c>
      <c r="X19" t="s">
        <v>841</v>
      </c>
      <c r="Y19" t="s">
        <v>841</v>
      </c>
      <c r="Z19" t="s">
        <v>841</v>
      </c>
      <c r="AA19" t="s">
        <v>841</v>
      </c>
      <c r="AB19" t="s">
        <v>841</v>
      </c>
      <c r="AH19">
        <v>1</v>
      </c>
      <c r="AI19">
        <v>1</v>
      </c>
      <c r="AJ19">
        <v>2</v>
      </c>
      <c r="AK19">
        <v>2</v>
      </c>
      <c r="AL19">
        <v>2</v>
      </c>
      <c r="AM19">
        <v>2</v>
      </c>
      <c r="AN19">
        <v>1</v>
      </c>
      <c r="AO19">
        <v>1</v>
      </c>
      <c r="AP19">
        <v>1</v>
      </c>
      <c r="AQ19">
        <v>1</v>
      </c>
      <c r="AR19">
        <v>0</v>
      </c>
      <c r="AS19">
        <v>0</v>
      </c>
      <c r="AT19">
        <v>0</v>
      </c>
      <c r="AU19">
        <v>0</v>
      </c>
      <c r="AZ19" t="s">
        <v>841</v>
      </c>
      <c r="BM19" t="s">
        <v>841</v>
      </c>
      <c r="BS19" t="s">
        <v>841</v>
      </c>
      <c r="BV19" t="s">
        <v>839</v>
      </c>
      <c r="BW19" t="s">
        <v>759</v>
      </c>
      <c r="BX19" t="s">
        <v>839</v>
      </c>
      <c r="BY19" t="s">
        <v>950</v>
      </c>
      <c r="BZ19" t="s">
        <v>839</v>
      </c>
      <c r="CA19" t="s">
        <v>839</v>
      </c>
      <c r="CC19" t="s">
        <v>839</v>
      </c>
      <c r="CD19" t="s">
        <v>855</v>
      </c>
      <c r="CG19">
        <v>6</v>
      </c>
      <c r="CH19">
        <v>2</v>
      </c>
      <c r="CI19">
        <v>2</v>
      </c>
      <c r="CJ19">
        <v>2</v>
      </c>
      <c r="CK19" t="s">
        <v>993</v>
      </c>
      <c r="CM19" t="s">
        <v>844</v>
      </c>
      <c r="CN19">
        <v>1</v>
      </c>
      <c r="CO19">
        <v>0</v>
      </c>
      <c r="CP19">
        <v>0</v>
      </c>
      <c r="CQ19">
        <v>0</v>
      </c>
      <c r="CR19">
        <v>0</v>
      </c>
      <c r="CS19">
        <v>0</v>
      </c>
      <c r="CU19" t="s">
        <v>994</v>
      </c>
      <c r="CV19">
        <v>1</v>
      </c>
      <c r="CW19">
        <v>0</v>
      </c>
      <c r="CX19">
        <v>1</v>
      </c>
      <c r="CY19">
        <v>0</v>
      </c>
      <c r="CZ19">
        <v>0</v>
      </c>
      <c r="DA19">
        <v>1</v>
      </c>
      <c r="DB19">
        <v>0</v>
      </c>
      <c r="DC19">
        <v>1</v>
      </c>
      <c r="DD19">
        <v>1</v>
      </c>
      <c r="DE19">
        <v>0</v>
      </c>
      <c r="DF19">
        <v>0</v>
      </c>
      <c r="DJ19">
        <v>6</v>
      </c>
      <c r="DK19">
        <v>13</v>
      </c>
      <c r="DL19">
        <v>19</v>
      </c>
      <c r="DN19">
        <v>350</v>
      </c>
      <c r="DP19">
        <v>600</v>
      </c>
      <c r="DQ19" t="s">
        <v>995</v>
      </c>
      <c r="DR19">
        <v>1</v>
      </c>
      <c r="DS19">
        <v>1</v>
      </c>
      <c r="DT19">
        <v>1</v>
      </c>
      <c r="DU19">
        <v>0</v>
      </c>
      <c r="DV19">
        <v>0</v>
      </c>
      <c r="DW19">
        <v>0</v>
      </c>
      <c r="DX19">
        <v>0</v>
      </c>
      <c r="DY19">
        <v>0</v>
      </c>
      <c r="DZ19">
        <v>0</v>
      </c>
      <c r="EB19" t="s">
        <v>839</v>
      </c>
      <c r="EC19" t="s">
        <v>847</v>
      </c>
      <c r="ED19" t="s">
        <v>626</v>
      </c>
      <c r="EI19">
        <v>300</v>
      </c>
      <c r="EM19" t="s">
        <v>841</v>
      </c>
      <c r="EO19">
        <v>300</v>
      </c>
      <c r="ES19" t="s">
        <v>841</v>
      </c>
      <c r="EU19">
        <v>300</v>
      </c>
      <c r="EY19" t="s">
        <v>841</v>
      </c>
      <c r="FA19">
        <v>7</v>
      </c>
      <c r="FB19" t="s">
        <v>841</v>
      </c>
      <c r="FG19">
        <v>7</v>
      </c>
      <c r="FH19" t="s">
        <v>841</v>
      </c>
      <c r="FM19">
        <v>900</v>
      </c>
      <c r="FO19">
        <v>2</v>
      </c>
      <c r="FP19">
        <v>1</v>
      </c>
      <c r="FQ19">
        <v>3</v>
      </c>
      <c r="FS19" t="s">
        <v>839</v>
      </c>
      <c r="FT19" t="s">
        <v>839</v>
      </c>
      <c r="FU19" t="s">
        <v>839</v>
      </c>
      <c r="FV19" t="s">
        <v>839</v>
      </c>
      <c r="FW19" t="s">
        <v>842</v>
      </c>
      <c r="FY19" t="s">
        <v>839</v>
      </c>
      <c r="FZ19" t="s">
        <v>839</v>
      </c>
      <c r="GA19" t="s">
        <v>839</v>
      </c>
      <c r="GB19" t="s">
        <v>842</v>
      </c>
      <c r="GC19" t="s">
        <v>842</v>
      </c>
      <c r="GD19" t="s">
        <v>839</v>
      </c>
      <c r="GE19" t="s">
        <v>929</v>
      </c>
      <c r="GG19" t="s">
        <v>668</v>
      </c>
      <c r="GI19" t="s">
        <v>996</v>
      </c>
      <c r="GJ19">
        <v>1</v>
      </c>
      <c r="GK19">
        <v>0</v>
      </c>
      <c r="GL19">
        <v>1</v>
      </c>
      <c r="GM19">
        <v>0</v>
      </c>
      <c r="GN19">
        <v>0</v>
      </c>
      <c r="GO19">
        <v>1</v>
      </c>
      <c r="GP19">
        <v>1</v>
      </c>
      <c r="GQ19">
        <v>0</v>
      </c>
      <c r="GR19">
        <v>0</v>
      </c>
      <c r="GS19">
        <v>0</v>
      </c>
      <c r="GT19">
        <v>0</v>
      </c>
      <c r="GU19">
        <v>0</v>
      </c>
      <c r="GV19">
        <v>0</v>
      </c>
      <c r="GW19">
        <v>0</v>
      </c>
      <c r="GX19">
        <v>0</v>
      </c>
      <c r="GY19">
        <v>0</v>
      </c>
      <c r="GZ19">
        <v>0</v>
      </c>
      <c r="HB19" t="s">
        <v>839</v>
      </c>
    </row>
    <row r="20" spans="1:211" x14ac:dyDescent="0.35">
      <c r="A20" t="s">
        <v>997</v>
      </c>
      <c r="B20" s="151">
        <v>44887.397523148153</v>
      </c>
      <c r="C20" t="s">
        <v>998</v>
      </c>
      <c r="D20" t="s">
        <v>999</v>
      </c>
      <c r="E20" t="s">
        <v>835</v>
      </c>
      <c r="F20" t="s">
        <v>1000</v>
      </c>
      <c r="G20" t="s">
        <v>1000</v>
      </c>
      <c r="H20" t="s">
        <v>839</v>
      </c>
      <c r="I20" t="s">
        <v>838</v>
      </c>
      <c r="K20" t="s">
        <v>839</v>
      </c>
      <c r="L20" t="s">
        <v>887</v>
      </c>
      <c r="O20">
        <v>125</v>
      </c>
      <c r="P20">
        <v>125</v>
      </c>
      <c r="Q20">
        <v>250</v>
      </c>
      <c r="S20" t="s">
        <v>841</v>
      </c>
      <c r="T20" t="s">
        <v>841</v>
      </c>
      <c r="U20" t="s">
        <v>841</v>
      </c>
      <c r="V20" t="s">
        <v>841</v>
      </c>
      <c r="W20" t="s">
        <v>841</v>
      </c>
      <c r="X20" t="s">
        <v>841</v>
      </c>
      <c r="Y20" t="s">
        <v>841</v>
      </c>
      <c r="Z20" t="s">
        <v>841</v>
      </c>
      <c r="AA20" t="s">
        <v>841</v>
      </c>
      <c r="AB20" t="s">
        <v>841</v>
      </c>
      <c r="AH20">
        <v>1</v>
      </c>
      <c r="AI20">
        <v>1</v>
      </c>
      <c r="AJ20">
        <v>1</v>
      </c>
      <c r="AK20">
        <v>1</v>
      </c>
      <c r="AL20">
        <v>1</v>
      </c>
      <c r="AM20">
        <v>1</v>
      </c>
      <c r="AN20">
        <v>1</v>
      </c>
      <c r="AO20">
        <v>1</v>
      </c>
      <c r="AP20">
        <v>1</v>
      </c>
      <c r="AQ20">
        <v>1</v>
      </c>
      <c r="AZ20" t="s">
        <v>841</v>
      </c>
      <c r="BV20" t="s">
        <v>839</v>
      </c>
      <c r="BW20" t="s">
        <v>758</v>
      </c>
      <c r="BX20" t="s">
        <v>839</v>
      </c>
      <c r="BY20" t="s">
        <v>950</v>
      </c>
      <c r="BZ20" t="s">
        <v>839</v>
      </c>
      <c r="CA20" t="s">
        <v>839</v>
      </c>
      <c r="CC20" t="s">
        <v>839</v>
      </c>
      <c r="CD20" t="s">
        <v>855</v>
      </c>
      <c r="CG20">
        <v>5</v>
      </c>
      <c r="CH20">
        <v>2</v>
      </c>
      <c r="CI20">
        <v>2</v>
      </c>
      <c r="CJ20">
        <v>1</v>
      </c>
      <c r="CK20" t="s">
        <v>993</v>
      </c>
      <c r="CM20" t="s">
        <v>844</v>
      </c>
      <c r="CN20">
        <v>1</v>
      </c>
      <c r="CO20">
        <v>0</v>
      </c>
      <c r="CP20">
        <v>0</v>
      </c>
      <c r="CQ20">
        <v>0</v>
      </c>
      <c r="CR20">
        <v>0</v>
      </c>
      <c r="CS20">
        <v>0</v>
      </c>
      <c r="CU20" t="s">
        <v>1001</v>
      </c>
      <c r="CV20">
        <v>1</v>
      </c>
      <c r="CW20">
        <v>1</v>
      </c>
      <c r="CX20">
        <v>1</v>
      </c>
      <c r="CY20">
        <v>1</v>
      </c>
      <c r="CZ20">
        <v>0</v>
      </c>
      <c r="DA20">
        <v>0</v>
      </c>
      <c r="DB20">
        <v>0</v>
      </c>
      <c r="DC20">
        <v>0</v>
      </c>
      <c r="DD20">
        <v>0</v>
      </c>
      <c r="DE20">
        <v>0</v>
      </c>
      <c r="DF20">
        <v>0</v>
      </c>
      <c r="DJ20">
        <v>4</v>
      </c>
      <c r="DK20">
        <v>6</v>
      </c>
      <c r="DL20">
        <v>10</v>
      </c>
      <c r="DN20">
        <v>250</v>
      </c>
      <c r="DP20">
        <v>450</v>
      </c>
      <c r="DQ20" t="s">
        <v>975</v>
      </c>
      <c r="DR20">
        <v>0</v>
      </c>
      <c r="DS20">
        <v>0</v>
      </c>
      <c r="DT20">
        <v>0</v>
      </c>
      <c r="DU20">
        <v>1</v>
      </c>
      <c r="DV20">
        <v>0</v>
      </c>
      <c r="DW20">
        <v>0</v>
      </c>
      <c r="DX20">
        <v>0</v>
      </c>
      <c r="DY20">
        <v>0</v>
      </c>
      <c r="DZ20">
        <v>0</v>
      </c>
      <c r="EB20" t="s">
        <v>839</v>
      </c>
      <c r="EC20" t="s">
        <v>869</v>
      </c>
      <c r="ED20" t="s">
        <v>848</v>
      </c>
      <c r="EI20">
        <v>200</v>
      </c>
      <c r="EM20" t="s">
        <v>841</v>
      </c>
      <c r="EO20">
        <v>200</v>
      </c>
      <c r="ES20" t="s">
        <v>841</v>
      </c>
      <c r="EZ20" t="s">
        <v>841</v>
      </c>
      <c r="FA20">
        <v>3</v>
      </c>
      <c r="FB20" t="s">
        <v>841</v>
      </c>
      <c r="FL20" t="s">
        <v>841</v>
      </c>
      <c r="FM20">
        <v>250</v>
      </c>
      <c r="FO20">
        <v>5</v>
      </c>
      <c r="FP20">
        <v>3</v>
      </c>
      <c r="FQ20">
        <v>8</v>
      </c>
      <c r="FS20" t="s">
        <v>842</v>
      </c>
      <c r="FT20" t="s">
        <v>842</v>
      </c>
      <c r="FU20" t="s">
        <v>839</v>
      </c>
      <c r="FV20" t="s">
        <v>839</v>
      </c>
      <c r="FW20" t="s">
        <v>839</v>
      </c>
      <c r="FX20" t="s">
        <v>890</v>
      </c>
      <c r="FY20" t="s">
        <v>842</v>
      </c>
      <c r="FZ20" t="s">
        <v>842</v>
      </c>
      <c r="GA20" t="s">
        <v>839</v>
      </c>
      <c r="GB20" t="s">
        <v>839</v>
      </c>
      <c r="GC20" t="s">
        <v>842</v>
      </c>
      <c r="GD20" t="s">
        <v>842</v>
      </c>
      <c r="GG20" t="s">
        <v>842</v>
      </c>
      <c r="GI20" t="s">
        <v>1002</v>
      </c>
      <c r="GJ20">
        <v>0</v>
      </c>
      <c r="GK20">
        <v>1</v>
      </c>
      <c r="GL20">
        <v>0</v>
      </c>
      <c r="GM20">
        <v>0</v>
      </c>
      <c r="GN20">
        <v>0</v>
      </c>
      <c r="GO20">
        <v>0</v>
      </c>
      <c r="GP20">
        <v>0</v>
      </c>
      <c r="GQ20">
        <v>0</v>
      </c>
      <c r="GR20">
        <v>0</v>
      </c>
      <c r="GS20">
        <v>0</v>
      </c>
      <c r="GT20">
        <v>0</v>
      </c>
      <c r="GU20">
        <v>0</v>
      </c>
      <c r="GV20">
        <v>0</v>
      </c>
      <c r="GW20">
        <v>1</v>
      </c>
      <c r="GX20">
        <v>0</v>
      </c>
      <c r="GY20">
        <v>0</v>
      </c>
      <c r="GZ20">
        <v>0</v>
      </c>
      <c r="HB20" t="s">
        <v>839</v>
      </c>
    </row>
    <row r="21" spans="1:211" x14ac:dyDescent="0.35">
      <c r="A21" t="s">
        <v>1003</v>
      </c>
      <c r="B21" s="151">
        <v>44887.410509259258</v>
      </c>
      <c r="C21" t="s">
        <v>1004</v>
      </c>
      <c r="D21" t="s">
        <v>1005</v>
      </c>
      <c r="E21" t="s">
        <v>875</v>
      </c>
      <c r="F21" t="s">
        <v>1006</v>
      </c>
      <c r="G21" t="s">
        <v>1006</v>
      </c>
      <c r="H21" t="s">
        <v>839</v>
      </c>
      <c r="I21" t="s">
        <v>896</v>
      </c>
      <c r="K21" t="s">
        <v>842</v>
      </c>
      <c r="O21">
        <v>45</v>
      </c>
      <c r="P21">
        <v>50</v>
      </c>
      <c r="Q21">
        <v>95</v>
      </c>
      <c r="S21" t="s">
        <v>841</v>
      </c>
      <c r="T21" t="s">
        <v>841</v>
      </c>
      <c r="U21" t="s">
        <v>841</v>
      </c>
      <c r="V21" t="s">
        <v>841</v>
      </c>
      <c r="W21" t="s">
        <v>841</v>
      </c>
      <c r="X21" t="s">
        <v>841</v>
      </c>
      <c r="Y21" t="s">
        <v>841</v>
      </c>
      <c r="Z21" t="s">
        <v>841</v>
      </c>
      <c r="AH21">
        <v>1</v>
      </c>
      <c r="AI21">
        <v>1</v>
      </c>
      <c r="AJ21">
        <v>1</v>
      </c>
      <c r="AK21">
        <v>1</v>
      </c>
      <c r="AL21">
        <v>1</v>
      </c>
      <c r="AM21">
        <v>1</v>
      </c>
      <c r="AN21">
        <v>1</v>
      </c>
      <c r="AO21">
        <v>1</v>
      </c>
      <c r="AP21">
        <v>0</v>
      </c>
      <c r="AQ21">
        <v>0</v>
      </c>
      <c r="AR21">
        <v>0</v>
      </c>
      <c r="AS21">
        <v>0</v>
      </c>
      <c r="AT21">
        <v>0</v>
      </c>
      <c r="AU21">
        <v>0</v>
      </c>
      <c r="AZ21" t="s">
        <v>841</v>
      </c>
      <c r="BM21" t="s">
        <v>841</v>
      </c>
      <c r="BS21" t="s">
        <v>841</v>
      </c>
      <c r="BV21" t="s">
        <v>839</v>
      </c>
      <c r="BW21" t="s">
        <v>759</v>
      </c>
      <c r="BX21" t="s">
        <v>839</v>
      </c>
      <c r="BY21" t="s">
        <v>759</v>
      </c>
      <c r="BZ21" t="s">
        <v>839</v>
      </c>
      <c r="CA21" t="s">
        <v>839</v>
      </c>
      <c r="CC21" t="s">
        <v>839</v>
      </c>
      <c r="CD21" t="s">
        <v>855</v>
      </c>
      <c r="CG21">
        <v>3</v>
      </c>
      <c r="CH21">
        <v>1</v>
      </c>
      <c r="CI21">
        <v>2</v>
      </c>
      <c r="CJ21">
        <v>0</v>
      </c>
      <c r="CK21" t="s">
        <v>877</v>
      </c>
      <c r="CM21" t="s">
        <v>867</v>
      </c>
      <c r="CN21">
        <v>0</v>
      </c>
      <c r="CO21">
        <v>1</v>
      </c>
      <c r="CP21">
        <v>0</v>
      </c>
      <c r="CQ21">
        <v>0</v>
      </c>
      <c r="CR21">
        <v>0</v>
      </c>
      <c r="CS21">
        <v>0</v>
      </c>
      <c r="CU21" t="s">
        <v>888</v>
      </c>
      <c r="CV21">
        <v>1</v>
      </c>
      <c r="CW21">
        <v>1</v>
      </c>
      <c r="CX21">
        <v>1</v>
      </c>
      <c r="CY21">
        <v>0</v>
      </c>
      <c r="CZ21">
        <v>0</v>
      </c>
      <c r="DA21">
        <v>0</v>
      </c>
      <c r="DB21">
        <v>0</v>
      </c>
      <c r="DC21">
        <v>0</v>
      </c>
      <c r="DD21">
        <v>1</v>
      </c>
      <c r="DE21">
        <v>0</v>
      </c>
      <c r="DF21">
        <v>0</v>
      </c>
      <c r="DJ21">
        <v>1</v>
      </c>
      <c r="DK21">
        <v>6</v>
      </c>
      <c r="DL21">
        <v>7</v>
      </c>
      <c r="DN21">
        <v>350</v>
      </c>
      <c r="DP21">
        <v>450</v>
      </c>
      <c r="DQ21" t="s">
        <v>1007</v>
      </c>
      <c r="DR21">
        <v>1</v>
      </c>
      <c r="DS21">
        <v>0</v>
      </c>
      <c r="DT21">
        <v>0</v>
      </c>
      <c r="DU21">
        <v>0</v>
      </c>
      <c r="DV21">
        <v>0</v>
      </c>
      <c r="DW21">
        <v>1</v>
      </c>
      <c r="DX21">
        <v>0</v>
      </c>
      <c r="DY21">
        <v>0</v>
      </c>
      <c r="DZ21">
        <v>0</v>
      </c>
      <c r="EB21" t="s">
        <v>839</v>
      </c>
      <c r="EC21" t="s">
        <v>869</v>
      </c>
      <c r="ED21" t="s">
        <v>848</v>
      </c>
      <c r="EI21">
        <v>700</v>
      </c>
      <c r="EM21" t="s">
        <v>841</v>
      </c>
      <c r="EO21">
        <v>700</v>
      </c>
      <c r="ES21" t="s">
        <v>841</v>
      </c>
      <c r="EZ21" t="s">
        <v>841</v>
      </c>
      <c r="FA21">
        <v>11.5</v>
      </c>
      <c r="FB21" t="s">
        <v>841</v>
      </c>
      <c r="FG21">
        <v>6</v>
      </c>
      <c r="FH21" t="s">
        <v>841</v>
      </c>
      <c r="FM21">
        <v>150</v>
      </c>
      <c r="FO21">
        <v>4</v>
      </c>
      <c r="FP21">
        <v>8</v>
      </c>
      <c r="FQ21">
        <v>12</v>
      </c>
      <c r="FS21" t="s">
        <v>839</v>
      </c>
      <c r="FT21" t="s">
        <v>839</v>
      </c>
      <c r="FU21" t="s">
        <v>839</v>
      </c>
      <c r="FV21" t="s">
        <v>842</v>
      </c>
      <c r="FW21" t="s">
        <v>842</v>
      </c>
      <c r="FY21" t="s">
        <v>839</v>
      </c>
      <c r="FZ21" t="s">
        <v>839</v>
      </c>
      <c r="GA21" t="s">
        <v>842</v>
      </c>
      <c r="GB21" t="s">
        <v>839</v>
      </c>
      <c r="GC21" t="s">
        <v>842</v>
      </c>
      <c r="GD21" t="s">
        <v>842</v>
      </c>
      <c r="GG21" t="s">
        <v>839</v>
      </c>
      <c r="GI21" t="s">
        <v>1008</v>
      </c>
      <c r="GJ21">
        <v>1</v>
      </c>
      <c r="GK21">
        <v>0</v>
      </c>
      <c r="GL21">
        <v>0</v>
      </c>
      <c r="GM21">
        <v>0</v>
      </c>
      <c r="GN21">
        <v>0</v>
      </c>
      <c r="GO21">
        <v>1</v>
      </c>
      <c r="GP21">
        <v>0</v>
      </c>
      <c r="GQ21">
        <v>0</v>
      </c>
      <c r="GR21">
        <v>1</v>
      </c>
      <c r="GS21">
        <v>0</v>
      </c>
      <c r="GT21">
        <v>0</v>
      </c>
      <c r="GU21">
        <v>1</v>
      </c>
      <c r="GV21">
        <v>1</v>
      </c>
      <c r="GW21">
        <v>0</v>
      </c>
      <c r="GX21">
        <v>0</v>
      </c>
      <c r="GY21">
        <v>0</v>
      </c>
      <c r="GZ21">
        <v>0</v>
      </c>
      <c r="HB21" t="s">
        <v>839</v>
      </c>
    </row>
    <row r="22" spans="1:211" x14ac:dyDescent="0.35">
      <c r="A22" t="s">
        <v>1009</v>
      </c>
      <c r="B22" s="151">
        <v>44887.41333333333</v>
      </c>
      <c r="C22" t="s">
        <v>1010</v>
      </c>
      <c r="D22" t="s">
        <v>1011</v>
      </c>
      <c r="E22" t="s">
        <v>875</v>
      </c>
      <c r="F22" t="s">
        <v>1012</v>
      </c>
      <c r="G22" t="s">
        <v>1013</v>
      </c>
      <c r="H22" t="s">
        <v>842</v>
      </c>
      <c r="K22" t="s">
        <v>839</v>
      </c>
      <c r="L22" t="s">
        <v>897</v>
      </c>
      <c r="O22">
        <v>55</v>
      </c>
      <c r="P22">
        <v>66</v>
      </c>
      <c r="Q22">
        <v>111</v>
      </c>
      <c r="S22" t="s">
        <v>841</v>
      </c>
      <c r="T22" t="s">
        <v>841</v>
      </c>
      <c r="U22" t="s">
        <v>841</v>
      </c>
      <c r="V22" t="s">
        <v>841</v>
      </c>
      <c r="W22" t="s">
        <v>841</v>
      </c>
      <c r="X22" t="s">
        <v>841</v>
      </c>
      <c r="Y22" t="s">
        <v>841</v>
      </c>
      <c r="Z22" t="s">
        <v>841</v>
      </c>
      <c r="AA22" t="s">
        <v>841</v>
      </c>
      <c r="AB22" t="s">
        <v>841</v>
      </c>
      <c r="AC22" t="s">
        <v>841</v>
      </c>
      <c r="AH22">
        <v>1</v>
      </c>
      <c r="AI22">
        <v>1</v>
      </c>
      <c r="AJ22">
        <v>1</v>
      </c>
      <c r="AK22">
        <v>1</v>
      </c>
      <c r="AL22">
        <v>1</v>
      </c>
      <c r="AM22">
        <v>1</v>
      </c>
      <c r="AN22">
        <v>1</v>
      </c>
      <c r="AO22">
        <v>1</v>
      </c>
      <c r="AP22">
        <v>1</v>
      </c>
      <c r="AQ22">
        <v>1</v>
      </c>
      <c r="AR22">
        <v>1</v>
      </c>
      <c r="BV22" t="s">
        <v>839</v>
      </c>
      <c r="BW22" t="s">
        <v>758</v>
      </c>
      <c r="BX22" t="s">
        <v>839</v>
      </c>
      <c r="BY22" t="s">
        <v>759</v>
      </c>
      <c r="BZ22" t="s">
        <v>839</v>
      </c>
      <c r="CA22" t="s">
        <v>839</v>
      </c>
      <c r="CC22" t="s">
        <v>839</v>
      </c>
      <c r="CD22" t="s">
        <v>855</v>
      </c>
      <c r="CG22">
        <v>4</v>
      </c>
      <c r="CH22">
        <v>2</v>
      </c>
      <c r="CI22">
        <v>2</v>
      </c>
      <c r="CJ22">
        <v>0</v>
      </c>
      <c r="CK22" t="s">
        <v>877</v>
      </c>
      <c r="CM22" t="s">
        <v>867</v>
      </c>
      <c r="CN22">
        <v>0</v>
      </c>
      <c r="CO22">
        <v>1</v>
      </c>
      <c r="CP22">
        <v>0</v>
      </c>
      <c r="CQ22">
        <v>0</v>
      </c>
      <c r="CR22">
        <v>0</v>
      </c>
      <c r="CS22">
        <v>0</v>
      </c>
      <c r="CU22" t="s">
        <v>1014</v>
      </c>
      <c r="CV22">
        <v>1</v>
      </c>
      <c r="CW22">
        <v>1</v>
      </c>
      <c r="CX22">
        <v>1</v>
      </c>
      <c r="CY22">
        <v>1</v>
      </c>
      <c r="CZ22">
        <v>0</v>
      </c>
      <c r="DA22">
        <v>1</v>
      </c>
      <c r="DB22">
        <v>0</v>
      </c>
      <c r="DC22">
        <v>1</v>
      </c>
      <c r="DD22">
        <v>1</v>
      </c>
      <c r="DE22">
        <v>1</v>
      </c>
      <c r="DF22">
        <v>0</v>
      </c>
      <c r="DJ22">
        <v>3</v>
      </c>
      <c r="DK22">
        <v>12</v>
      </c>
      <c r="DL22">
        <v>15</v>
      </c>
      <c r="DN22">
        <v>300</v>
      </c>
      <c r="DP22">
        <v>1000</v>
      </c>
      <c r="DQ22" t="s">
        <v>908</v>
      </c>
      <c r="DR22">
        <v>1</v>
      </c>
      <c r="DS22">
        <v>1</v>
      </c>
      <c r="DT22">
        <v>1</v>
      </c>
      <c r="DU22">
        <v>0</v>
      </c>
      <c r="DV22">
        <v>1</v>
      </c>
      <c r="DW22">
        <v>0</v>
      </c>
      <c r="DX22">
        <v>0</v>
      </c>
      <c r="DY22">
        <v>0</v>
      </c>
      <c r="DZ22">
        <v>0</v>
      </c>
      <c r="EB22" t="s">
        <v>839</v>
      </c>
      <c r="EC22" t="s">
        <v>869</v>
      </c>
      <c r="ED22" t="s">
        <v>848</v>
      </c>
      <c r="EN22" t="s">
        <v>841</v>
      </c>
      <c r="EP22" t="s">
        <v>1015</v>
      </c>
      <c r="ET22" t="s">
        <v>841</v>
      </c>
      <c r="EZ22" t="s">
        <v>841</v>
      </c>
      <c r="FA22">
        <v>7</v>
      </c>
      <c r="FB22" t="s">
        <v>1016</v>
      </c>
      <c r="FG22">
        <v>2</v>
      </c>
      <c r="FH22" t="s">
        <v>841</v>
      </c>
      <c r="FM22">
        <v>650</v>
      </c>
      <c r="FO22">
        <v>0</v>
      </c>
      <c r="FP22">
        <v>0</v>
      </c>
      <c r="FQ22">
        <v>0</v>
      </c>
      <c r="FS22" t="s">
        <v>839</v>
      </c>
      <c r="FT22" t="s">
        <v>842</v>
      </c>
      <c r="FU22" t="s">
        <v>839</v>
      </c>
      <c r="FV22" t="s">
        <v>839</v>
      </c>
      <c r="FW22" t="s">
        <v>839</v>
      </c>
      <c r="FX22" t="s">
        <v>880</v>
      </c>
      <c r="FY22" t="s">
        <v>842</v>
      </c>
      <c r="FZ22" t="s">
        <v>839</v>
      </c>
      <c r="GA22" t="s">
        <v>842</v>
      </c>
      <c r="GB22" t="s">
        <v>842</v>
      </c>
      <c r="GC22" t="s">
        <v>842</v>
      </c>
      <c r="GD22" t="s">
        <v>842</v>
      </c>
      <c r="GG22" t="s">
        <v>842</v>
      </c>
      <c r="GI22" t="s">
        <v>1017</v>
      </c>
      <c r="GJ22">
        <v>1</v>
      </c>
      <c r="GK22">
        <v>1</v>
      </c>
      <c r="GL22">
        <v>1</v>
      </c>
      <c r="GM22">
        <v>0</v>
      </c>
      <c r="GN22">
        <v>0</v>
      </c>
      <c r="GO22">
        <v>0</v>
      </c>
      <c r="GP22">
        <v>0</v>
      </c>
      <c r="GQ22">
        <v>0</v>
      </c>
      <c r="GR22">
        <v>0</v>
      </c>
      <c r="GS22">
        <v>0</v>
      </c>
      <c r="GT22">
        <v>0</v>
      </c>
      <c r="GU22">
        <v>0</v>
      </c>
      <c r="GV22">
        <v>0</v>
      </c>
      <c r="GW22">
        <v>1</v>
      </c>
      <c r="GX22">
        <v>0</v>
      </c>
      <c r="GY22">
        <v>0</v>
      </c>
      <c r="GZ22">
        <v>0</v>
      </c>
      <c r="HB22" t="s">
        <v>839</v>
      </c>
    </row>
    <row r="23" spans="1:211" x14ac:dyDescent="0.35">
      <c r="A23" t="s">
        <v>1018</v>
      </c>
      <c r="B23" s="151">
        <v>44887.441840277781</v>
      </c>
      <c r="C23" t="s">
        <v>1019</v>
      </c>
      <c r="D23" t="s">
        <v>1020</v>
      </c>
      <c r="E23" t="s">
        <v>835</v>
      </c>
      <c r="F23" t="s">
        <v>1021</v>
      </c>
      <c r="G23" t="s">
        <v>1021</v>
      </c>
      <c r="H23" t="s">
        <v>842</v>
      </c>
      <c r="K23" t="s">
        <v>839</v>
      </c>
      <c r="L23" t="s">
        <v>887</v>
      </c>
      <c r="O23">
        <v>94</v>
      </c>
      <c r="P23">
        <v>99</v>
      </c>
      <c r="Q23">
        <v>193</v>
      </c>
      <c r="T23" t="s">
        <v>841</v>
      </c>
      <c r="U23" t="s">
        <v>841</v>
      </c>
      <c r="V23" t="s">
        <v>841</v>
      </c>
      <c r="W23" t="s">
        <v>841</v>
      </c>
      <c r="X23" t="s">
        <v>841</v>
      </c>
      <c r="Z23" t="s">
        <v>841</v>
      </c>
      <c r="AA23" t="s">
        <v>841</v>
      </c>
      <c r="AB23" t="s">
        <v>841</v>
      </c>
      <c r="AC23" t="s">
        <v>841</v>
      </c>
      <c r="AH23">
        <v>0</v>
      </c>
      <c r="AI23">
        <v>1</v>
      </c>
      <c r="AJ23">
        <v>1</v>
      </c>
      <c r="AK23">
        <v>1</v>
      </c>
      <c r="AL23">
        <v>1</v>
      </c>
      <c r="AM23">
        <v>1</v>
      </c>
      <c r="AN23">
        <v>1</v>
      </c>
      <c r="AO23">
        <v>1</v>
      </c>
      <c r="AP23">
        <v>1</v>
      </c>
      <c r="AQ23">
        <v>1</v>
      </c>
      <c r="AR23">
        <v>1</v>
      </c>
      <c r="AZ23" t="s">
        <v>841</v>
      </c>
      <c r="BM23" t="s">
        <v>841</v>
      </c>
      <c r="BS23" t="s">
        <v>841</v>
      </c>
      <c r="BV23" t="s">
        <v>842</v>
      </c>
      <c r="BX23" t="s">
        <v>839</v>
      </c>
      <c r="BY23" t="s">
        <v>759</v>
      </c>
      <c r="BZ23" t="s">
        <v>839</v>
      </c>
      <c r="CA23" t="s">
        <v>839</v>
      </c>
      <c r="CC23" t="s">
        <v>839</v>
      </c>
      <c r="CD23" t="s">
        <v>1022</v>
      </c>
      <c r="CG23">
        <v>3</v>
      </c>
      <c r="CH23">
        <v>1</v>
      </c>
      <c r="CI23">
        <v>2</v>
      </c>
      <c r="CJ23">
        <v>0</v>
      </c>
      <c r="CK23" t="s">
        <v>877</v>
      </c>
      <c r="CM23" t="s">
        <v>1023</v>
      </c>
      <c r="CN23">
        <v>0</v>
      </c>
      <c r="CO23">
        <v>0</v>
      </c>
      <c r="CP23">
        <v>0</v>
      </c>
      <c r="CQ23">
        <v>1</v>
      </c>
      <c r="CR23">
        <v>0</v>
      </c>
      <c r="CS23">
        <v>0</v>
      </c>
      <c r="CU23" t="s">
        <v>1024</v>
      </c>
      <c r="CV23">
        <v>1</v>
      </c>
      <c r="CW23">
        <v>1</v>
      </c>
      <c r="CX23">
        <v>1</v>
      </c>
      <c r="CY23">
        <v>0</v>
      </c>
      <c r="CZ23">
        <v>0</v>
      </c>
      <c r="DA23">
        <v>0</v>
      </c>
      <c r="DB23">
        <v>0</v>
      </c>
      <c r="DC23">
        <v>0</v>
      </c>
      <c r="DD23">
        <v>1</v>
      </c>
      <c r="DE23">
        <v>1</v>
      </c>
      <c r="DF23">
        <v>0</v>
      </c>
      <c r="DJ23">
        <v>5</v>
      </c>
      <c r="DK23">
        <v>9</v>
      </c>
      <c r="DL23">
        <v>14</v>
      </c>
      <c r="DN23">
        <v>300</v>
      </c>
      <c r="DP23">
        <v>500</v>
      </c>
      <c r="DQ23" t="s">
        <v>937</v>
      </c>
      <c r="DR23">
        <v>1</v>
      </c>
      <c r="DS23">
        <v>0</v>
      </c>
      <c r="DT23">
        <v>0</v>
      </c>
      <c r="DU23">
        <v>0</v>
      </c>
      <c r="DV23">
        <v>0</v>
      </c>
      <c r="DW23">
        <v>0</v>
      </c>
      <c r="DX23">
        <v>0</v>
      </c>
      <c r="DY23">
        <v>0</v>
      </c>
      <c r="DZ23">
        <v>0</v>
      </c>
      <c r="EB23" t="s">
        <v>839</v>
      </c>
      <c r="EC23" t="s">
        <v>847</v>
      </c>
      <c r="ED23" t="s">
        <v>848</v>
      </c>
      <c r="EI23">
        <v>170</v>
      </c>
      <c r="EM23" t="s">
        <v>841</v>
      </c>
      <c r="EO23">
        <v>170</v>
      </c>
      <c r="ES23" t="s">
        <v>841</v>
      </c>
      <c r="EZ23" t="s">
        <v>841</v>
      </c>
      <c r="FA23">
        <v>6</v>
      </c>
      <c r="FB23" t="s">
        <v>841</v>
      </c>
      <c r="FG23">
        <v>3</v>
      </c>
      <c r="FH23" t="s">
        <v>841</v>
      </c>
      <c r="FM23">
        <v>80</v>
      </c>
      <c r="FO23">
        <v>3</v>
      </c>
      <c r="FP23">
        <v>2</v>
      </c>
      <c r="FQ23">
        <v>5</v>
      </c>
      <c r="FS23" t="s">
        <v>839</v>
      </c>
      <c r="FT23" t="s">
        <v>839</v>
      </c>
      <c r="FU23" t="s">
        <v>839</v>
      </c>
      <c r="FV23" t="s">
        <v>839</v>
      </c>
      <c r="FW23" t="s">
        <v>839</v>
      </c>
      <c r="FX23" t="s">
        <v>965</v>
      </c>
      <c r="FY23" t="s">
        <v>839</v>
      </c>
      <c r="FZ23" t="s">
        <v>839</v>
      </c>
      <c r="GA23" t="s">
        <v>839</v>
      </c>
      <c r="GB23" t="s">
        <v>839</v>
      </c>
      <c r="GC23" t="s">
        <v>842</v>
      </c>
      <c r="GD23" t="s">
        <v>839</v>
      </c>
      <c r="GE23" t="s">
        <v>881</v>
      </c>
      <c r="GG23" t="s">
        <v>839</v>
      </c>
      <c r="GI23" t="s">
        <v>1025</v>
      </c>
      <c r="GJ23">
        <v>1</v>
      </c>
      <c r="GK23">
        <v>0</v>
      </c>
      <c r="GL23">
        <v>0</v>
      </c>
      <c r="GM23">
        <v>0</v>
      </c>
      <c r="GN23">
        <v>0</v>
      </c>
      <c r="GO23">
        <v>1</v>
      </c>
      <c r="GP23">
        <v>0</v>
      </c>
      <c r="GQ23">
        <v>0</v>
      </c>
      <c r="GR23">
        <v>0</v>
      </c>
      <c r="GS23">
        <v>0</v>
      </c>
      <c r="GT23">
        <v>0</v>
      </c>
      <c r="GU23">
        <v>0</v>
      </c>
      <c r="GV23">
        <v>0</v>
      </c>
      <c r="GW23">
        <v>0</v>
      </c>
      <c r="GX23">
        <v>0</v>
      </c>
      <c r="GY23">
        <v>0</v>
      </c>
      <c r="GZ23">
        <v>0</v>
      </c>
      <c r="HB23" t="s">
        <v>839</v>
      </c>
    </row>
    <row r="24" spans="1:211" x14ac:dyDescent="0.35">
      <c r="A24" t="s">
        <v>1026</v>
      </c>
      <c r="B24" s="151">
        <v>44887.526678240742</v>
      </c>
      <c r="C24" t="s">
        <v>1027</v>
      </c>
      <c r="D24" t="s">
        <v>1028</v>
      </c>
      <c r="E24" t="s">
        <v>875</v>
      </c>
      <c r="F24" t="s">
        <v>1029</v>
      </c>
      <c r="G24" t="s">
        <v>1029</v>
      </c>
      <c r="H24" t="s">
        <v>839</v>
      </c>
      <c r="I24" t="s">
        <v>896</v>
      </c>
      <c r="K24" t="s">
        <v>842</v>
      </c>
      <c r="O24">
        <v>64</v>
      </c>
      <c r="P24">
        <v>46</v>
      </c>
      <c r="Q24">
        <v>110</v>
      </c>
      <c r="S24" t="s">
        <v>841</v>
      </c>
      <c r="T24" t="s">
        <v>841</v>
      </c>
      <c r="U24" t="s">
        <v>841</v>
      </c>
      <c r="V24" t="s">
        <v>841</v>
      </c>
      <c r="W24" t="s">
        <v>841</v>
      </c>
      <c r="X24" t="s">
        <v>841</v>
      </c>
      <c r="AH24">
        <v>1</v>
      </c>
      <c r="AI24">
        <v>1</v>
      </c>
      <c r="AJ24">
        <v>1</v>
      </c>
      <c r="AK24">
        <v>1</v>
      </c>
      <c r="AL24">
        <v>1</v>
      </c>
      <c r="AM24">
        <v>1</v>
      </c>
      <c r="AN24">
        <v>0</v>
      </c>
      <c r="AO24">
        <v>0</v>
      </c>
      <c r="AP24">
        <v>0</v>
      </c>
      <c r="AQ24">
        <v>0</v>
      </c>
      <c r="AR24">
        <v>0</v>
      </c>
      <c r="AS24">
        <v>0</v>
      </c>
      <c r="AT24">
        <v>0</v>
      </c>
      <c r="AU24">
        <v>0</v>
      </c>
      <c r="AZ24" t="s">
        <v>841</v>
      </c>
      <c r="BJ24">
        <v>0</v>
      </c>
      <c r="BK24">
        <v>0</v>
      </c>
      <c r="BL24">
        <v>0</v>
      </c>
      <c r="BM24" t="s">
        <v>841</v>
      </c>
      <c r="BP24">
        <v>0</v>
      </c>
      <c r="BQ24">
        <v>0</v>
      </c>
      <c r="BR24">
        <v>0</v>
      </c>
      <c r="BS24" t="s">
        <v>841</v>
      </c>
      <c r="BV24" t="s">
        <v>842</v>
      </c>
      <c r="BX24" t="s">
        <v>839</v>
      </c>
      <c r="BY24" t="s">
        <v>950</v>
      </c>
      <c r="BZ24" t="s">
        <v>839</v>
      </c>
      <c r="CA24" t="s">
        <v>839</v>
      </c>
      <c r="CC24" t="s">
        <v>842</v>
      </c>
      <c r="CD24" t="s">
        <v>855</v>
      </c>
      <c r="CG24">
        <v>3</v>
      </c>
      <c r="CH24">
        <v>1</v>
      </c>
      <c r="CI24">
        <v>1</v>
      </c>
      <c r="CJ24">
        <v>1</v>
      </c>
      <c r="CK24" t="s">
        <v>681</v>
      </c>
      <c r="CM24" t="s">
        <v>844</v>
      </c>
      <c r="CN24">
        <v>1</v>
      </c>
      <c r="CO24">
        <v>0</v>
      </c>
      <c r="CP24">
        <v>0</v>
      </c>
      <c r="CQ24">
        <v>0</v>
      </c>
      <c r="CR24">
        <v>0</v>
      </c>
      <c r="CS24">
        <v>0</v>
      </c>
      <c r="CU24" t="s">
        <v>1030</v>
      </c>
      <c r="CV24">
        <v>1</v>
      </c>
      <c r="CW24">
        <v>1</v>
      </c>
      <c r="CX24">
        <v>1</v>
      </c>
      <c r="CY24">
        <v>0</v>
      </c>
      <c r="CZ24">
        <v>0</v>
      </c>
      <c r="DA24">
        <v>0</v>
      </c>
      <c r="DB24">
        <v>0</v>
      </c>
      <c r="DC24">
        <v>0</v>
      </c>
      <c r="DD24">
        <v>0</v>
      </c>
      <c r="DE24">
        <v>0</v>
      </c>
      <c r="DF24">
        <v>0</v>
      </c>
      <c r="DJ24">
        <v>2</v>
      </c>
      <c r="DK24">
        <v>6</v>
      </c>
      <c r="DL24">
        <v>8</v>
      </c>
      <c r="DN24">
        <v>300</v>
      </c>
      <c r="DP24">
        <v>500</v>
      </c>
      <c r="DQ24" t="s">
        <v>879</v>
      </c>
      <c r="DR24">
        <v>1</v>
      </c>
      <c r="DS24">
        <v>0</v>
      </c>
      <c r="DT24">
        <v>0</v>
      </c>
      <c r="DU24">
        <v>0</v>
      </c>
      <c r="DV24">
        <v>1</v>
      </c>
      <c r="DW24">
        <v>0</v>
      </c>
      <c r="DX24">
        <v>0</v>
      </c>
      <c r="DY24">
        <v>0</v>
      </c>
      <c r="DZ24">
        <v>0</v>
      </c>
      <c r="EB24" t="s">
        <v>842</v>
      </c>
      <c r="EC24" t="s">
        <v>869</v>
      </c>
      <c r="ED24" t="s">
        <v>848</v>
      </c>
      <c r="EI24">
        <v>830</v>
      </c>
      <c r="EM24" t="s">
        <v>841</v>
      </c>
      <c r="EO24">
        <v>850</v>
      </c>
      <c r="ES24" t="s">
        <v>841</v>
      </c>
      <c r="EU24">
        <v>900</v>
      </c>
      <c r="EY24" t="s">
        <v>841</v>
      </c>
      <c r="FA24">
        <v>10</v>
      </c>
      <c r="FB24" t="s">
        <v>841</v>
      </c>
      <c r="FG24">
        <v>150</v>
      </c>
      <c r="FJ24" t="s">
        <v>841</v>
      </c>
      <c r="FM24">
        <v>450</v>
      </c>
      <c r="FO24">
        <v>2</v>
      </c>
      <c r="FP24">
        <v>1</v>
      </c>
      <c r="FQ24">
        <v>3</v>
      </c>
      <c r="FS24" t="s">
        <v>839</v>
      </c>
      <c r="FT24" t="s">
        <v>842</v>
      </c>
      <c r="FU24" t="s">
        <v>842</v>
      </c>
      <c r="FV24" t="s">
        <v>839</v>
      </c>
      <c r="FW24" t="s">
        <v>842</v>
      </c>
      <c r="FY24" t="s">
        <v>842</v>
      </c>
      <c r="FZ24" t="s">
        <v>839</v>
      </c>
      <c r="GA24" t="s">
        <v>839</v>
      </c>
      <c r="GB24" t="s">
        <v>842</v>
      </c>
      <c r="GC24" t="s">
        <v>842</v>
      </c>
      <c r="GD24" t="s">
        <v>842</v>
      </c>
      <c r="GG24" t="s">
        <v>842</v>
      </c>
      <c r="GI24" t="s">
        <v>1031</v>
      </c>
      <c r="GJ24">
        <v>1</v>
      </c>
      <c r="GK24">
        <v>0</v>
      </c>
      <c r="GL24">
        <v>1</v>
      </c>
      <c r="GM24">
        <v>0</v>
      </c>
      <c r="GN24">
        <v>0</v>
      </c>
      <c r="GO24">
        <v>0</v>
      </c>
      <c r="GP24">
        <v>0</v>
      </c>
      <c r="GQ24">
        <v>0</v>
      </c>
      <c r="GR24">
        <v>0</v>
      </c>
      <c r="GS24">
        <v>0</v>
      </c>
      <c r="GT24">
        <v>1</v>
      </c>
      <c r="GU24">
        <v>0</v>
      </c>
      <c r="GV24">
        <v>0</v>
      </c>
      <c r="GW24">
        <v>0</v>
      </c>
      <c r="GX24">
        <v>0</v>
      </c>
      <c r="GY24">
        <v>0</v>
      </c>
      <c r="GZ24">
        <v>0</v>
      </c>
      <c r="HB24" t="s">
        <v>839</v>
      </c>
    </row>
    <row r="25" spans="1:211" x14ac:dyDescent="0.35">
      <c r="A25" t="s">
        <v>1032</v>
      </c>
      <c r="B25" s="151">
        <v>44887.533194444448</v>
      </c>
      <c r="C25" t="s">
        <v>1033</v>
      </c>
      <c r="D25" t="s">
        <v>1034</v>
      </c>
      <c r="E25" t="s">
        <v>875</v>
      </c>
      <c r="F25" t="s">
        <v>1035</v>
      </c>
      <c r="G25" t="s">
        <v>839</v>
      </c>
      <c r="H25" t="s">
        <v>839</v>
      </c>
      <c r="I25" t="s">
        <v>838</v>
      </c>
      <c r="K25" t="s">
        <v>842</v>
      </c>
      <c r="O25">
        <v>2</v>
      </c>
      <c r="P25">
        <v>0</v>
      </c>
      <c r="Q25">
        <v>2</v>
      </c>
      <c r="S25" t="s">
        <v>841</v>
      </c>
      <c r="T25" t="s">
        <v>841</v>
      </c>
      <c r="U25" t="s">
        <v>841</v>
      </c>
      <c r="AH25">
        <v>1</v>
      </c>
      <c r="AI25">
        <v>1</v>
      </c>
      <c r="AJ25">
        <v>1</v>
      </c>
      <c r="AK25">
        <v>0</v>
      </c>
      <c r="AL25">
        <v>0</v>
      </c>
      <c r="AM25">
        <v>0</v>
      </c>
      <c r="AN25">
        <v>0</v>
      </c>
      <c r="AO25">
        <v>0</v>
      </c>
      <c r="AP25">
        <v>0</v>
      </c>
      <c r="AQ25">
        <v>0</v>
      </c>
      <c r="AR25">
        <v>0</v>
      </c>
      <c r="AS25">
        <v>0</v>
      </c>
      <c r="AT25">
        <v>0</v>
      </c>
      <c r="AU25">
        <v>0</v>
      </c>
      <c r="AZ25" t="s">
        <v>841</v>
      </c>
      <c r="BM25" t="s">
        <v>841</v>
      </c>
      <c r="BS25" t="s">
        <v>841</v>
      </c>
      <c r="BV25" t="s">
        <v>839</v>
      </c>
      <c r="BW25" t="s">
        <v>759</v>
      </c>
      <c r="BX25" t="s">
        <v>842</v>
      </c>
      <c r="BZ25" t="s">
        <v>839</v>
      </c>
      <c r="CA25" t="s">
        <v>839</v>
      </c>
      <c r="CC25" t="s">
        <v>839</v>
      </c>
      <c r="CD25" t="s">
        <v>855</v>
      </c>
      <c r="CG25">
        <v>3</v>
      </c>
      <c r="CH25">
        <v>1</v>
      </c>
      <c r="CI25">
        <v>1</v>
      </c>
      <c r="CJ25">
        <v>1</v>
      </c>
      <c r="CK25" t="s">
        <v>856</v>
      </c>
      <c r="CM25" t="s">
        <v>844</v>
      </c>
      <c r="CN25">
        <v>1</v>
      </c>
      <c r="CO25">
        <v>0</v>
      </c>
      <c r="CP25">
        <v>0</v>
      </c>
      <c r="CQ25">
        <v>0</v>
      </c>
      <c r="CR25">
        <v>0</v>
      </c>
      <c r="CS25">
        <v>0</v>
      </c>
      <c r="CU25" t="s">
        <v>1001</v>
      </c>
      <c r="CV25">
        <v>1</v>
      </c>
      <c r="CW25">
        <v>1</v>
      </c>
      <c r="CX25">
        <v>1</v>
      </c>
      <c r="CY25">
        <v>1</v>
      </c>
      <c r="CZ25">
        <v>0</v>
      </c>
      <c r="DA25">
        <v>0</v>
      </c>
      <c r="DB25">
        <v>0</v>
      </c>
      <c r="DC25">
        <v>0</v>
      </c>
      <c r="DD25">
        <v>0</v>
      </c>
      <c r="DE25">
        <v>0</v>
      </c>
      <c r="DF25">
        <v>0</v>
      </c>
      <c r="DJ25">
        <v>0</v>
      </c>
      <c r="DK25">
        <v>3</v>
      </c>
      <c r="DL25">
        <v>3</v>
      </c>
      <c r="DN25">
        <v>300</v>
      </c>
      <c r="DP25">
        <v>500</v>
      </c>
      <c r="DQ25" t="s">
        <v>937</v>
      </c>
      <c r="DR25">
        <v>1</v>
      </c>
      <c r="DS25">
        <v>0</v>
      </c>
      <c r="DT25">
        <v>0</v>
      </c>
      <c r="DU25">
        <v>0</v>
      </c>
      <c r="DV25">
        <v>0</v>
      </c>
      <c r="DW25">
        <v>0</v>
      </c>
      <c r="DX25">
        <v>0</v>
      </c>
      <c r="DY25">
        <v>0</v>
      </c>
      <c r="DZ25">
        <v>0</v>
      </c>
      <c r="EB25" t="s">
        <v>839</v>
      </c>
      <c r="EC25" t="s">
        <v>847</v>
      </c>
      <c r="ED25" t="s">
        <v>848</v>
      </c>
      <c r="EI25">
        <v>280</v>
      </c>
      <c r="EM25" t="s">
        <v>841</v>
      </c>
      <c r="EO25">
        <v>280</v>
      </c>
      <c r="ES25" t="s">
        <v>841</v>
      </c>
      <c r="FA25">
        <v>4</v>
      </c>
      <c r="FB25" t="s">
        <v>841</v>
      </c>
      <c r="FG25">
        <v>4</v>
      </c>
      <c r="FH25" t="s">
        <v>841</v>
      </c>
      <c r="FM25">
        <v>1025</v>
      </c>
      <c r="FO25">
        <v>0</v>
      </c>
      <c r="FP25">
        <v>0</v>
      </c>
      <c r="FQ25">
        <v>0</v>
      </c>
      <c r="FS25" t="s">
        <v>839</v>
      </c>
      <c r="FT25" t="s">
        <v>839</v>
      </c>
      <c r="FU25" t="s">
        <v>839</v>
      </c>
      <c r="FV25" t="s">
        <v>839</v>
      </c>
      <c r="FW25" t="s">
        <v>839</v>
      </c>
      <c r="FX25" t="s">
        <v>890</v>
      </c>
      <c r="FY25" t="s">
        <v>839</v>
      </c>
      <c r="FZ25" t="s">
        <v>839</v>
      </c>
      <c r="GA25" t="s">
        <v>839</v>
      </c>
      <c r="GB25" t="s">
        <v>839</v>
      </c>
      <c r="GC25" t="s">
        <v>842</v>
      </c>
      <c r="GD25" t="s">
        <v>839</v>
      </c>
      <c r="GE25" t="s">
        <v>881</v>
      </c>
      <c r="GG25" t="s">
        <v>839</v>
      </c>
      <c r="GI25" t="s">
        <v>849</v>
      </c>
      <c r="GJ25">
        <v>1</v>
      </c>
      <c r="GK25">
        <v>0</v>
      </c>
      <c r="GL25">
        <v>0</v>
      </c>
      <c r="GM25">
        <v>0</v>
      </c>
      <c r="GN25">
        <v>0</v>
      </c>
      <c r="GO25">
        <v>0</v>
      </c>
      <c r="GP25">
        <v>0</v>
      </c>
      <c r="GQ25">
        <v>0</v>
      </c>
      <c r="GR25">
        <v>0</v>
      </c>
      <c r="GS25">
        <v>0</v>
      </c>
      <c r="GT25">
        <v>0</v>
      </c>
      <c r="GU25">
        <v>0</v>
      </c>
      <c r="GV25">
        <v>0</v>
      </c>
      <c r="GW25">
        <v>0</v>
      </c>
      <c r="GX25">
        <v>0</v>
      </c>
      <c r="GY25">
        <v>0</v>
      </c>
      <c r="GZ25">
        <v>0</v>
      </c>
      <c r="HB25" t="s">
        <v>839</v>
      </c>
    </row>
    <row r="26" spans="1:211" x14ac:dyDescent="0.35">
      <c r="A26" t="s">
        <v>1036</v>
      </c>
      <c r="B26" s="151">
        <v>44887.537789351853</v>
      </c>
      <c r="C26" t="s">
        <v>1037</v>
      </c>
      <c r="D26" t="s">
        <v>1038</v>
      </c>
      <c r="E26" t="s">
        <v>875</v>
      </c>
      <c r="F26" t="s">
        <v>1039</v>
      </c>
      <c r="G26" t="s">
        <v>1039</v>
      </c>
      <c r="H26" t="s">
        <v>839</v>
      </c>
      <c r="I26" t="s">
        <v>838</v>
      </c>
      <c r="K26" t="s">
        <v>842</v>
      </c>
      <c r="O26">
        <v>75</v>
      </c>
      <c r="P26">
        <v>53</v>
      </c>
      <c r="Q26">
        <v>128</v>
      </c>
      <c r="S26" t="s">
        <v>841</v>
      </c>
      <c r="T26" t="s">
        <v>841</v>
      </c>
      <c r="U26" t="s">
        <v>841</v>
      </c>
      <c r="V26" t="s">
        <v>841</v>
      </c>
      <c r="W26" t="s">
        <v>841</v>
      </c>
      <c r="X26" t="s">
        <v>841</v>
      </c>
      <c r="Y26" t="s">
        <v>841</v>
      </c>
      <c r="Z26" t="s">
        <v>841</v>
      </c>
      <c r="AH26">
        <v>1</v>
      </c>
      <c r="AI26">
        <v>1</v>
      </c>
      <c r="AK26">
        <v>1</v>
      </c>
      <c r="AL26">
        <v>1</v>
      </c>
      <c r="AM26">
        <v>1</v>
      </c>
      <c r="AN26">
        <v>1</v>
      </c>
      <c r="AO26">
        <v>1</v>
      </c>
      <c r="BV26" t="s">
        <v>842</v>
      </c>
      <c r="BX26" t="s">
        <v>839</v>
      </c>
      <c r="BY26" t="s">
        <v>758</v>
      </c>
      <c r="BZ26" t="s">
        <v>839</v>
      </c>
      <c r="CA26" t="s">
        <v>839</v>
      </c>
      <c r="CC26" t="s">
        <v>842</v>
      </c>
      <c r="CD26" t="s">
        <v>855</v>
      </c>
      <c r="CG26">
        <v>3</v>
      </c>
      <c r="CH26">
        <v>1</v>
      </c>
      <c r="CI26">
        <v>2</v>
      </c>
      <c r="CJ26">
        <v>0</v>
      </c>
      <c r="CK26" t="s">
        <v>877</v>
      </c>
      <c r="CM26" t="s">
        <v>844</v>
      </c>
      <c r="CN26">
        <v>1</v>
      </c>
      <c r="CO26">
        <v>0</v>
      </c>
      <c r="CP26">
        <v>0</v>
      </c>
      <c r="CQ26">
        <v>0</v>
      </c>
      <c r="CR26">
        <v>0</v>
      </c>
      <c r="CS26">
        <v>0</v>
      </c>
      <c r="CU26" t="s">
        <v>918</v>
      </c>
      <c r="CV26">
        <v>1</v>
      </c>
      <c r="CW26">
        <v>0</v>
      </c>
      <c r="CX26">
        <v>1</v>
      </c>
      <c r="CY26">
        <v>0</v>
      </c>
      <c r="CZ26">
        <v>0</v>
      </c>
      <c r="DA26">
        <v>1</v>
      </c>
      <c r="DB26">
        <v>0</v>
      </c>
      <c r="DC26">
        <v>0</v>
      </c>
      <c r="DD26">
        <v>0</v>
      </c>
      <c r="DE26">
        <v>0</v>
      </c>
      <c r="DF26">
        <v>0</v>
      </c>
      <c r="DJ26">
        <v>4</v>
      </c>
      <c r="DK26">
        <v>5</v>
      </c>
      <c r="DL26">
        <v>9</v>
      </c>
      <c r="DN26">
        <v>400</v>
      </c>
      <c r="DP26">
        <v>700</v>
      </c>
      <c r="DQ26" t="s">
        <v>1040</v>
      </c>
      <c r="DR26">
        <v>0</v>
      </c>
      <c r="DS26">
        <v>0</v>
      </c>
      <c r="DT26">
        <v>1</v>
      </c>
      <c r="DU26">
        <v>0</v>
      </c>
      <c r="DV26">
        <v>0</v>
      </c>
      <c r="DW26">
        <v>0</v>
      </c>
      <c r="DX26">
        <v>0</v>
      </c>
      <c r="DY26">
        <v>0</v>
      </c>
      <c r="DZ26">
        <v>0</v>
      </c>
      <c r="EB26" t="s">
        <v>839</v>
      </c>
      <c r="EC26" t="s">
        <v>847</v>
      </c>
      <c r="ED26" t="s">
        <v>848</v>
      </c>
      <c r="EI26" s="157">
        <v>570</v>
      </c>
      <c r="EJ26" s="157"/>
      <c r="EK26" s="157"/>
      <c r="EL26" s="157"/>
      <c r="EM26" s="157" t="s">
        <v>841</v>
      </c>
      <c r="EN26" s="157"/>
      <c r="EO26" s="157">
        <v>600</v>
      </c>
      <c r="EP26" s="157"/>
      <c r="EQ26" s="157"/>
      <c r="ER26" s="157"/>
      <c r="ES26" s="157" t="s">
        <v>841</v>
      </c>
      <c r="ET26" s="157"/>
      <c r="EU26" s="157"/>
      <c r="EV26" s="157"/>
      <c r="EW26" s="157"/>
      <c r="EX26" s="157"/>
      <c r="EY26" s="157"/>
      <c r="EZ26" s="157" t="s">
        <v>841</v>
      </c>
      <c r="FA26" s="157">
        <v>420</v>
      </c>
      <c r="FB26" s="157"/>
      <c r="FC26" s="157"/>
      <c r="FD26" s="157"/>
      <c r="FE26" s="157" t="s">
        <v>841</v>
      </c>
      <c r="FF26" s="157"/>
      <c r="FG26" s="157">
        <v>3</v>
      </c>
      <c r="FH26" s="157" t="s">
        <v>841</v>
      </c>
      <c r="FI26" s="157"/>
      <c r="FJ26" s="157"/>
      <c r="FK26" s="157"/>
      <c r="FL26" s="157"/>
      <c r="FM26">
        <v>300</v>
      </c>
      <c r="FO26">
        <v>1</v>
      </c>
      <c r="FP26">
        <v>4</v>
      </c>
      <c r="FQ26">
        <v>5</v>
      </c>
      <c r="FS26" t="s">
        <v>839</v>
      </c>
      <c r="FT26" t="s">
        <v>839</v>
      </c>
      <c r="FU26" t="s">
        <v>839</v>
      </c>
      <c r="FV26" t="s">
        <v>839</v>
      </c>
      <c r="FW26" t="s">
        <v>839</v>
      </c>
      <c r="FX26" t="s">
        <v>890</v>
      </c>
      <c r="FY26" t="s">
        <v>839</v>
      </c>
      <c r="FZ26" t="s">
        <v>839</v>
      </c>
      <c r="GA26" t="s">
        <v>839</v>
      </c>
      <c r="GB26" t="s">
        <v>842</v>
      </c>
      <c r="GC26" t="s">
        <v>842</v>
      </c>
      <c r="GD26" t="s">
        <v>842</v>
      </c>
      <c r="GG26" t="s">
        <v>842</v>
      </c>
      <c r="GI26" t="s">
        <v>1041</v>
      </c>
      <c r="GJ26">
        <v>1</v>
      </c>
      <c r="GK26">
        <v>1</v>
      </c>
      <c r="GL26">
        <v>1</v>
      </c>
      <c r="GM26">
        <v>0</v>
      </c>
      <c r="GN26">
        <v>0</v>
      </c>
      <c r="GO26">
        <v>0</v>
      </c>
      <c r="GP26">
        <v>0</v>
      </c>
      <c r="GQ26">
        <v>0</v>
      </c>
      <c r="GR26">
        <v>0</v>
      </c>
      <c r="GS26">
        <v>0</v>
      </c>
      <c r="GT26">
        <v>0</v>
      </c>
      <c r="GU26">
        <v>0</v>
      </c>
      <c r="GV26">
        <v>0</v>
      </c>
      <c r="GW26">
        <v>0</v>
      </c>
      <c r="GX26">
        <v>0</v>
      </c>
      <c r="GY26">
        <v>0</v>
      </c>
      <c r="GZ26">
        <v>0</v>
      </c>
      <c r="HB26" t="s">
        <v>839</v>
      </c>
    </row>
    <row r="27" spans="1:211" x14ac:dyDescent="0.35">
      <c r="A27" t="s">
        <v>1042</v>
      </c>
      <c r="B27" s="151">
        <v>44887.542754629627</v>
      </c>
      <c r="C27" t="s">
        <v>1043</v>
      </c>
      <c r="D27" t="s">
        <v>1044</v>
      </c>
      <c r="E27" t="s">
        <v>835</v>
      </c>
      <c r="F27" t="s">
        <v>1045</v>
      </c>
      <c r="G27" t="s">
        <v>1045</v>
      </c>
      <c r="H27" t="s">
        <v>839</v>
      </c>
      <c r="I27" t="s">
        <v>1046</v>
      </c>
      <c r="K27" t="s">
        <v>839</v>
      </c>
      <c r="L27" t="s">
        <v>887</v>
      </c>
      <c r="O27">
        <v>39</v>
      </c>
      <c r="P27">
        <v>51</v>
      </c>
      <c r="Q27">
        <v>90</v>
      </c>
      <c r="T27" t="s">
        <v>841</v>
      </c>
      <c r="V27" t="s">
        <v>841</v>
      </c>
      <c r="W27" t="s">
        <v>841</v>
      </c>
      <c r="X27" t="s">
        <v>841</v>
      </c>
      <c r="Y27" t="s">
        <v>841</v>
      </c>
      <c r="Z27" t="s">
        <v>841</v>
      </c>
      <c r="AA27" t="s">
        <v>841</v>
      </c>
      <c r="AB27" t="s">
        <v>841</v>
      </c>
      <c r="AC27" t="s">
        <v>841</v>
      </c>
      <c r="AI27">
        <v>1</v>
      </c>
      <c r="AK27">
        <v>1</v>
      </c>
      <c r="AL27">
        <v>1</v>
      </c>
      <c r="AM27">
        <v>1</v>
      </c>
      <c r="AN27">
        <v>1</v>
      </c>
      <c r="AO27">
        <v>1</v>
      </c>
      <c r="AP27">
        <v>1</v>
      </c>
      <c r="AQ27">
        <v>1</v>
      </c>
      <c r="AR27">
        <v>1</v>
      </c>
      <c r="AZ27" t="s">
        <v>841</v>
      </c>
      <c r="BM27" t="s">
        <v>841</v>
      </c>
      <c r="BS27" t="s">
        <v>841</v>
      </c>
      <c r="BV27" t="s">
        <v>842</v>
      </c>
      <c r="BX27" t="s">
        <v>839</v>
      </c>
      <c r="BY27" t="s">
        <v>759</v>
      </c>
      <c r="BZ27" t="s">
        <v>839</v>
      </c>
      <c r="CA27" t="s">
        <v>839</v>
      </c>
      <c r="CC27" t="s">
        <v>839</v>
      </c>
      <c r="CD27" t="s">
        <v>855</v>
      </c>
      <c r="CG27">
        <v>6</v>
      </c>
      <c r="CH27">
        <v>2</v>
      </c>
      <c r="CI27">
        <v>3</v>
      </c>
      <c r="CJ27">
        <v>1</v>
      </c>
      <c r="CK27" t="s">
        <v>993</v>
      </c>
      <c r="CM27" t="s">
        <v>844</v>
      </c>
      <c r="CN27">
        <v>1</v>
      </c>
      <c r="CO27">
        <v>0</v>
      </c>
      <c r="CP27">
        <v>0</v>
      </c>
      <c r="CQ27">
        <v>0</v>
      </c>
      <c r="CR27">
        <v>0</v>
      </c>
      <c r="CS27">
        <v>0</v>
      </c>
      <c r="CU27" t="s">
        <v>1047</v>
      </c>
      <c r="CV27">
        <v>1</v>
      </c>
      <c r="CW27">
        <v>0</v>
      </c>
      <c r="CX27">
        <v>1</v>
      </c>
      <c r="CY27">
        <v>0</v>
      </c>
      <c r="CZ27">
        <v>0</v>
      </c>
      <c r="DA27">
        <v>1</v>
      </c>
      <c r="DB27">
        <v>1</v>
      </c>
      <c r="DC27">
        <v>1</v>
      </c>
      <c r="DD27">
        <v>1</v>
      </c>
      <c r="DE27">
        <v>1</v>
      </c>
      <c r="DF27">
        <v>0</v>
      </c>
      <c r="DJ27">
        <v>2</v>
      </c>
      <c r="DK27">
        <v>8</v>
      </c>
      <c r="DL27">
        <v>10</v>
      </c>
      <c r="DN27">
        <v>220</v>
      </c>
      <c r="DP27">
        <v>300</v>
      </c>
      <c r="DQ27" t="s">
        <v>1048</v>
      </c>
      <c r="DR27">
        <v>1</v>
      </c>
      <c r="DS27">
        <v>0</v>
      </c>
      <c r="DT27">
        <v>1</v>
      </c>
      <c r="DU27">
        <v>0</v>
      </c>
      <c r="DV27">
        <v>1</v>
      </c>
      <c r="DW27">
        <v>1</v>
      </c>
      <c r="DX27">
        <v>0</v>
      </c>
      <c r="DY27">
        <v>0</v>
      </c>
      <c r="DZ27">
        <v>0</v>
      </c>
      <c r="EB27" t="s">
        <v>842</v>
      </c>
      <c r="EC27" t="s">
        <v>869</v>
      </c>
      <c r="ED27" t="s">
        <v>848</v>
      </c>
      <c r="EI27">
        <v>205</v>
      </c>
      <c r="EM27" t="s">
        <v>841</v>
      </c>
      <c r="EO27">
        <v>215</v>
      </c>
      <c r="ES27" t="s">
        <v>841</v>
      </c>
      <c r="EU27">
        <v>290</v>
      </c>
      <c r="EY27" t="s">
        <v>841</v>
      </c>
      <c r="FA27">
        <v>6</v>
      </c>
      <c r="FB27" t="s">
        <v>841</v>
      </c>
      <c r="FG27">
        <v>5</v>
      </c>
      <c r="FH27" t="s">
        <v>841</v>
      </c>
      <c r="FM27">
        <v>100</v>
      </c>
      <c r="FO27">
        <v>1</v>
      </c>
      <c r="FP27">
        <v>1</v>
      </c>
      <c r="FQ27">
        <v>2</v>
      </c>
      <c r="FS27" t="s">
        <v>839</v>
      </c>
      <c r="FT27" t="s">
        <v>839</v>
      </c>
      <c r="FU27" t="s">
        <v>842</v>
      </c>
      <c r="FV27" t="s">
        <v>842</v>
      </c>
      <c r="FW27" t="s">
        <v>839</v>
      </c>
      <c r="FX27" t="s">
        <v>910</v>
      </c>
      <c r="FY27" t="s">
        <v>839</v>
      </c>
      <c r="FZ27" t="s">
        <v>839</v>
      </c>
      <c r="GA27" t="s">
        <v>839</v>
      </c>
      <c r="GB27" t="s">
        <v>839</v>
      </c>
      <c r="GC27" t="s">
        <v>842</v>
      </c>
      <c r="GD27" t="s">
        <v>839</v>
      </c>
      <c r="GE27" t="s">
        <v>1049</v>
      </c>
      <c r="GG27" t="s">
        <v>668</v>
      </c>
      <c r="GI27" t="s">
        <v>1050</v>
      </c>
      <c r="GJ27">
        <v>1</v>
      </c>
      <c r="GK27">
        <v>1</v>
      </c>
      <c r="GL27">
        <v>1</v>
      </c>
      <c r="GM27">
        <v>1</v>
      </c>
      <c r="GN27">
        <v>1</v>
      </c>
      <c r="GO27">
        <v>1</v>
      </c>
      <c r="GP27">
        <v>0</v>
      </c>
      <c r="GQ27">
        <v>0</v>
      </c>
      <c r="GR27">
        <v>0</v>
      </c>
      <c r="GS27">
        <v>0</v>
      </c>
      <c r="GT27">
        <v>0</v>
      </c>
      <c r="GU27">
        <v>0</v>
      </c>
      <c r="GV27">
        <v>1</v>
      </c>
      <c r="GW27">
        <v>1</v>
      </c>
      <c r="GX27">
        <v>0</v>
      </c>
      <c r="GY27">
        <v>0</v>
      </c>
      <c r="GZ27">
        <v>0</v>
      </c>
      <c r="HB27" t="s">
        <v>839</v>
      </c>
    </row>
    <row r="28" spans="1:211" x14ac:dyDescent="0.35">
      <c r="A28" t="s">
        <v>1051</v>
      </c>
      <c r="B28" s="151">
        <v>44887.546851851846</v>
      </c>
      <c r="C28" t="s">
        <v>1052</v>
      </c>
      <c r="D28" t="s">
        <v>1053</v>
      </c>
      <c r="E28" t="s">
        <v>835</v>
      </c>
      <c r="F28" t="s">
        <v>1054</v>
      </c>
      <c r="G28" t="s">
        <v>1054</v>
      </c>
      <c r="H28" t="s">
        <v>837</v>
      </c>
      <c r="I28" t="s">
        <v>626</v>
      </c>
      <c r="J28" t="s">
        <v>1055</v>
      </c>
      <c r="K28" t="s">
        <v>839</v>
      </c>
      <c r="L28" t="s">
        <v>887</v>
      </c>
      <c r="O28">
        <v>62</v>
      </c>
      <c r="P28">
        <v>61</v>
      </c>
      <c r="Q28">
        <v>123</v>
      </c>
      <c r="S28" t="s">
        <v>841</v>
      </c>
      <c r="T28" t="s">
        <v>841</v>
      </c>
      <c r="U28" t="s">
        <v>841</v>
      </c>
      <c r="V28" t="s">
        <v>841</v>
      </c>
      <c r="W28" t="s">
        <v>841</v>
      </c>
      <c r="X28" t="s">
        <v>841</v>
      </c>
      <c r="Y28" t="s">
        <v>841</v>
      </c>
      <c r="AH28">
        <v>1</v>
      </c>
      <c r="AI28">
        <v>1</v>
      </c>
      <c r="AJ28">
        <v>1</v>
      </c>
      <c r="AK28">
        <v>1</v>
      </c>
      <c r="AL28">
        <v>1</v>
      </c>
      <c r="AM28">
        <v>1</v>
      </c>
      <c r="AN28">
        <v>1</v>
      </c>
      <c r="AZ28" t="s">
        <v>841</v>
      </c>
      <c r="BM28" t="s">
        <v>841</v>
      </c>
      <c r="BS28" t="s">
        <v>841</v>
      </c>
      <c r="BV28" t="s">
        <v>839</v>
      </c>
      <c r="BW28" t="s">
        <v>759</v>
      </c>
      <c r="BX28" t="s">
        <v>839</v>
      </c>
      <c r="BY28" t="s">
        <v>759</v>
      </c>
      <c r="BZ28" t="s">
        <v>839</v>
      </c>
      <c r="CA28" t="s">
        <v>839</v>
      </c>
      <c r="CC28" t="s">
        <v>839</v>
      </c>
      <c r="CD28" t="s">
        <v>855</v>
      </c>
      <c r="CG28">
        <v>4</v>
      </c>
      <c r="CH28">
        <v>1</v>
      </c>
      <c r="CI28">
        <v>1</v>
      </c>
      <c r="CJ28">
        <v>2</v>
      </c>
      <c r="CK28" t="s">
        <v>866</v>
      </c>
      <c r="CM28" t="s">
        <v>844</v>
      </c>
      <c r="CN28">
        <v>1</v>
      </c>
      <c r="CO28">
        <v>0</v>
      </c>
      <c r="CP28">
        <v>0</v>
      </c>
      <c r="CQ28">
        <v>0</v>
      </c>
      <c r="CR28">
        <v>0</v>
      </c>
      <c r="CS28">
        <v>0</v>
      </c>
      <c r="CU28" t="s">
        <v>907</v>
      </c>
      <c r="CV28">
        <v>1</v>
      </c>
      <c r="CW28">
        <v>0</v>
      </c>
      <c r="CX28">
        <v>1</v>
      </c>
      <c r="CY28">
        <v>0</v>
      </c>
      <c r="CZ28">
        <v>0</v>
      </c>
      <c r="DA28">
        <v>0</v>
      </c>
      <c r="DB28">
        <v>0</v>
      </c>
      <c r="DC28">
        <v>0</v>
      </c>
      <c r="DD28">
        <v>1</v>
      </c>
      <c r="DE28">
        <v>0</v>
      </c>
      <c r="DF28">
        <v>0</v>
      </c>
      <c r="DJ28">
        <v>0</v>
      </c>
      <c r="DK28">
        <v>7</v>
      </c>
      <c r="DL28">
        <v>7</v>
      </c>
      <c r="DN28">
        <v>350</v>
      </c>
      <c r="DP28">
        <v>500</v>
      </c>
      <c r="DQ28" t="s">
        <v>1056</v>
      </c>
      <c r="DR28">
        <v>0</v>
      </c>
      <c r="DS28">
        <v>0</v>
      </c>
      <c r="DT28">
        <v>1</v>
      </c>
      <c r="DU28">
        <v>0</v>
      </c>
      <c r="DV28">
        <v>0</v>
      </c>
      <c r="DW28">
        <v>1</v>
      </c>
      <c r="DX28">
        <v>0</v>
      </c>
      <c r="DY28">
        <v>1</v>
      </c>
      <c r="DZ28">
        <v>0</v>
      </c>
      <c r="EA28" t="s">
        <v>1057</v>
      </c>
      <c r="EB28" t="s">
        <v>839</v>
      </c>
      <c r="EC28" t="s">
        <v>869</v>
      </c>
      <c r="ED28" t="s">
        <v>928</v>
      </c>
      <c r="EI28" s="157">
        <v>1385</v>
      </c>
      <c r="EJ28" s="157"/>
      <c r="EK28" s="157"/>
      <c r="EL28" s="157"/>
      <c r="EM28" s="157" t="s">
        <v>841</v>
      </c>
      <c r="EN28" s="157"/>
      <c r="EO28" s="157">
        <v>1507</v>
      </c>
      <c r="EP28" s="157"/>
      <c r="EQ28" s="157"/>
      <c r="ER28" s="157"/>
      <c r="ES28" s="157" t="s">
        <v>841</v>
      </c>
      <c r="ET28" s="157"/>
      <c r="EU28" s="157">
        <v>1955</v>
      </c>
      <c r="EV28" s="157"/>
      <c r="EW28" s="157"/>
      <c r="EX28" s="157"/>
      <c r="EY28" s="157" t="s">
        <v>841</v>
      </c>
      <c r="EZ28" s="157"/>
      <c r="FA28" s="157">
        <v>714</v>
      </c>
      <c r="FB28" s="157"/>
      <c r="FC28" s="157"/>
      <c r="FD28" s="157"/>
      <c r="FE28" s="157" t="s">
        <v>841</v>
      </c>
      <c r="FF28" s="157"/>
      <c r="FG28" s="157"/>
      <c r="FH28" s="157"/>
      <c r="FI28" s="157"/>
      <c r="FJ28" s="157"/>
      <c r="FK28" s="157"/>
      <c r="FL28" s="157" t="s">
        <v>841</v>
      </c>
      <c r="FM28">
        <v>315</v>
      </c>
      <c r="FO28">
        <v>3</v>
      </c>
      <c r="FP28">
        <v>2</v>
      </c>
      <c r="FQ28">
        <v>5</v>
      </c>
      <c r="FS28" t="s">
        <v>842</v>
      </c>
      <c r="FT28" t="s">
        <v>839</v>
      </c>
      <c r="FU28" t="s">
        <v>839</v>
      </c>
      <c r="FV28" t="s">
        <v>842</v>
      </c>
      <c r="FW28" t="s">
        <v>839</v>
      </c>
      <c r="FX28" t="s">
        <v>880</v>
      </c>
      <c r="FY28" t="s">
        <v>842</v>
      </c>
      <c r="FZ28" t="s">
        <v>839</v>
      </c>
      <c r="GA28" t="s">
        <v>839</v>
      </c>
      <c r="GB28" t="s">
        <v>842</v>
      </c>
      <c r="GC28" t="s">
        <v>842</v>
      </c>
      <c r="GD28" t="s">
        <v>842</v>
      </c>
      <c r="GG28" t="s">
        <v>842</v>
      </c>
      <c r="GI28" t="s">
        <v>1058</v>
      </c>
      <c r="GJ28">
        <v>1</v>
      </c>
      <c r="GK28">
        <v>0</v>
      </c>
      <c r="GL28">
        <v>0</v>
      </c>
      <c r="GM28">
        <v>0</v>
      </c>
      <c r="GN28">
        <v>0</v>
      </c>
      <c r="GO28">
        <v>0</v>
      </c>
      <c r="GP28">
        <v>0</v>
      </c>
      <c r="GQ28">
        <v>0</v>
      </c>
      <c r="GR28">
        <v>0</v>
      </c>
      <c r="GS28">
        <v>0</v>
      </c>
      <c r="GT28">
        <v>0</v>
      </c>
      <c r="GU28">
        <v>1</v>
      </c>
      <c r="GV28">
        <v>0</v>
      </c>
      <c r="GW28">
        <v>1</v>
      </c>
      <c r="GX28">
        <v>0</v>
      </c>
      <c r="GY28">
        <v>0</v>
      </c>
      <c r="GZ28">
        <v>0</v>
      </c>
      <c r="HB28" t="s">
        <v>842</v>
      </c>
      <c r="HC28" t="s">
        <v>1059</v>
      </c>
    </row>
    <row r="29" spans="1:211" x14ac:dyDescent="0.35">
      <c r="A29" t="s">
        <v>1060</v>
      </c>
      <c r="B29" s="151">
        <v>44887.553518518522</v>
      </c>
      <c r="C29" t="s">
        <v>1061</v>
      </c>
      <c r="D29" t="s">
        <v>1062</v>
      </c>
      <c r="E29" t="s">
        <v>875</v>
      </c>
      <c r="F29" t="s">
        <v>1063</v>
      </c>
      <c r="G29" t="s">
        <v>1063</v>
      </c>
      <c r="H29" t="s">
        <v>839</v>
      </c>
      <c r="I29" t="s">
        <v>896</v>
      </c>
      <c r="K29" t="s">
        <v>839</v>
      </c>
      <c r="L29" t="s">
        <v>887</v>
      </c>
      <c r="O29">
        <v>194</v>
      </c>
      <c r="P29">
        <v>200</v>
      </c>
      <c r="Q29">
        <v>394</v>
      </c>
      <c r="T29" t="s">
        <v>841</v>
      </c>
      <c r="U29" t="s">
        <v>841</v>
      </c>
      <c r="V29" t="s">
        <v>841</v>
      </c>
      <c r="W29" t="s">
        <v>841</v>
      </c>
      <c r="X29" t="s">
        <v>841</v>
      </c>
      <c r="Y29" t="s">
        <v>841</v>
      </c>
      <c r="Z29" t="s">
        <v>841</v>
      </c>
      <c r="AA29" t="s">
        <v>841</v>
      </c>
      <c r="AC29" t="s">
        <v>841</v>
      </c>
      <c r="AD29" t="s">
        <v>841</v>
      </c>
      <c r="AE29" t="s">
        <v>841</v>
      </c>
      <c r="AF29" t="s">
        <v>841</v>
      </c>
      <c r="AH29">
        <v>0</v>
      </c>
      <c r="AI29">
        <v>1</v>
      </c>
      <c r="AJ29">
        <v>1</v>
      </c>
      <c r="AK29">
        <v>1</v>
      </c>
      <c r="AL29">
        <v>1</v>
      </c>
      <c r="AM29">
        <v>1</v>
      </c>
      <c r="AN29">
        <v>1</v>
      </c>
      <c r="AO29">
        <v>1</v>
      </c>
      <c r="AP29">
        <v>1</v>
      </c>
      <c r="AQ29">
        <v>1</v>
      </c>
      <c r="AR29">
        <v>1</v>
      </c>
      <c r="AS29">
        <v>1</v>
      </c>
      <c r="AT29">
        <v>1</v>
      </c>
      <c r="AU29">
        <v>1</v>
      </c>
      <c r="AW29">
        <v>19</v>
      </c>
      <c r="AX29">
        <v>24</v>
      </c>
      <c r="AY29">
        <v>43</v>
      </c>
      <c r="BB29">
        <v>4</v>
      </c>
      <c r="BC29">
        <v>5</v>
      </c>
      <c r="BD29">
        <v>9</v>
      </c>
      <c r="BF29">
        <v>12</v>
      </c>
      <c r="BG29">
        <v>8</v>
      </c>
      <c r="BH29">
        <v>20</v>
      </c>
      <c r="BJ29">
        <v>9</v>
      </c>
      <c r="BK29">
        <v>11</v>
      </c>
      <c r="BL29">
        <v>20</v>
      </c>
      <c r="BT29" t="s">
        <v>841</v>
      </c>
      <c r="BV29" t="s">
        <v>842</v>
      </c>
      <c r="BX29" t="s">
        <v>842</v>
      </c>
      <c r="BZ29" t="s">
        <v>839</v>
      </c>
      <c r="CA29" t="s">
        <v>925</v>
      </c>
      <c r="CC29" t="s">
        <v>839</v>
      </c>
      <c r="CD29" t="s">
        <v>855</v>
      </c>
      <c r="CG29">
        <v>4</v>
      </c>
      <c r="CH29">
        <v>2</v>
      </c>
      <c r="CI29">
        <v>2</v>
      </c>
      <c r="CJ29">
        <v>0</v>
      </c>
      <c r="CK29" t="s">
        <v>856</v>
      </c>
      <c r="CM29" t="s">
        <v>867</v>
      </c>
      <c r="CN29">
        <v>0</v>
      </c>
      <c r="CO29">
        <v>1</v>
      </c>
      <c r="CP29">
        <v>0</v>
      </c>
      <c r="CQ29">
        <v>0</v>
      </c>
      <c r="CR29">
        <v>0</v>
      </c>
      <c r="CS29">
        <v>0</v>
      </c>
      <c r="CU29" t="s">
        <v>1064</v>
      </c>
      <c r="CV29">
        <v>1</v>
      </c>
      <c r="CW29">
        <v>0</v>
      </c>
      <c r="CX29">
        <v>0</v>
      </c>
      <c r="CY29">
        <v>0</v>
      </c>
      <c r="CZ29">
        <v>0</v>
      </c>
      <c r="DA29">
        <v>0</v>
      </c>
      <c r="DB29">
        <v>0</v>
      </c>
      <c r="DC29">
        <v>0</v>
      </c>
      <c r="DD29">
        <v>1</v>
      </c>
      <c r="DE29">
        <v>1</v>
      </c>
      <c r="DF29">
        <v>0</v>
      </c>
      <c r="DJ29">
        <v>9</v>
      </c>
      <c r="DK29">
        <v>14</v>
      </c>
      <c r="DL29">
        <v>23</v>
      </c>
      <c r="DN29">
        <v>300</v>
      </c>
      <c r="DP29">
        <v>1000</v>
      </c>
      <c r="DQ29" t="s">
        <v>937</v>
      </c>
      <c r="DR29">
        <v>1</v>
      </c>
      <c r="DS29">
        <v>0</v>
      </c>
      <c r="DT29">
        <v>0</v>
      </c>
      <c r="DU29">
        <v>0</v>
      </c>
      <c r="DV29">
        <v>0</v>
      </c>
      <c r="DW29">
        <v>0</v>
      </c>
      <c r="DX29">
        <v>0</v>
      </c>
      <c r="DY29">
        <v>0</v>
      </c>
      <c r="DZ29">
        <v>0</v>
      </c>
      <c r="EB29" t="s">
        <v>839</v>
      </c>
      <c r="EC29" t="s">
        <v>847</v>
      </c>
      <c r="ED29" t="s">
        <v>848</v>
      </c>
      <c r="EI29">
        <v>400</v>
      </c>
      <c r="EM29" t="s">
        <v>841</v>
      </c>
      <c r="EO29">
        <v>450</v>
      </c>
      <c r="ES29" t="s">
        <v>841</v>
      </c>
      <c r="FA29">
        <v>4</v>
      </c>
      <c r="FB29" t="s">
        <v>841</v>
      </c>
      <c r="FL29" t="s">
        <v>841</v>
      </c>
      <c r="FM29">
        <v>700</v>
      </c>
      <c r="FO29">
        <v>2</v>
      </c>
      <c r="FP29">
        <v>3</v>
      </c>
      <c r="FQ29">
        <v>5</v>
      </c>
      <c r="FS29" t="s">
        <v>842</v>
      </c>
      <c r="FT29" t="s">
        <v>842</v>
      </c>
      <c r="FU29" t="s">
        <v>839</v>
      </c>
      <c r="FV29" t="s">
        <v>839</v>
      </c>
      <c r="FW29" t="s">
        <v>839</v>
      </c>
      <c r="FX29" t="s">
        <v>890</v>
      </c>
      <c r="FY29" t="s">
        <v>842</v>
      </c>
      <c r="FZ29" t="s">
        <v>839</v>
      </c>
      <c r="GA29" t="s">
        <v>839</v>
      </c>
      <c r="GB29" t="s">
        <v>839</v>
      </c>
      <c r="GC29" t="s">
        <v>842</v>
      </c>
      <c r="GD29" t="s">
        <v>842</v>
      </c>
      <c r="GG29" t="s">
        <v>842</v>
      </c>
      <c r="GI29" t="s">
        <v>1065</v>
      </c>
      <c r="GJ29">
        <v>0</v>
      </c>
      <c r="GK29">
        <v>0</v>
      </c>
      <c r="GL29">
        <v>0</v>
      </c>
      <c r="GM29">
        <v>0</v>
      </c>
      <c r="GN29">
        <v>0</v>
      </c>
      <c r="GO29">
        <v>0</v>
      </c>
      <c r="GP29">
        <v>0</v>
      </c>
      <c r="GQ29">
        <v>0</v>
      </c>
      <c r="GR29">
        <v>0</v>
      </c>
      <c r="GS29">
        <v>0</v>
      </c>
      <c r="GT29">
        <v>0</v>
      </c>
      <c r="GU29">
        <v>0</v>
      </c>
      <c r="GV29">
        <v>0</v>
      </c>
      <c r="GW29">
        <v>1</v>
      </c>
      <c r="GX29">
        <v>1</v>
      </c>
      <c r="GY29">
        <v>0</v>
      </c>
      <c r="GZ29">
        <v>0</v>
      </c>
      <c r="HB29" t="s">
        <v>839</v>
      </c>
    </row>
    <row r="30" spans="1:211" x14ac:dyDescent="0.35">
      <c r="A30" t="s">
        <v>1066</v>
      </c>
      <c r="B30" s="151">
        <v>44887.555983796286</v>
      </c>
      <c r="C30" t="s">
        <v>1067</v>
      </c>
      <c r="D30" t="s">
        <v>1068</v>
      </c>
      <c r="E30" t="s">
        <v>875</v>
      </c>
      <c r="F30" t="s">
        <v>1069</v>
      </c>
      <c r="G30" t="s">
        <v>839</v>
      </c>
      <c r="H30" t="s">
        <v>839</v>
      </c>
      <c r="I30" t="s">
        <v>1046</v>
      </c>
      <c r="K30" t="s">
        <v>839</v>
      </c>
      <c r="L30" t="s">
        <v>897</v>
      </c>
      <c r="O30">
        <v>180</v>
      </c>
      <c r="P30">
        <v>179</v>
      </c>
      <c r="Q30">
        <v>359</v>
      </c>
      <c r="T30" t="s">
        <v>841</v>
      </c>
      <c r="U30" t="s">
        <v>841</v>
      </c>
      <c r="V30" t="s">
        <v>841</v>
      </c>
      <c r="W30" t="s">
        <v>841</v>
      </c>
      <c r="X30" t="s">
        <v>841</v>
      </c>
      <c r="Y30" t="s">
        <v>841</v>
      </c>
      <c r="Z30" t="s">
        <v>841</v>
      </c>
      <c r="AA30" t="s">
        <v>841</v>
      </c>
      <c r="AB30" t="s">
        <v>841</v>
      </c>
      <c r="AC30" t="s">
        <v>841</v>
      </c>
      <c r="AD30" t="s">
        <v>841</v>
      </c>
      <c r="AE30" t="s">
        <v>841</v>
      </c>
      <c r="AF30" t="s">
        <v>841</v>
      </c>
      <c r="AH30">
        <v>0</v>
      </c>
      <c r="AI30">
        <v>1</v>
      </c>
      <c r="AJ30">
        <v>1</v>
      </c>
      <c r="AK30">
        <v>1</v>
      </c>
      <c r="AL30">
        <v>1</v>
      </c>
      <c r="AM30">
        <v>1</v>
      </c>
      <c r="AN30">
        <v>1</v>
      </c>
      <c r="AO30">
        <v>1</v>
      </c>
      <c r="AP30">
        <v>1</v>
      </c>
      <c r="AQ30">
        <v>1</v>
      </c>
      <c r="AR30">
        <v>1</v>
      </c>
      <c r="AS30">
        <v>1</v>
      </c>
      <c r="AT30">
        <v>1</v>
      </c>
      <c r="AU30">
        <v>1</v>
      </c>
      <c r="AW30">
        <v>4</v>
      </c>
      <c r="AX30">
        <v>5</v>
      </c>
      <c r="AY30">
        <v>9</v>
      </c>
      <c r="BB30">
        <v>1</v>
      </c>
      <c r="BC30">
        <v>1</v>
      </c>
      <c r="BD30">
        <v>2</v>
      </c>
      <c r="BF30">
        <v>2</v>
      </c>
      <c r="BG30">
        <v>3</v>
      </c>
      <c r="BH30">
        <v>5</v>
      </c>
      <c r="BJ30">
        <v>29</v>
      </c>
      <c r="BP30">
        <v>4</v>
      </c>
      <c r="BQ30">
        <v>5</v>
      </c>
      <c r="BR30">
        <v>9</v>
      </c>
      <c r="BV30" t="s">
        <v>842</v>
      </c>
      <c r="BX30" t="s">
        <v>839</v>
      </c>
      <c r="BY30" t="s">
        <v>759</v>
      </c>
      <c r="BZ30" t="s">
        <v>839</v>
      </c>
      <c r="CA30" t="s">
        <v>839</v>
      </c>
      <c r="CC30" t="s">
        <v>839</v>
      </c>
      <c r="CD30" t="s">
        <v>855</v>
      </c>
      <c r="CG30">
        <v>2</v>
      </c>
      <c r="CH30">
        <v>1</v>
      </c>
      <c r="CI30">
        <v>1</v>
      </c>
      <c r="CJ30">
        <v>1</v>
      </c>
      <c r="CK30" t="s">
        <v>993</v>
      </c>
      <c r="CM30" t="s">
        <v>867</v>
      </c>
      <c r="CN30">
        <v>0</v>
      </c>
      <c r="CO30">
        <v>1</v>
      </c>
      <c r="CP30">
        <v>0</v>
      </c>
      <c r="CQ30">
        <v>0</v>
      </c>
      <c r="CR30">
        <v>0</v>
      </c>
      <c r="CS30">
        <v>0</v>
      </c>
      <c r="CU30" t="s">
        <v>907</v>
      </c>
      <c r="CV30">
        <v>1</v>
      </c>
      <c r="CW30">
        <v>0</v>
      </c>
      <c r="CX30">
        <v>1</v>
      </c>
      <c r="CY30">
        <v>0</v>
      </c>
      <c r="CZ30">
        <v>0</v>
      </c>
      <c r="DA30">
        <v>0</v>
      </c>
      <c r="DB30">
        <v>0</v>
      </c>
      <c r="DC30">
        <v>0</v>
      </c>
      <c r="DD30">
        <v>1</v>
      </c>
      <c r="DE30">
        <v>0</v>
      </c>
      <c r="DF30">
        <v>0</v>
      </c>
      <c r="DJ30">
        <v>7</v>
      </c>
      <c r="DK30">
        <v>7</v>
      </c>
      <c r="DL30">
        <v>14</v>
      </c>
      <c r="DN30">
        <v>230</v>
      </c>
      <c r="DP30">
        <v>480</v>
      </c>
      <c r="DQ30" t="s">
        <v>1070</v>
      </c>
      <c r="DR30">
        <v>1</v>
      </c>
      <c r="DS30">
        <v>1</v>
      </c>
      <c r="DT30">
        <v>0</v>
      </c>
      <c r="DU30">
        <v>0</v>
      </c>
      <c r="DV30">
        <v>0</v>
      </c>
      <c r="DW30">
        <v>0</v>
      </c>
      <c r="DX30">
        <v>0</v>
      </c>
      <c r="DY30">
        <v>0</v>
      </c>
      <c r="DZ30">
        <v>0</v>
      </c>
      <c r="EB30" t="s">
        <v>839</v>
      </c>
      <c r="EC30" t="s">
        <v>847</v>
      </c>
      <c r="ED30" t="s">
        <v>928</v>
      </c>
      <c r="EI30">
        <v>200</v>
      </c>
      <c r="EM30" t="s">
        <v>841</v>
      </c>
      <c r="EO30">
        <v>200</v>
      </c>
      <c r="ES30" t="s">
        <v>841</v>
      </c>
      <c r="EU30">
        <v>280</v>
      </c>
      <c r="EY30" t="s">
        <v>841</v>
      </c>
      <c r="FA30">
        <v>800</v>
      </c>
      <c r="FB30" t="s">
        <v>841</v>
      </c>
      <c r="FG30">
        <v>600</v>
      </c>
      <c r="FK30" t="s">
        <v>841</v>
      </c>
      <c r="FM30">
        <v>165</v>
      </c>
      <c r="FO30">
        <v>0</v>
      </c>
      <c r="FP30">
        <v>0</v>
      </c>
      <c r="FQ30">
        <v>0</v>
      </c>
      <c r="FS30" t="s">
        <v>842</v>
      </c>
      <c r="FT30" t="s">
        <v>839</v>
      </c>
      <c r="FU30" t="s">
        <v>839</v>
      </c>
      <c r="FV30" t="s">
        <v>839</v>
      </c>
      <c r="FW30" t="s">
        <v>842</v>
      </c>
      <c r="FY30" t="s">
        <v>842</v>
      </c>
      <c r="FZ30" t="s">
        <v>839</v>
      </c>
      <c r="GA30" t="s">
        <v>842</v>
      </c>
      <c r="GB30" t="s">
        <v>842</v>
      </c>
      <c r="GC30" t="s">
        <v>842</v>
      </c>
      <c r="GD30" t="s">
        <v>839</v>
      </c>
      <c r="GE30" t="s">
        <v>881</v>
      </c>
      <c r="GG30" t="s">
        <v>668</v>
      </c>
      <c r="GI30" t="s">
        <v>1071</v>
      </c>
      <c r="GJ30">
        <v>1</v>
      </c>
      <c r="GK30">
        <v>1</v>
      </c>
      <c r="GL30">
        <v>1</v>
      </c>
      <c r="GM30">
        <v>0</v>
      </c>
      <c r="GN30">
        <v>0</v>
      </c>
      <c r="GO30">
        <v>0</v>
      </c>
      <c r="GP30">
        <v>0</v>
      </c>
      <c r="GQ30">
        <v>0</v>
      </c>
      <c r="GR30">
        <v>1</v>
      </c>
      <c r="GS30">
        <v>0</v>
      </c>
      <c r="GT30">
        <v>0</v>
      </c>
      <c r="GU30">
        <v>0</v>
      </c>
      <c r="GV30">
        <v>0</v>
      </c>
      <c r="GW30">
        <v>0</v>
      </c>
      <c r="GX30">
        <v>0</v>
      </c>
      <c r="GY30">
        <v>0</v>
      </c>
      <c r="GZ30">
        <v>0</v>
      </c>
      <c r="HB30" t="s">
        <v>839</v>
      </c>
    </row>
    <row r="31" spans="1:211" ht="16.5" customHeight="1" x14ac:dyDescent="0.35">
      <c r="A31" t="s">
        <v>1072</v>
      </c>
      <c r="B31" s="151">
        <v>44887.558657407397</v>
      </c>
      <c r="C31" t="s">
        <v>1073</v>
      </c>
      <c r="D31" t="s">
        <v>1074</v>
      </c>
      <c r="E31" t="s">
        <v>835</v>
      </c>
      <c r="F31" t="s">
        <v>1075</v>
      </c>
      <c r="G31" t="s">
        <v>1075</v>
      </c>
      <c r="H31" t="s">
        <v>839</v>
      </c>
      <c r="I31" t="s">
        <v>838</v>
      </c>
      <c r="K31" t="s">
        <v>839</v>
      </c>
      <c r="L31" t="s">
        <v>887</v>
      </c>
      <c r="O31">
        <v>48</v>
      </c>
      <c r="P31">
        <v>47</v>
      </c>
      <c r="Q31">
        <v>95</v>
      </c>
      <c r="T31" t="s">
        <v>841</v>
      </c>
      <c r="U31" t="s">
        <v>841</v>
      </c>
      <c r="V31" t="s">
        <v>841</v>
      </c>
      <c r="W31" t="s">
        <v>841</v>
      </c>
      <c r="X31" t="s">
        <v>841</v>
      </c>
      <c r="Y31" t="s">
        <v>841</v>
      </c>
      <c r="Z31" t="s">
        <v>841</v>
      </c>
      <c r="AA31" t="s">
        <v>841</v>
      </c>
      <c r="AB31" t="s">
        <v>841</v>
      </c>
      <c r="AC31" t="s">
        <v>841</v>
      </c>
      <c r="AD31" t="s">
        <v>841</v>
      </c>
      <c r="AH31">
        <v>0</v>
      </c>
      <c r="AI31">
        <v>1</v>
      </c>
      <c r="AJ31">
        <v>1</v>
      </c>
      <c r="AK31">
        <v>1</v>
      </c>
      <c r="AL31">
        <v>1</v>
      </c>
      <c r="AM31">
        <v>1</v>
      </c>
      <c r="AN31">
        <v>1</v>
      </c>
      <c r="AO31">
        <v>1</v>
      </c>
      <c r="AP31">
        <v>1</v>
      </c>
      <c r="AQ31">
        <v>1</v>
      </c>
      <c r="AR31">
        <v>1</v>
      </c>
      <c r="AS31">
        <v>1</v>
      </c>
      <c r="AZ31" t="s">
        <v>841</v>
      </c>
      <c r="BJ31">
        <v>2</v>
      </c>
      <c r="BK31">
        <v>4</v>
      </c>
      <c r="BL31">
        <v>6</v>
      </c>
      <c r="BP31">
        <v>0</v>
      </c>
      <c r="BQ31">
        <v>0</v>
      </c>
      <c r="BR31">
        <v>0</v>
      </c>
      <c r="BS31" t="s">
        <v>841</v>
      </c>
      <c r="BV31" t="s">
        <v>842</v>
      </c>
      <c r="BX31" t="s">
        <v>839</v>
      </c>
      <c r="BY31" t="s">
        <v>759</v>
      </c>
      <c r="BZ31" t="s">
        <v>839</v>
      </c>
      <c r="CA31" t="s">
        <v>839</v>
      </c>
      <c r="CC31" t="s">
        <v>839</v>
      </c>
      <c r="CD31" t="s">
        <v>855</v>
      </c>
      <c r="CG31">
        <v>1</v>
      </c>
      <c r="CH31">
        <v>0</v>
      </c>
      <c r="CI31">
        <v>0</v>
      </c>
      <c r="CJ31">
        <v>1</v>
      </c>
      <c r="CK31" t="s">
        <v>681</v>
      </c>
      <c r="CM31" t="s">
        <v>867</v>
      </c>
      <c r="CN31">
        <v>0</v>
      </c>
      <c r="CO31">
        <v>1</v>
      </c>
      <c r="CP31">
        <v>0</v>
      </c>
      <c r="CQ31">
        <v>0</v>
      </c>
      <c r="CR31">
        <v>0</v>
      </c>
      <c r="CS31">
        <v>0</v>
      </c>
      <c r="CU31" t="s">
        <v>845</v>
      </c>
      <c r="CV31">
        <v>0</v>
      </c>
      <c r="CW31">
        <v>0</v>
      </c>
      <c r="CX31">
        <v>0</v>
      </c>
      <c r="CY31">
        <v>1</v>
      </c>
      <c r="CZ31">
        <v>0</v>
      </c>
      <c r="DA31">
        <v>0</v>
      </c>
      <c r="DB31">
        <v>0</v>
      </c>
      <c r="DC31">
        <v>0</v>
      </c>
      <c r="DD31">
        <v>0</v>
      </c>
      <c r="DE31">
        <v>0</v>
      </c>
      <c r="DF31">
        <v>0</v>
      </c>
      <c r="DJ31">
        <v>5</v>
      </c>
      <c r="DK31">
        <v>4</v>
      </c>
      <c r="DL31">
        <v>9</v>
      </c>
      <c r="DN31">
        <v>250</v>
      </c>
      <c r="DP31">
        <v>400</v>
      </c>
      <c r="DQ31" t="s">
        <v>937</v>
      </c>
      <c r="DR31">
        <v>1</v>
      </c>
      <c r="DS31">
        <v>0</v>
      </c>
      <c r="DT31">
        <v>0</v>
      </c>
      <c r="DU31">
        <v>0</v>
      </c>
      <c r="DV31">
        <v>0</v>
      </c>
      <c r="DW31">
        <v>0</v>
      </c>
      <c r="DX31">
        <v>0</v>
      </c>
      <c r="DY31">
        <v>0</v>
      </c>
      <c r="DZ31">
        <v>0</v>
      </c>
      <c r="EB31" t="s">
        <v>842</v>
      </c>
      <c r="EC31" t="s">
        <v>909</v>
      </c>
      <c r="ED31" t="s">
        <v>848</v>
      </c>
      <c r="EI31">
        <v>300</v>
      </c>
      <c r="EM31" t="s">
        <v>841</v>
      </c>
      <c r="EO31">
        <v>300</v>
      </c>
      <c r="ES31" t="s">
        <v>841</v>
      </c>
      <c r="EZ31" t="s">
        <v>841</v>
      </c>
      <c r="FA31">
        <v>5</v>
      </c>
      <c r="FB31" t="s">
        <v>841</v>
      </c>
      <c r="FG31">
        <v>7</v>
      </c>
      <c r="FH31" t="s">
        <v>841</v>
      </c>
      <c r="FM31">
        <v>70</v>
      </c>
      <c r="FO31">
        <v>0</v>
      </c>
      <c r="FP31">
        <v>0</v>
      </c>
      <c r="FQ31">
        <v>0</v>
      </c>
      <c r="FS31" t="s">
        <v>842</v>
      </c>
      <c r="FT31" t="s">
        <v>839</v>
      </c>
      <c r="FU31" t="s">
        <v>839</v>
      </c>
      <c r="FV31" t="s">
        <v>842</v>
      </c>
      <c r="FW31" t="s">
        <v>842</v>
      </c>
      <c r="FY31" t="s">
        <v>842</v>
      </c>
      <c r="FZ31" t="s">
        <v>839</v>
      </c>
      <c r="GA31" t="s">
        <v>839</v>
      </c>
      <c r="GB31" t="s">
        <v>842</v>
      </c>
      <c r="GC31" t="s">
        <v>842</v>
      </c>
      <c r="GD31" t="s">
        <v>842</v>
      </c>
      <c r="GG31" t="s">
        <v>842</v>
      </c>
      <c r="GI31" t="s">
        <v>1076</v>
      </c>
      <c r="GJ31">
        <v>0</v>
      </c>
      <c r="GK31">
        <v>0</v>
      </c>
      <c r="GL31">
        <v>0</v>
      </c>
      <c r="GM31">
        <v>0</v>
      </c>
      <c r="GN31">
        <v>0</v>
      </c>
      <c r="GO31">
        <v>0</v>
      </c>
      <c r="GP31">
        <v>0</v>
      </c>
      <c r="GQ31">
        <v>0</v>
      </c>
      <c r="GR31">
        <v>0</v>
      </c>
      <c r="GS31">
        <v>0</v>
      </c>
      <c r="GT31">
        <v>0</v>
      </c>
      <c r="GU31">
        <v>0</v>
      </c>
      <c r="GV31">
        <v>0</v>
      </c>
      <c r="GW31">
        <v>0</v>
      </c>
      <c r="GX31">
        <v>0</v>
      </c>
      <c r="GY31">
        <v>0</v>
      </c>
      <c r="GZ31">
        <v>1</v>
      </c>
      <c r="HB31" t="s">
        <v>842</v>
      </c>
      <c r="HC31" s="155" t="s">
        <v>1077</v>
      </c>
    </row>
    <row r="32" spans="1:211" x14ac:dyDescent="0.35">
      <c r="A32" t="s">
        <v>1078</v>
      </c>
      <c r="B32" s="151">
        <v>44887.560856481483</v>
      </c>
      <c r="C32" t="s">
        <v>1079</v>
      </c>
      <c r="D32" t="s">
        <v>438</v>
      </c>
      <c r="E32" t="s">
        <v>835</v>
      </c>
      <c r="F32" t="s">
        <v>1080</v>
      </c>
      <c r="G32" t="s">
        <v>1080</v>
      </c>
      <c r="H32" t="s">
        <v>839</v>
      </c>
      <c r="I32" t="s">
        <v>896</v>
      </c>
      <c r="K32" t="s">
        <v>839</v>
      </c>
      <c r="L32" t="s">
        <v>897</v>
      </c>
      <c r="O32">
        <v>88</v>
      </c>
      <c r="P32">
        <v>78</v>
      </c>
      <c r="Q32">
        <v>167</v>
      </c>
      <c r="S32" t="s">
        <v>841</v>
      </c>
      <c r="T32" t="s">
        <v>841</v>
      </c>
      <c r="U32" t="s">
        <v>841</v>
      </c>
      <c r="V32" t="s">
        <v>841</v>
      </c>
      <c r="W32" t="s">
        <v>841</v>
      </c>
      <c r="X32" t="s">
        <v>841</v>
      </c>
      <c r="Y32" t="s">
        <v>841</v>
      </c>
      <c r="Z32" t="s">
        <v>841</v>
      </c>
      <c r="AB32" t="s">
        <v>841</v>
      </c>
      <c r="AH32">
        <v>1</v>
      </c>
      <c r="AI32">
        <v>1</v>
      </c>
      <c r="AJ32">
        <v>1</v>
      </c>
      <c r="AK32">
        <v>1</v>
      </c>
      <c r="AL32">
        <v>1</v>
      </c>
      <c r="AM32">
        <v>1</v>
      </c>
      <c r="AN32">
        <v>1</v>
      </c>
      <c r="AO32">
        <v>1</v>
      </c>
      <c r="AP32">
        <v>0</v>
      </c>
      <c r="AQ32">
        <v>1</v>
      </c>
      <c r="AR32">
        <v>0</v>
      </c>
      <c r="AS32">
        <v>0</v>
      </c>
      <c r="AT32">
        <v>0</v>
      </c>
      <c r="AU32">
        <v>0</v>
      </c>
      <c r="AZ32" t="s">
        <v>841</v>
      </c>
      <c r="BM32" t="s">
        <v>841</v>
      </c>
      <c r="BS32" t="s">
        <v>841</v>
      </c>
      <c r="BV32" t="s">
        <v>839</v>
      </c>
      <c r="BW32" t="s">
        <v>758</v>
      </c>
      <c r="BX32" t="s">
        <v>839</v>
      </c>
      <c r="BY32" t="s">
        <v>759</v>
      </c>
      <c r="BZ32" t="s">
        <v>839</v>
      </c>
      <c r="CA32" t="s">
        <v>839</v>
      </c>
      <c r="CC32" t="s">
        <v>839</v>
      </c>
      <c r="CD32" t="s">
        <v>855</v>
      </c>
      <c r="CG32">
        <v>3</v>
      </c>
      <c r="CH32">
        <v>1</v>
      </c>
      <c r="CI32">
        <v>1</v>
      </c>
      <c r="CJ32">
        <v>1</v>
      </c>
      <c r="CK32" t="s">
        <v>877</v>
      </c>
      <c r="CM32" t="s">
        <v>844</v>
      </c>
      <c r="CN32">
        <v>1</v>
      </c>
      <c r="CO32">
        <v>0</v>
      </c>
      <c r="CP32">
        <v>0</v>
      </c>
      <c r="CQ32">
        <v>0</v>
      </c>
      <c r="CR32">
        <v>0</v>
      </c>
      <c r="CS32">
        <v>0</v>
      </c>
      <c r="CU32" t="s">
        <v>1081</v>
      </c>
      <c r="CV32">
        <v>1</v>
      </c>
      <c r="CW32">
        <v>1</v>
      </c>
      <c r="CX32">
        <v>1</v>
      </c>
      <c r="CY32">
        <v>1</v>
      </c>
      <c r="CZ32">
        <v>0</v>
      </c>
      <c r="DA32">
        <v>0</v>
      </c>
      <c r="DB32">
        <v>0</v>
      </c>
      <c r="DC32">
        <v>1</v>
      </c>
      <c r="DD32">
        <v>1</v>
      </c>
      <c r="DE32">
        <v>1</v>
      </c>
      <c r="DF32">
        <v>0</v>
      </c>
      <c r="DJ32">
        <v>6</v>
      </c>
      <c r="DK32">
        <v>9</v>
      </c>
      <c r="DL32">
        <v>15</v>
      </c>
      <c r="DN32">
        <v>400</v>
      </c>
      <c r="DP32">
        <v>950</v>
      </c>
      <c r="DQ32" t="s">
        <v>1082</v>
      </c>
      <c r="DR32">
        <v>0</v>
      </c>
      <c r="DS32">
        <v>1</v>
      </c>
      <c r="DT32">
        <v>1</v>
      </c>
      <c r="DU32">
        <v>0</v>
      </c>
      <c r="DV32">
        <v>0</v>
      </c>
      <c r="DW32">
        <v>0</v>
      </c>
      <c r="DX32">
        <v>0</v>
      </c>
      <c r="DY32">
        <v>0</v>
      </c>
      <c r="DZ32">
        <v>0</v>
      </c>
      <c r="EB32" t="s">
        <v>839</v>
      </c>
      <c r="EC32" t="s">
        <v>957</v>
      </c>
      <c r="ED32" t="s">
        <v>848</v>
      </c>
      <c r="EI32">
        <v>1755</v>
      </c>
      <c r="EM32" t="s">
        <v>841</v>
      </c>
      <c r="EO32">
        <v>1825</v>
      </c>
      <c r="ES32" t="s">
        <v>841</v>
      </c>
      <c r="EU32">
        <v>1825</v>
      </c>
      <c r="EY32" t="s">
        <v>841</v>
      </c>
      <c r="FA32">
        <v>11</v>
      </c>
      <c r="FB32" t="s">
        <v>841</v>
      </c>
      <c r="FL32" t="s">
        <v>841</v>
      </c>
      <c r="FM32">
        <v>1630</v>
      </c>
      <c r="FO32">
        <v>2</v>
      </c>
      <c r="FP32">
        <v>1</v>
      </c>
      <c r="FQ32">
        <v>3</v>
      </c>
      <c r="FS32" t="s">
        <v>839</v>
      </c>
      <c r="FT32" t="s">
        <v>839</v>
      </c>
      <c r="FU32" t="s">
        <v>842</v>
      </c>
      <c r="FV32" t="s">
        <v>839</v>
      </c>
      <c r="FW32" t="s">
        <v>839</v>
      </c>
      <c r="FX32" t="s">
        <v>890</v>
      </c>
      <c r="FY32" t="s">
        <v>839</v>
      </c>
      <c r="FZ32" t="s">
        <v>839</v>
      </c>
      <c r="GA32" t="s">
        <v>839</v>
      </c>
      <c r="GB32" t="s">
        <v>839</v>
      </c>
      <c r="GC32" t="s">
        <v>839</v>
      </c>
      <c r="GD32" t="s">
        <v>839</v>
      </c>
      <c r="GE32" t="s">
        <v>929</v>
      </c>
      <c r="GG32" t="s">
        <v>839</v>
      </c>
      <c r="GI32" t="s">
        <v>1083</v>
      </c>
      <c r="GJ32">
        <v>1</v>
      </c>
      <c r="GK32">
        <v>1</v>
      </c>
      <c r="GL32">
        <v>1</v>
      </c>
      <c r="GM32">
        <v>0</v>
      </c>
      <c r="GN32">
        <v>0</v>
      </c>
      <c r="GO32">
        <v>0</v>
      </c>
      <c r="GP32">
        <v>1</v>
      </c>
      <c r="GQ32">
        <v>0</v>
      </c>
      <c r="GR32">
        <v>0</v>
      </c>
      <c r="GS32">
        <v>0</v>
      </c>
      <c r="GT32">
        <v>0</v>
      </c>
      <c r="GU32">
        <v>0</v>
      </c>
      <c r="GV32">
        <v>0</v>
      </c>
      <c r="GW32">
        <v>0</v>
      </c>
      <c r="GX32">
        <v>0</v>
      </c>
      <c r="GY32">
        <v>0</v>
      </c>
      <c r="GZ32">
        <v>0</v>
      </c>
      <c r="HB32" t="s">
        <v>839</v>
      </c>
    </row>
    <row r="33" spans="1:211" x14ac:dyDescent="0.35">
      <c r="A33" t="s">
        <v>1084</v>
      </c>
      <c r="B33" s="151">
        <v>45051.461608796293</v>
      </c>
      <c r="C33" t="s">
        <v>1085</v>
      </c>
      <c r="D33" t="s">
        <v>1086</v>
      </c>
      <c r="E33" t="s">
        <v>875</v>
      </c>
      <c r="F33" t="s">
        <v>1087</v>
      </c>
      <c r="G33" t="s">
        <v>1087</v>
      </c>
      <c r="H33" t="s">
        <v>839</v>
      </c>
      <c r="I33" t="s">
        <v>838</v>
      </c>
      <c r="K33" t="s">
        <v>839</v>
      </c>
      <c r="L33" t="s">
        <v>887</v>
      </c>
      <c r="O33">
        <v>166</v>
      </c>
      <c r="P33">
        <v>157</v>
      </c>
      <c r="Q33">
        <v>323</v>
      </c>
      <c r="S33" t="s">
        <v>841</v>
      </c>
      <c r="T33" t="s">
        <v>841</v>
      </c>
      <c r="U33" t="s">
        <v>841</v>
      </c>
      <c r="V33" t="s">
        <v>841</v>
      </c>
      <c r="W33" t="s">
        <v>841</v>
      </c>
      <c r="X33" t="s">
        <v>841</v>
      </c>
      <c r="Y33" t="s">
        <v>841</v>
      </c>
      <c r="Z33" t="s">
        <v>841</v>
      </c>
      <c r="AA33" t="s">
        <v>841</v>
      </c>
      <c r="AB33" t="s">
        <v>841</v>
      </c>
      <c r="AC33" t="s">
        <v>841</v>
      </c>
      <c r="AD33" t="s">
        <v>841</v>
      </c>
      <c r="AE33" t="s">
        <v>841</v>
      </c>
      <c r="AF33" t="s">
        <v>841</v>
      </c>
      <c r="AH33">
        <v>1</v>
      </c>
      <c r="AI33">
        <v>1</v>
      </c>
      <c r="AJ33">
        <v>1</v>
      </c>
      <c r="AK33">
        <v>1</v>
      </c>
      <c r="AL33">
        <v>1</v>
      </c>
      <c r="AM33">
        <v>1</v>
      </c>
      <c r="AN33">
        <v>1</v>
      </c>
      <c r="AO33">
        <v>1</v>
      </c>
      <c r="AP33">
        <v>1</v>
      </c>
      <c r="AQ33">
        <v>1</v>
      </c>
      <c r="AR33">
        <v>1</v>
      </c>
      <c r="AS33">
        <v>1</v>
      </c>
      <c r="AT33">
        <v>1</v>
      </c>
      <c r="AU33">
        <v>1</v>
      </c>
      <c r="AW33">
        <v>8</v>
      </c>
      <c r="AX33">
        <v>6</v>
      </c>
      <c r="AY33">
        <v>14</v>
      </c>
      <c r="BB33">
        <v>1</v>
      </c>
      <c r="BC33">
        <v>1</v>
      </c>
      <c r="BD33">
        <v>2</v>
      </c>
      <c r="BF33">
        <v>7</v>
      </c>
      <c r="BG33">
        <v>5</v>
      </c>
      <c r="BH33">
        <v>12</v>
      </c>
      <c r="BJ33">
        <v>6</v>
      </c>
      <c r="BK33">
        <v>11</v>
      </c>
      <c r="BL33">
        <v>17</v>
      </c>
      <c r="BP33">
        <v>8</v>
      </c>
      <c r="BQ33">
        <v>6</v>
      </c>
      <c r="BR33">
        <v>14</v>
      </c>
      <c r="BV33" t="s">
        <v>839</v>
      </c>
      <c r="BW33" t="s">
        <v>759</v>
      </c>
      <c r="BX33" t="s">
        <v>839</v>
      </c>
      <c r="BY33" t="s">
        <v>950</v>
      </c>
      <c r="BZ33" t="s">
        <v>839</v>
      </c>
      <c r="CA33" t="s">
        <v>839</v>
      </c>
      <c r="CC33" t="s">
        <v>839</v>
      </c>
      <c r="CD33" t="s">
        <v>855</v>
      </c>
      <c r="CG33">
        <v>2</v>
      </c>
      <c r="CH33">
        <v>1</v>
      </c>
      <c r="CI33">
        <v>1</v>
      </c>
      <c r="CJ33">
        <v>0</v>
      </c>
      <c r="CK33" t="s">
        <v>993</v>
      </c>
      <c r="CM33" t="s">
        <v>867</v>
      </c>
      <c r="CN33">
        <v>0</v>
      </c>
      <c r="CO33">
        <v>1</v>
      </c>
      <c r="CP33">
        <v>0</v>
      </c>
      <c r="CQ33">
        <v>0</v>
      </c>
      <c r="CR33">
        <v>0</v>
      </c>
      <c r="CS33">
        <v>0</v>
      </c>
      <c r="CU33" t="s">
        <v>1088</v>
      </c>
      <c r="CV33">
        <v>1</v>
      </c>
      <c r="CW33">
        <v>0</v>
      </c>
      <c r="CX33">
        <v>0</v>
      </c>
      <c r="CY33">
        <v>0</v>
      </c>
      <c r="CZ33">
        <v>0</v>
      </c>
      <c r="DA33">
        <v>0</v>
      </c>
      <c r="DB33">
        <v>1</v>
      </c>
      <c r="DC33">
        <v>0</v>
      </c>
      <c r="DD33">
        <v>1</v>
      </c>
      <c r="DE33">
        <v>0</v>
      </c>
      <c r="DF33">
        <v>0</v>
      </c>
      <c r="DJ33">
        <v>8</v>
      </c>
      <c r="DK33">
        <v>15</v>
      </c>
      <c r="DL33">
        <v>23</v>
      </c>
      <c r="DN33">
        <v>400</v>
      </c>
      <c r="DP33">
        <v>600</v>
      </c>
      <c r="DQ33" t="s">
        <v>1040</v>
      </c>
      <c r="DR33">
        <v>0</v>
      </c>
      <c r="DS33">
        <v>0</v>
      </c>
      <c r="DT33">
        <v>1</v>
      </c>
      <c r="DU33">
        <v>0</v>
      </c>
      <c r="DV33">
        <v>0</v>
      </c>
      <c r="DW33">
        <v>0</v>
      </c>
      <c r="DX33">
        <v>0</v>
      </c>
      <c r="DY33">
        <v>0</v>
      </c>
      <c r="DZ33">
        <v>0</v>
      </c>
      <c r="EB33" t="s">
        <v>839</v>
      </c>
      <c r="EC33" t="s">
        <v>847</v>
      </c>
      <c r="ED33" t="s">
        <v>848</v>
      </c>
      <c r="EI33">
        <v>100</v>
      </c>
      <c r="EK33" t="s">
        <v>841</v>
      </c>
      <c r="EO33">
        <v>120</v>
      </c>
      <c r="EQ33" t="s">
        <v>841</v>
      </c>
      <c r="EZ33" t="s">
        <v>841</v>
      </c>
      <c r="FA33">
        <v>3</v>
      </c>
      <c r="FB33" t="s">
        <v>841</v>
      </c>
      <c r="FG33">
        <v>3</v>
      </c>
      <c r="FH33" t="s">
        <v>841</v>
      </c>
      <c r="FM33">
        <v>480</v>
      </c>
      <c r="FO33">
        <v>9</v>
      </c>
      <c r="FP33">
        <v>12</v>
      </c>
      <c r="FQ33">
        <v>21</v>
      </c>
      <c r="FS33" t="s">
        <v>839</v>
      </c>
      <c r="FT33" t="s">
        <v>839</v>
      </c>
      <c r="FU33" t="s">
        <v>839</v>
      </c>
      <c r="FV33" t="s">
        <v>839</v>
      </c>
      <c r="FW33" t="s">
        <v>839</v>
      </c>
      <c r="FX33" t="s">
        <v>965</v>
      </c>
      <c r="FY33" t="s">
        <v>839</v>
      </c>
      <c r="FZ33" t="s">
        <v>839</v>
      </c>
      <c r="GA33" t="s">
        <v>839</v>
      </c>
      <c r="GB33" t="s">
        <v>842</v>
      </c>
      <c r="GC33" t="s">
        <v>842</v>
      </c>
      <c r="GD33" t="s">
        <v>842</v>
      </c>
      <c r="GG33" t="s">
        <v>839</v>
      </c>
      <c r="GI33" t="s">
        <v>1089</v>
      </c>
      <c r="GJ33">
        <v>1</v>
      </c>
      <c r="GK33">
        <v>0</v>
      </c>
      <c r="GL33">
        <v>0</v>
      </c>
      <c r="GM33">
        <v>0</v>
      </c>
      <c r="GN33">
        <v>0</v>
      </c>
      <c r="GO33">
        <v>1</v>
      </c>
      <c r="GP33">
        <v>0</v>
      </c>
      <c r="GQ33">
        <v>0</v>
      </c>
      <c r="GR33">
        <v>1</v>
      </c>
      <c r="GS33">
        <v>0</v>
      </c>
      <c r="GT33">
        <v>0</v>
      </c>
      <c r="GU33">
        <v>1</v>
      </c>
      <c r="GV33">
        <v>1</v>
      </c>
      <c r="GW33">
        <v>1</v>
      </c>
      <c r="GX33">
        <v>1</v>
      </c>
      <c r="GY33">
        <v>0</v>
      </c>
      <c r="GZ33">
        <v>0</v>
      </c>
      <c r="HB33" t="s">
        <v>839</v>
      </c>
    </row>
    <row r="34" spans="1:211" x14ac:dyDescent="0.35">
      <c r="A34" t="s">
        <v>1090</v>
      </c>
      <c r="B34" s="151">
        <v>45051.517418981479</v>
      </c>
      <c r="C34" t="s">
        <v>1091</v>
      </c>
      <c r="D34" t="s">
        <v>1092</v>
      </c>
      <c r="E34" t="s">
        <v>875</v>
      </c>
      <c r="F34" t="s">
        <v>1093</v>
      </c>
      <c r="G34" t="s">
        <v>1094</v>
      </c>
      <c r="H34" t="s">
        <v>837</v>
      </c>
      <c r="I34" t="s">
        <v>1046</v>
      </c>
      <c r="K34" t="s">
        <v>839</v>
      </c>
      <c r="L34" t="s">
        <v>887</v>
      </c>
      <c r="O34">
        <v>110</v>
      </c>
      <c r="P34">
        <v>108</v>
      </c>
      <c r="Q34">
        <v>218</v>
      </c>
      <c r="S34" t="s">
        <v>841</v>
      </c>
      <c r="T34" t="s">
        <v>841</v>
      </c>
      <c r="U34" t="s">
        <v>841</v>
      </c>
      <c r="V34" t="s">
        <v>841</v>
      </c>
      <c r="W34" t="s">
        <v>841</v>
      </c>
      <c r="X34" t="s">
        <v>841</v>
      </c>
      <c r="Y34" t="s">
        <v>841</v>
      </c>
      <c r="Z34" t="s">
        <v>841</v>
      </c>
      <c r="AA34" t="s">
        <v>841</v>
      </c>
      <c r="AB34" t="s">
        <v>841</v>
      </c>
      <c r="AC34" t="s">
        <v>841</v>
      </c>
      <c r="AD34" t="s">
        <v>841</v>
      </c>
      <c r="AE34" t="s">
        <v>841</v>
      </c>
      <c r="AF34" t="s">
        <v>841</v>
      </c>
      <c r="AH34">
        <v>1</v>
      </c>
      <c r="AI34">
        <v>1</v>
      </c>
      <c r="AJ34">
        <v>1</v>
      </c>
      <c r="AK34">
        <v>1</v>
      </c>
      <c r="AL34">
        <v>1</v>
      </c>
      <c r="AM34">
        <v>1</v>
      </c>
      <c r="AN34">
        <v>1</v>
      </c>
      <c r="AO34">
        <v>1</v>
      </c>
      <c r="AP34">
        <v>1</v>
      </c>
      <c r="AQ34">
        <v>1</v>
      </c>
      <c r="AR34">
        <v>1</v>
      </c>
      <c r="AS34">
        <v>1</v>
      </c>
      <c r="AT34">
        <v>1</v>
      </c>
      <c r="AU34">
        <v>1</v>
      </c>
      <c r="AW34">
        <v>7</v>
      </c>
      <c r="AX34">
        <v>10</v>
      </c>
      <c r="AY34">
        <v>17</v>
      </c>
      <c r="BF34">
        <v>2</v>
      </c>
      <c r="BG34">
        <v>2</v>
      </c>
      <c r="BH34">
        <v>4</v>
      </c>
      <c r="BJ34">
        <v>12</v>
      </c>
      <c r="BK34">
        <v>7</v>
      </c>
      <c r="BL34">
        <v>19</v>
      </c>
      <c r="BP34">
        <v>7</v>
      </c>
      <c r="BQ34">
        <v>10</v>
      </c>
      <c r="BR34">
        <v>17</v>
      </c>
      <c r="BV34" t="s">
        <v>842</v>
      </c>
      <c r="BX34" t="s">
        <v>839</v>
      </c>
      <c r="BY34" t="s">
        <v>759</v>
      </c>
      <c r="BZ34" t="s">
        <v>839</v>
      </c>
      <c r="CA34" t="s">
        <v>839</v>
      </c>
      <c r="CC34" t="s">
        <v>842</v>
      </c>
      <c r="CD34" t="s">
        <v>855</v>
      </c>
      <c r="CG34">
        <v>2</v>
      </c>
      <c r="CH34">
        <v>1</v>
      </c>
      <c r="CI34">
        <v>1</v>
      </c>
      <c r="CJ34">
        <v>0</v>
      </c>
      <c r="CK34" t="s">
        <v>626</v>
      </c>
      <c r="CL34" t="s">
        <v>1095</v>
      </c>
      <c r="CM34" t="s">
        <v>867</v>
      </c>
      <c r="CN34">
        <v>0</v>
      </c>
      <c r="CO34">
        <v>1</v>
      </c>
      <c r="CP34">
        <v>0</v>
      </c>
      <c r="CQ34">
        <v>0</v>
      </c>
      <c r="CR34">
        <v>0</v>
      </c>
      <c r="CS34">
        <v>0</v>
      </c>
      <c r="CU34" t="s">
        <v>987</v>
      </c>
      <c r="CV34">
        <v>1</v>
      </c>
      <c r="CW34">
        <v>0</v>
      </c>
      <c r="CX34">
        <v>1</v>
      </c>
      <c r="CY34">
        <v>0</v>
      </c>
      <c r="CZ34">
        <v>0</v>
      </c>
      <c r="DA34">
        <v>0</v>
      </c>
      <c r="DB34">
        <v>0</v>
      </c>
      <c r="DC34">
        <v>0</v>
      </c>
      <c r="DD34">
        <v>0</v>
      </c>
      <c r="DE34">
        <v>0</v>
      </c>
      <c r="DF34">
        <v>0</v>
      </c>
      <c r="DJ34">
        <v>10</v>
      </c>
      <c r="DK34">
        <v>9</v>
      </c>
      <c r="DL34">
        <v>19</v>
      </c>
      <c r="DN34">
        <v>250</v>
      </c>
      <c r="DP34">
        <v>600</v>
      </c>
      <c r="DQ34" t="s">
        <v>1096</v>
      </c>
      <c r="DR34">
        <v>0</v>
      </c>
      <c r="DS34">
        <v>0</v>
      </c>
      <c r="DT34">
        <v>0</v>
      </c>
      <c r="DU34">
        <v>0</v>
      </c>
      <c r="DV34">
        <v>0</v>
      </c>
      <c r="DW34">
        <v>0</v>
      </c>
      <c r="DX34">
        <v>1</v>
      </c>
      <c r="DY34">
        <v>0</v>
      </c>
      <c r="DZ34">
        <v>0</v>
      </c>
      <c r="EB34" t="s">
        <v>839</v>
      </c>
      <c r="EC34" t="s">
        <v>869</v>
      </c>
      <c r="ED34" t="s">
        <v>848</v>
      </c>
      <c r="EI34">
        <v>2</v>
      </c>
      <c r="EJ34" t="s">
        <v>841</v>
      </c>
      <c r="EO34">
        <v>2</v>
      </c>
      <c r="EP34" t="s">
        <v>841</v>
      </c>
      <c r="EU34">
        <v>100</v>
      </c>
      <c r="EY34" t="s">
        <v>841</v>
      </c>
      <c r="FA34">
        <v>3</v>
      </c>
      <c r="FB34" t="s">
        <v>841</v>
      </c>
      <c r="FG34">
        <v>4</v>
      </c>
      <c r="FH34" t="s">
        <v>841</v>
      </c>
      <c r="FM34">
        <v>0</v>
      </c>
      <c r="FO34">
        <v>10</v>
      </c>
      <c r="FP34">
        <v>10</v>
      </c>
      <c r="FQ34">
        <v>20</v>
      </c>
      <c r="FS34" t="s">
        <v>842</v>
      </c>
      <c r="FT34" t="s">
        <v>842</v>
      </c>
      <c r="FU34" t="s">
        <v>839</v>
      </c>
      <c r="FV34" t="s">
        <v>839</v>
      </c>
      <c r="FW34" t="s">
        <v>682</v>
      </c>
      <c r="FY34" t="s">
        <v>842</v>
      </c>
      <c r="FZ34" t="s">
        <v>842</v>
      </c>
      <c r="GA34" t="s">
        <v>839</v>
      </c>
      <c r="GB34" t="s">
        <v>842</v>
      </c>
      <c r="GC34" t="s">
        <v>839</v>
      </c>
      <c r="GD34" t="s">
        <v>839</v>
      </c>
      <c r="GE34" t="s">
        <v>881</v>
      </c>
      <c r="GG34" t="s">
        <v>842</v>
      </c>
      <c r="GI34" t="s">
        <v>849</v>
      </c>
      <c r="GJ34">
        <v>1</v>
      </c>
      <c r="GK34">
        <v>0</v>
      </c>
      <c r="GL34">
        <v>0</v>
      </c>
      <c r="GM34">
        <v>0</v>
      </c>
      <c r="GN34">
        <v>0</v>
      </c>
      <c r="GO34">
        <v>0</v>
      </c>
      <c r="GP34">
        <v>0</v>
      </c>
      <c r="GQ34">
        <v>0</v>
      </c>
      <c r="GR34">
        <v>0</v>
      </c>
      <c r="GS34">
        <v>0</v>
      </c>
      <c r="GT34">
        <v>0</v>
      </c>
      <c r="GU34">
        <v>0</v>
      </c>
      <c r="GV34">
        <v>0</v>
      </c>
      <c r="GW34">
        <v>0</v>
      </c>
      <c r="GX34">
        <v>0</v>
      </c>
      <c r="GY34">
        <v>0</v>
      </c>
      <c r="GZ34">
        <v>0</v>
      </c>
      <c r="HB34" t="s">
        <v>839</v>
      </c>
    </row>
    <row r="35" spans="1:211" x14ac:dyDescent="0.35">
      <c r="A35" t="s">
        <v>1097</v>
      </c>
      <c r="B35" s="151">
        <v>45052.490682870368</v>
      </c>
      <c r="C35" t="s">
        <v>1098</v>
      </c>
      <c r="D35" t="s">
        <v>479</v>
      </c>
      <c r="E35" t="s">
        <v>875</v>
      </c>
      <c r="F35" t="s">
        <v>1099</v>
      </c>
      <c r="G35" t="s">
        <v>839</v>
      </c>
      <c r="H35" t="s">
        <v>839</v>
      </c>
      <c r="I35" t="s">
        <v>838</v>
      </c>
      <c r="K35" t="s">
        <v>839</v>
      </c>
      <c r="L35" t="s">
        <v>887</v>
      </c>
      <c r="O35">
        <v>32</v>
      </c>
      <c r="P35">
        <v>33</v>
      </c>
      <c r="Q35">
        <v>65</v>
      </c>
      <c r="AA35" t="s">
        <v>841</v>
      </c>
      <c r="AH35">
        <v>1</v>
      </c>
      <c r="AI35">
        <v>1</v>
      </c>
      <c r="AJ35">
        <v>1</v>
      </c>
      <c r="AK35">
        <v>1</v>
      </c>
      <c r="AL35">
        <v>1</v>
      </c>
      <c r="AM35">
        <v>1</v>
      </c>
      <c r="AN35">
        <v>1</v>
      </c>
      <c r="AO35">
        <v>1</v>
      </c>
      <c r="AP35">
        <v>1</v>
      </c>
      <c r="AQ35">
        <v>0</v>
      </c>
      <c r="AR35">
        <v>0</v>
      </c>
      <c r="AS35">
        <v>0</v>
      </c>
      <c r="AT35">
        <v>0</v>
      </c>
      <c r="AU35">
        <v>0</v>
      </c>
      <c r="AZ35" t="s">
        <v>841</v>
      </c>
      <c r="BJ35">
        <v>0</v>
      </c>
      <c r="BK35">
        <v>0</v>
      </c>
      <c r="BL35">
        <v>0</v>
      </c>
      <c r="BM35" t="s">
        <v>841</v>
      </c>
      <c r="BP35">
        <v>0</v>
      </c>
      <c r="BQ35">
        <v>0</v>
      </c>
      <c r="BR35">
        <v>0</v>
      </c>
      <c r="BS35" t="s">
        <v>841</v>
      </c>
      <c r="BV35" t="s">
        <v>842</v>
      </c>
      <c r="BX35" t="s">
        <v>839</v>
      </c>
      <c r="BY35" t="s">
        <v>950</v>
      </c>
      <c r="BZ35" t="s">
        <v>839</v>
      </c>
      <c r="CA35" t="s">
        <v>839</v>
      </c>
      <c r="CC35" t="s">
        <v>839</v>
      </c>
      <c r="CD35" t="s">
        <v>855</v>
      </c>
      <c r="CG35">
        <v>1</v>
      </c>
      <c r="CH35">
        <v>0</v>
      </c>
      <c r="CI35">
        <v>0</v>
      </c>
      <c r="CJ35">
        <v>1</v>
      </c>
      <c r="CK35" t="s">
        <v>681</v>
      </c>
      <c r="CM35" t="s">
        <v>844</v>
      </c>
      <c r="CN35">
        <v>1</v>
      </c>
      <c r="CO35">
        <v>0</v>
      </c>
      <c r="CP35">
        <v>0</v>
      </c>
      <c r="CQ35">
        <v>0</v>
      </c>
      <c r="CR35">
        <v>0</v>
      </c>
      <c r="CS35">
        <v>0</v>
      </c>
      <c r="CU35" t="s">
        <v>907</v>
      </c>
      <c r="CV35">
        <v>1</v>
      </c>
      <c r="CW35">
        <v>0</v>
      </c>
      <c r="CX35">
        <v>1</v>
      </c>
      <c r="CY35">
        <v>0</v>
      </c>
      <c r="CZ35">
        <v>0</v>
      </c>
      <c r="DA35">
        <v>0</v>
      </c>
      <c r="DB35">
        <v>0</v>
      </c>
      <c r="DC35">
        <v>0</v>
      </c>
      <c r="DD35">
        <v>1</v>
      </c>
      <c r="DE35">
        <v>0</v>
      </c>
      <c r="DF35">
        <v>0</v>
      </c>
      <c r="DJ35">
        <v>2</v>
      </c>
      <c r="DK35">
        <v>4</v>
      </c>
      <c r="DL35">
        <v>6</v>
      </c>
      <c r="DN35">
        <v>560</v>
      </c>
      <c r="DP35">
        <v>770</v>
      </c>
      <c r="DQ35" t="s">
        <v>858</v>
      </c>
      <c r="DR35">
        <v>0</v>
      </c>
      <c r="DS35">
        <v>0</v>
      </c>
      <c r="DT35">
        <v>1</v>
      </c>
      <c r="DU35">
        <v>0</v>
      </c>
      <c r="DV35">
        <v>1</v>
      </c>
      <c r="DW35">
        <v>0</v>
      </c>
      <c r="DX35">
        <v>0</v>
      </c>
      <c r="DY35">
        <v>0</v>
      </c>
      <c r="DZ35">
        <v>0</v>
      </c>
      <c r="EB35" t="s">
        <v>842</v>
      </c>
      <c r="EC35" t="s">
        <v>869</v>
      </c>
      <c r="ED35" t="s">
        <v>900</v>
      </c>
      <c r="EI35">
        <v>150</v>
      </c>
      <c r="EM35" t="s">
        <v>841</v>
      </c>
      <c r="EO35">
        <v>200</v>
      </c>
      <c r="ES35" t="s">
        <v>841</v>
      </c>
      <c r="EU35">
        <v>230</v>
      </c>
      <c r="EY35" t="s">
        <v>841</v>
      </c>
      <c r="FA35">
        <v>4</v>
      </c>
      <c r="FB35" t="s">
        <v>841</v>
      </c>
      <c r="FG35">
        <v>6</v>
      </c>
      <c r="FH35" t="s">
        <v>841</v>
      </c>
      <c r="FM35">
        <v>600</v>
      </c>
      <c r="FO35">
        <v>2</v>
      </c>
      <c r="FP35">
        <v>2</v>
      </c>
      <c r="FQ35">
        <v>4</v>
      </c>
      <c r="FS35" t="s">
        <v>839</v>
      </c>
      <c r="FT35" t="s">
        <v>839</v>
      </c>
      <c r="FU35" t="s">
        <v>842</v>
      </c>
      <c r="FV35" t="s">
        <v>839</v>
      </c>
      <c r="FW35" t="s">
        <v>842</v>
      </c>
      <c r="FY35" t="s">
        <v>839</v>
      </c>
      <c r="FZ35" t="s">
        <v>839</v>
      </c>
      <c r="GA35" t="s">
        <v>839</v>
      </c>
      <c r="GB35" t="s">
        <v>842</v>
      </c>
      <c r="GC35" t="s">
        <v>842</v>
      </c>
      <c r="GD35" t="s">
        <v>839</v>
      </c>
      <c r="GE35" t="s">
        <v>881</v>
      </c>
      <c r="GG35" t="s">
        <v>842</v>
      </c>
      <c r="GI35" t="s">
        <v>1100</v>
      </c>
      <c r="GJ35">
        <v>1</v>
      </c>
      <c r="GK35">
        <v>0</v>
      </c>
      <c r="GL35">
        <v>0</v>
      </c>
      <c r="GM35">
        <v>0</v>
      </c>
      <c r="GN35">
        <v>0</v>
      </c>
      <c r="GO35">
        <v>0</v>
      </c>
      <c r="GP35">
        <v>0</v>
      </c>
      <c r="GQ35">
        <v>0</v>
      </c>
      <c r="GR35">
        <v>0</v>
      </c>
      <c r="GS35">
        <v>0</v>
      </c>
      <c r="GT35">
        <v>0</v>
      </c>
      <c r="GU35">
        <v>1</v>
      </c>
      <c r="GV35">
        <v>1</v>
      </c>
      <c r="GW35">
        <v>0</v>
      </c>
      <c r="GX35">
        <v>0</v>
      </c>
      <c r="GY35">
        <v>0</v>
      </c>
      <c r="GZ35">
        <v>0</v>
      </c>
      <c r="HB35" t="s">
        <v>839</v>
      </c>
    </row>
    <row r="36" spans="1:211" x14ac:dyDescent="0.35">
      <c r="A36" t="s">
        <v>1101</v>
      </c>
      <c r="B36" s="151">
        <v>45053.898159722223</v>
      </c>
      <c r="C36" t="s">
        <v>1102</v>
      </c>
      <c r="D36" t="s">
        <v>1103</v>
      </c>
      <c r="E36" t="s">
        <v>875</v>
      </c>
      <c r="F36" t="s">
        <v>1104</v>
      </c>
      <c r="G36" t="s">
        <v>1104</v>
      </c>
      <c r="H36" t="s">
        <v>839</v>
      </c>
      <c r="I36" t="s">
        <v>896</v>
      </c>
      <c r="K36" t="s">
        <v>839</v>
      </c>
      <c r="L36" t="s">
        <v>887</v>
      </c>
      <c r="O36">
        <v>73</v>
      </c>
      <c r="P36">
        <v>65</v>
      </c>
      <c r="Q36">
        <v>138</v>
      </c>
      <c r="S36" t="s">
        <v>841</v>
      </c>
      <c r="T36" t="s">
        <v>841</v>
      </c>
      <c r="U36" t="s">
        <v>841</v>
      </c>
      <c r="V36" t="s">
        <v>841</v>
      </c>
      <c r="W36" t="s">
        <v>841</v>
      </c>
      <c r="X36" t="s">
        <v>841</v>
      </c>
      <c r="Y36" t="s">
        <v>841</v>
      </c>
      <c r="Z36" t="s">
        <v>841</v>
      </c>
      <c r="AA36" t="s">
        <v>841</v>
      </c>
      <c r="AB36" t="s">
        <v>841</v>
      </c>
      <c r="AC36" t="s">
        <v>841</v>
      </c>
      <c r="AH36">
        <v>1</v>
      </c>
      <c r="AI36">
        <v>1</v>
      </c>
      <c r="AJ36">
        <v>1</v>
      </c>
      <c r="AK36">
        <v>1</v>
      </c>
      <c r="AL36">
        <v>1</v>
      </c>
      <c r="AM36">
        <v>1</v>
      </c>
      <c r="AN36">
        <v>1</v>
      </c>
      <c r="AO36">
        <v>1</v>
      </c>
      <c r="AP36">
        <v>1</v>
      </c>
      <c r="AQ36">
        <v>1</v>
      </c>
      <c r="AR36">
        <v>1</v>
      </c>
      <c r="AS36">
        <v>0</v>
      </c>
      <c r="AT36">
        <v>0</v>
      </c>
      <c r="AU36">
        <v>0</v>
      </c>
      <c r="AZ36" t="s">
        <v>841</v>
      </c>
      <c r="BJ36">
        <v>0</v>
      </c>
      <c r="BK36">
        <v>0</v>
      </c>
      <c r="BL36">
        <v>0</v>
      </c>
      <c r="BM36" t="s">
        <v>841</v>
      </c>
      <c r="BP36">
        <v>0</v>
      </c>
      <c r="BQ36">
        <v>0</v>
      </c>
      <c r="BR36">
        <v>0</v>
      </c>
      <c r="BS36" t="s">
        <v>841</v>
      </c>
      <c r="BV36" t="s">
        <v>842</v>
      </c>
      <c r="BX36" t="s">
        <v>839</v>
      </c>
      <c r="BY36" t="s">
        <v>759</v>
      </c>
      <c r="BZ36" t="s">
        <v>839</v>
      </c>
      <c r="CA36" t="s">
        <v>839</v>
      </c>
      <c r="CC36" t="s">
        <v>839</v>
      </c>
      <c r="CD36" t="s">
        <v>855</v>
      </c>
      <c r="CG36">
        <v>5</v>
      </c>
      <c r="CH36">
        <v>1</v>
      </c>
      <c r="CI36">
        <v>1</v>
      </c>
      <c r="CJ36">
        <v>3</v>
      </c>
      <c r="CK36" t="s">
        <v>877</v>
      </c>
      <c r="CM36" t="s">
        <v>867</v>
      </c>
      <c r="CN36">
        <v>0</v>
      </c>
      <c r="CO36">
        <v>1</v>
      </c>
      <c r="CP36">
        <v>0</v>
      </c>
      <c r="CQ36">
        <v>0</v>
      </c>
      <c r="CR36">
        <v>0</v>
      </c>
      <c r="CS36">
        <v>0</v>
      </c>
      <c r="CU36" t="s">
        <v>868</v>
      </c>
      <c r="CV36">
        <v>1</v>
      </c>
      <c r="CW36">
        <v>0</v>
      </c>
      <c r="CX36">
        <v>1</v>
      </c>
      <c r="CY36">
        <v>0</v>
      </c>
      <c r="CZ36">
        <v>0</v>
      </c>
      <c r="DA36">
        <v>0</v>
      </c>
      <c r="DB36">
        <v>0</v>
      </c>
      <c r="DC36">
        <v>0</v>
      </c>
      <c r="DD36">
        <v>1</v>
      </c>
      <c r="DE36">
        <v>1</v>
      </c>
      <c r="DF36">
        <v>0</v>
      </c>
      <c r="DJ36">
        <v>9</v>
      </c>
      <c r="DK36">
        <v>8</v>
      </c>
      <c r="DL36">
        <v>17</v>
      </c>
      <c r="DN36">
        <v>300</v>
      </c>
      <c r="DP36">
        <v>800</v>
      </c>
      <c r="DQ36" t="s">
        <v>846</v>
      </c>
      <c r="DR36">
        <v>1</v>
      </c>
      <c r="DS36">
        <v>0</v>
      </c>
      <c r="DT36">
        <v>1</v>
      </c>
      <c r="DU36">
        <v>0</v>
      </c>
      <c r="DV36">
        <v>0</v>
      </c>
      <c r="DW36">
        <v>1</v>
      </c>
      <c r="DX36">
        <v>0</v>
      </c>
      <c r="DY36">
        <v>0</v>
      </c>
      <c r="DZ36">
        <v>0</v>
      </c>
      <c r="EB36" t="s">
        <v>839</v>
      </c>
      <c r="EC36" t="s">
        <v>869</v>
      </c>
      <c r="ED36" t="s">
        <v>928</v>
      </c>
      <c r="EI36">
        <v>420</v>
      </c>
      <c r="EM36" t="s">
        <v>841</v>
      </c>
      <c r="EO36">
        <v>450</v>
      </c>
      <c r="ES36" t="s">
        <v>841</v>
      </c>
      <c r="EU36">
        <v>550</v>
      </c>
      <c r="EY36" t="s">
        <v>841</v>
      </c>
      <c r="FA36">
        <v>7</v>
      </c>
      <c r="FB36" t="s">
        <v>841</v>
      </c>
      <c r="FL36" t="s">
        <v>841</v>
      </c>
      <c r="FM36">
        <v>800</v>
      </c>
      <c r="FO36">
        <v>1</v>
      </c>
      <c r="FP36">
        <v>2</v>
      </c>
      <c r="FQ36">
        <v>3</v>
      </c>
      <c r="FS36" t="s">
        <v>842</v>
      </c>
      <c r="FT36" t="s">
        <v>839</v>
      </c>
      <c r="FU36" t="s">
        <v>839</v>
      </c>
      <c r="FV36" t="s">
        <v>839</v>
      </c>
      <c r="FW36" t="s">
        <v>842</v>
      </c>
      <c r="FY36" t="s">
        <v>842</v>
      </c>
      <c r="FZ36" t="s">
        <v>842</v>
      </c>
      <c r="GA36" t="s">
        <v>839</v>
      </c>
      <c r="GB36" t="s">
        <v>842</v>
      </c>
      <c r="GC36" t="s">
        <v>842</v>
      </c>
      <c r="GD36" t="s">
        <v>842</v>
      </c>
      <c r="GG36" t="s">
        <v>842</v>
      </c>
      <c r="GI36" t="s">
        <v>1105</v>
      </c>
      <c r="GJ36">
        <v>1</v>
      </c>
      <c r="GK36">
        <v>0</v>
      </c>
      <c r="GL36">
        <v>1</v>
      </c>
      <c r="GM36">
        <v>0</v>
      </c>
      <c r="GN36">
        <v>0</v>
      </c>
      <c r="GO36">
        <v>1</v>
      </c>
      <c r="GP36">
        <v>1</v>
      </c>
      <c r="GQ36">
        <v>0</v>
      </c>
      <c r="GR36">
        <v>0</v>
      </c>
      <c r="GS36">
        <v>1</v>
      </c>
      <c r="GT36">
        <v>0</v>
      </c>
      <c r="GU36">
        <v>0</v>
      </c>
      <c r="GV36">
        <v>1</v>
      </c>
      <c r="GW36">
        <v>1</v>
      </c>
      <c r="GX36">
        <v>0</v>
      </c>
      <c r="GY36">
        <v>0</v>
      </c>
      <c r="GZ36">
        <v>0</v>
      </c>
      <c r="HB36" t="s">
        <v>839</v>
      </c>
    </row>
    <row r="37" spans="1:211" x14ac:dyDescent="0.35">
      <c r="A37" t="s">
        <v>1106</v>
      </c>
      <c r="B37" s="151">
        <v>45054.773043981477</v>
      </c>
      <c r="C37" t="s">
        <v>1107</v>
      </c>
      <c r="D37" t="s">
        <v>1108</v>
      </c>
      <c r="E37" t="s">
        <v>875</v>
      </c>
      <c r="F37" t="s">
        <v>1109</v>
      </c>
      <c r="G37" t="s">
        <v>1109</v>
      </c>
      <c r="H37" t="s">
        <v>839</v>
      </c>
      <c r="I37" t="s">
        <v>838</v>
      </c>
      <c r="K37" t="s">
        <v>839</v>
      </c>
      <c r="L37" t="s">
        <v>887</v>
      </c>
      <c r="O37">
        <v>113</v>
      </c>
      <c r="P37">
        <v>100</v>
      </c>
      <c r="Q37">
        <v>213</v>
      </c>
      <c r="S37" t="s">
        <v>841</v>
      </c>
      <c r="T37" t="s">
        <v>841</v>
      </c>
      <c r="U37" t="s">
        <v>841</v>
      </c>
      <c r="V37" t="s">
        <v>841</v>
      </c>
      <c r="W37" t="s">
        <v>841</v>
      </c>
      <c r="X37" t="s">
        <v>841</v>
      </c>
      <c r="Y37" t="s">
        <v>841</v>
      </c>
      <c r="Z37" t="s">
        <v>841</v>
      </c>
      <c r="AA37" t="s">
        <v>841</v>
      </c>
      <c r="AH37">
        <v>1</v>
      </c>
      <c r="AI37">
        <v>1</v>
      </c>
      <c r="AJ37">
        <v>1</v>
      </c>
      <c r="AK37">
        <v>1</v>
      </c>
      <c r="AL37">
        <v>1</v>
      </c>
      <c r="AM37">
        <v>1</v>
      </c>
      <c r="AN37">
        <v>1</v>
      </c>
      <c r="AO37">
        <v>1</v>
      </c>
      <c r="AP37">
        <v>1</v>
      </c>
      <c r="AZ37" t="s">
        <v>841</v>
      </c>
      <c r="BM37" t="s">
        <v>841</v>
      </c>
      <c r="BS37" t="s">
        <v>841</v>
      </c>
      <c r="BV37" t="s">
        <v>839</v>
      </c>
      <c r="BW37" t="s">
        <v>759</v>
      </c>
      <c r="BX37" t="s">
        <v>839</v>
      </c>
      <c r="BY37" t="s">
        <v>759</v>
      </c>
      <c r="BZ37" t="s">
        <v>839</v>
      </c>
      <c r="CA37" t="s">
        <v>839</v>
      </c>
      <c r="CC37" t="s">
        <v>842</v>
      </c>
      <c r="CD37" t="s">
        <v>1022</v>
      </c>
      <c r="CG37">
        <v>2</v>
      </c>
      <c r="CH37">
        <v>1</v>
      </c>
      <c r="CI37">
        <v>1</v>
      </c>
      <c r="CJ37">
        <v>0</v>
      </c>
      <c r="CK37" t="s">
        <v>866</v>
      </c>
      <c r="CM37" t="s">
        <v>681</v>
      </c>
      <c r="CN37">
        <v>0</v>
      </c>
      <c r="CO37">
        <v>0</v>
      </c>
      <c r="CP37">
        <v>0</v>
      </c>
      <c r="CQ37">
        <v>0</v>
      </c>
      <c r="CR37">
        <v>1</v>
      </c>
      <c r="CS37">
        <v>0</v>
      </c>
      <c r="CU37" t="s">
        <v>1110</v>
      </c>
      <c r="CV37">
        <v>1</v>
      </c>
      <c r="CW37">
        <v>0</v>
      </c>
      <c r="CX37">
        <v>0</v>
      </c>
      <c r="CY37">
        <v>0</v>
      </c>
      <c r="CZ37">
        <v>0</v>
      </c>
      <c r="DA37">
        <v>0</v>
      </c>
      <c r="DB37">
        <v>0</v>
      </c>
      <c r="DC37">
        <v>0</v>
      </c>
      <c r="DD37">
        <v>0</v>
      </c>
      <c r="DE37">
        <v>0</v>
      </c>
      <c r="DF37">
        <v>0</v>
      </c>
      <c r="DJ37">
        <v>5</v>
      </c>
      <c r="DK37">
        <v>6</v>
      </c>
      <c r="DL37">
        <v>11</v>
      </c>
      <c r="DN37">
        <v>200</v>
      </c>
      <c r="DP37">
        <v>300</v>
      </c>
      <c r="DQ37" t="s">
        <v>626</v>
      </c>
      <c r="DR37">
        <v>0</v>
      </c>
      <c r="DS37">
        <v>0</v>
      </c>
      <c r="DT37">
        <v>0</v>
      </c>
      <c r="DU37">
        <v>0</v>
      </c>
      <c r="DV37">
        <v>0</v>
      </c>
      <c r="DW37">
        <v>0</v>
      </c>
      <c r="DX37">
        <v>0</v>
      </c>
      <c r="DY37">
        <v>1</v>
      </c>
      <c r="DZ37">
        <v>0</v>
      </c>
      <c r="EA37" t="s">
        <v>1111</v>
      </c>
      <c r="EB37" t="s">
        <v>839</v>
      </c>
      <c r="EC37" t="s">
        <v>869</v>
      </c>
      <c r="ED37" t="s">
        <v>848</v>
      </c>
      <c r="EI37">
        <v>200</v>
      </c>
      <c r="EM37" t="s">
        <v>841</v>
      </c>
      <c r="ES37" t="s">
        <v>841</v>
      </c>
      <c r="EZ37" t="s">
        <v>841</v>
      </c>
      <c r="FA37">
        <v>4</v>
      </c>
      <c r="FB37" t="s">
        <v>841</v>
      </c>
      <c r="FG37">
        <v>3</v>
      </c>
      <c r="FH37" t="s">
        <v>841</v>
      </c>
      <c r="FM37">
        <v>500</v>
      </c>
      <c r="FO37">
        <v>1</v>
      </c>
      <c r="FP37">
        <v>0</v>
      </c>
      <c r="FQ37">
        <v>1</v>
      </c>
      <c r="FS37" t="s">
        <v>839</v>
      </c>
      <c r="FT37" t="s">
        <v>839</v>
      </c>
      <c r="FU37" t="s">
        <v>839</v>
      </c>
      <c r="FV37" t="s">
        <v>839</v>
      </c>
      <c r="FW37" t="s">
        <v>839</v>
      </c>
      <c r="FX37" t="s">
        <v>965</v>
      </c>
      <c r="FY37" t="s">
        <v>839</v>
      </c>
      <c r="FZ37" t="s">
        <v>839</v>
      </c>
      <c r="GA37" t="s">
        <v>842</v>
      </c>
      <c r="GB37" t="s">
        <v>842</v>
      </c>
      <c r="GC37" t="s">
        <v>842</v>
      </c>
      <c r="GD37" t="s">
        <v>839</v>
      </c>
      <c r="GE37" t="s">
        <v>881</v>
      </c>
      <c r="GG37" t="s">
        <v>842</v>
      </c>
      <c r="GI37" t="s">
        <v>1112</v>
      </c>
      <c r="GJ37">
        <v>1</v>
      </c>
      <c r="GK37">
        <v>0</v>
      </c>
      <c r="GL37">
        <v>0</v>
      </c>
      <c r="GM37">
        <v>0</v>
      </c>
      <c r="GN37">
        <v>0</v>
      </c>
      <c r="GO37">
        <v>0</v>
      </c>
      <c r="GP37">
        <v>0</v>
      </c>
      <c r="GQ37">
        <v>0</v>
      </c>
      <c r="GR37">
        <v>0</v>
      </c>
      <c r="GS37">
        <v>0</v>
      </c>
      <c r="GT37">
        <v>0</v>
      </c>
      <c r="GU37">
        <v>0</v>
      </c>
      <c r="GV37">
        <v>1</v>
      </c>
      <c r="GW37">
        <v>0</v>
      </c>
      <c r="GX37">
        <v>0</v>
      </c>
      <c r="GY37">
        <v>0</v>
      </c>
      <c r="GZ37">
        <v>0</v>
      </c>
      <c r="HB37" t="s">
        <v>839</v>
      </c>
    </row>
    <row r="38" spans="1:211" x14ac:dyDescent="0.35">
      <c r="A38" t="s">
        <v>1113</v>
      </c>
      <c r="B38" s="151">
        <v>45056.410613425927</v>
      </c>
      <c r="C38" t="s">
        <v>1114</v>
      </c>
      <c r="D38" t="s">
        <v>1115</v>
      </c>
      <c r="E38" t="s">
        <v>835</v>
      </c>
      <c r="F38" t="s">
        <v>1116</v>
      </c>
      <c r="G38" t="s">
        <v>1117</v>
      </c>
      <c r="H38" t="s">
        <v>839</v>
      </c>
      <c r="I38" t="s">
        <v>896</v>
      </c>
      <c r="K38" t="s">
        <v>842</v>
      </c>
      <c r="O38">
        <v>27</v>
      </c>
      <c r="P38">
        <v>26</v>
      </c>
      <c r="Q38">
        <v>53</v>
      </c>
      <c r="S38" t="s">
        <v>841</v>
      </c>
      <c r="T38" t="s">
        <v>841</v>
      </c>
      <c r="U38" t="s">
        <v>841</v>
      </c>
      <c r="V38" t="s">
        <v>841</v>
      </c>
      <c r="W38" t="s">
        <v>841</v>
      </c>
      <c r="X38" t="s">
        <v>841</v>
      </c>
      <c r="Y38" t="s">
        <v>841</v>
      </c>
      <c r="Z38" t="s">
        <v>841</v>
      </c>
      <c r="AA38" t="s">
        <v>841</v>
      </c>
      <c r="AB38" t="s">
        <v>841</v>
      </c>
      <c r="AH38">
        <v>1</v>
      </c>
      <c r="AI38">
        <v>1</v>
      </c>
      <c r="AJ38">
        <v>1</v>
      </c>
      <c r="AK38">
        <v>1</v>
      </c>
      <c r="AL38">
        <v>1</v>
      </c>
      <c r="AM38">
        <v>1</v>
      </c>
      <c r="AN38">
        <v>1</v>
      </c>
      <c r="AO38">
        <v>1</v>
      </c>
      <c r="AP38">
        <v>1</v>
      </c>
      <c r="AQ38">
        <v>1</v>
      </c>
      <c r="AZ38" t="s">
        <v>841</v>
      </c>
      <c r="BM38" t="s">
        <v>841</v>
      </c>
      <c r="BS38" t="s">
        <v>841</v>
      </c>
      <c r="BV38" t="s">
        <v>839</v>
      </c>
      <c r="BW38" t="s">
        <v>950</v>
      </c>
      <c r="BX38" t="s">
        <v>842</v>
      </c>
      <c r="BZ38" t="s">
        <v>839</v>
      </c>
      <c r="CA38" t="s">
        <v>839</v>
      </c>
      <c r="CC38" t="s">
        <v>839</v>
      </c>
      <c r="CD38" t="s">
        <v>855</v>
      </c>
      <c r="CG38">
        <v>3</v>
      </c>
      <c r="CH38">
        <v>1</v>
      </c>
      <c r="CI38">
        <v>1</v>
      </c>
      <c r="CJ38">
        <v>1</v>
      </c>
      <c r="CK38" t="s">
        <v>877</v>
      </c>
      <c r="CM38" t="s">
        <v>917</v>
      </c>
      <c r="CN38">
        <v>0</v>
      </c>
      <c r="CO38">
        <v>0</v>
      </c>
      <c r="CP38">
        <v>1</v>
      </c>
      <c r="CQ38">
        <v>0</v>
      </c>
      <c r="CR38">
        <v>0</v>
      </c>
      <c r="CS38">
        <v>0</v>
      </c>
      <c r="CU38" t="s">
        <v>1118</v>
      </c>
      <c r="CV38">
        <v>1</v>
      </c>
      <c r="CW38">
        <v>0</v>
      </c>
      <c r="CX38">
        <v>0</v>
      </c>
      <c r="CY38">
        <v>1</v>
      </c>
      <c r="CZ38">
        <v>0</v>
      </c>
      <c r="DA38">
        <v>1</v>
      </c>
      <c r="DB38">
        <v>0</v>
      </c>
      <c r="DC38">
        <v>1</v>
      </c>
      <c r="DD38">
        <v>1</v>
      </c>
      <c r="DE38">
        <v>1</v>
      </c>
      <c r="DF38">
        <v>0</v>
      </c>
      <c r="DJ38">
        <v>2</v>
      </c>
      <c r="DK38">
        <v>5</v>
      </c>
      <c r="DL38">
        <v>7</v>
      </c>
      <c r="DN38">
        <v>500</v>
      </c>
      <c r="DP38">
        <v>620</v>
      </c>
      <c r="DQ38" t="s">
        <v>1040</v>
      </c>
      <c r="DR38">
        <v>0</v>
      </c>
      <c r="DS38">
        <v>0</v>
      </c>
      <c r="DT38">
        <v>1</v>
      </c>
      <c r="DU38">
        <v>0</v>
      </c>
      <c r="DV38">
        <v>0</v>
      </c>
      <c r="DW38">
        <v>0</v>
      </c>
      <c r="DX38">
        <v>0</v>
      </c>
      <c r="DY38">
        <v>0</v>
      </c>
      <c r="DZ38">
        <v>0</v>
      </c>
      <c r="EB38" t="s">
        <v>842</v>
      </c>
      <c r="EC38" t="s">
        <v>869</v>
      </c>
      <c r="ED38" t="s">
        <v>928</v>
      </c>
      <c r="EI38">
        <v>150</v>
      </c>
      <c r="EM38" t="s">
        <v>841</v>
      </c>
      <c r="EO38">
        <v>150</v>
      </c>
      <c r="ES38" t="s">
        <v>841</v>
      </c>
      <c r="FA38">
        <v>5</v>
      </c>
      <c r="FB38" t="s">
        <v>841</v>
      </c>
      <c r="FG38">
        <v>2</v>
      </c>
      <c r="FH38" t="s">
        <v>841</v>
      </c>
      <c r="FM38">
        <v>1260</v>
      </c>
      <c r="FO38">
        <v>0</v>
      </c>
      <c r="FP38">
        <v>0</v>
      </c>
      <c r="FQ38">
        <v>0</v>
      </c>
      <c r="FS38" t="s">
        <v>839</v>
      </c>
      <c r="FT38" t="s">
        <v>839</v>
      </c>
      <c r="FU38" t="s">
        <v>842</v>
      </c>
      <c r="FV38" t="s">
        <v>842</v>
      </c>
      <c r="FW38" t="s">
        <v>842</v>
      </c>
      <c r="FY38" t="s">
        <v>839</v>
      </c>
      <c r="FZ38" t="s">
        <v>839</v>
      </c>
      <c r="GA38" t="s">
        <v>842</v>
      </c>
      <c r="GB38" t="s">
        <v>842</v>
      </c>
      <c r="GC38" t="s">
        <v>842</v>
      </c>
      <c r="GD38" t="s">
        <v>839</v>
      </c>
      <c r="GE38" t="s">
        <v>881</v>
      </c>
      <c r="GG38" t="s">
        <v>842</v>
      </c>
      <c r="GI38" t="s">
        <v>1119</v>
      </c>
      <c r="GJ38">
        <v>1</v>
      </c>
      <c r="GK38">
        <v>1</v>
      </c>
      <c r="GL38">
        <v>1</v>
      </c>
      <c r="GM38">
        <v>0</v>
      </c>
      <c r="GN38">
        <v>1</v>
      </c>
      <c r="GO38">
        <v>0</v>
      </c>
      <c r="GP38">
        <v>0</v>
      </c>
      <c r="GQ38">
        <v>0</v>
      </c>
      <c r="GR38">
        <v>1</v>
      </c>
      <c r="GS38">
        <v>0</v>
      </c>
      <c r="GT38">
        <v>0</v>
      </c>
      <c r="GU38">
        <v>1</v>
      </c>
      <c r="GV38">
        <v>1</v>
      </c>
      <c r="GW38">
        <v>1</v>
      </c>
      <c r="GX38">
        <v>1</v>
      </c>
      <c r="GY38">
        <v>0</v>
      </c>
      <c r="GZ38">
        <v>0</v>
      </c>
      <c r="HB38" t="s">
        <v>839</v>
      </c>
    </row>
    <row r="39" spans="1:211" x14ac:dyDescent="0.35">
      <c r="A39" t="s">
        <v>1120</v>
      </c>
      <c r="B39" s="151">
        <v>45056.428449074083</v>
      </c>
      <c r="C39" t="s">
        <v>1121</v>
      </c>
      <c r="D39" t="s">
        <v>1122</v>
      </c>
      <c r="E39" t="s">
        <v>875</v>
      </c>
      <c r="F39" t="s">
        <v>1123</v>
      </c>
      <c r="G39" t="s">
        <v>1123</v>
      </c>
      <c r="H39" t="s">
        <v>839</v>
      </c>
      <c r="I39" t="s">
        <v>896</v>
      </c>
      <c r="K39" t="s">
        <v>842</v>
      </c>
      <c r="O39">
        <v>49</v>
      </c>
      <c r="P39">
        <v>57</v>
      </c>
      <c r="Q39">
        <v>106</v>
      </c>
      <c r="S39" t="s">
        <v>841</v>
      </c>
      <c r="T39" t="s">
        <v>841</v>
      </c>
      <c r="U39" t="s">
        <v>841</v>
      </c>
      <c r="V39" t="s">
        <v>841</v>
      </c>
      <c r="W39" t="s">
        <v>841</v>
      </c>
      <c r="X39" t="s">
        <v>841</v>
      </c>
      <c r="Y39" t="s">
        <v>841</v>
      </c>
      <c r="Z39" t="s">
        <v>841</v>
      </c>
      <c r="AA39" t="s">
        <v>841</v>
      </c>
      <c r="AB39" t="s">
        <v>841</v>
      </c>
      <c r="AH39">
        <v>1</v>
      </c>
      <c r="AI39">
        <v>1</v>
      </c>
      <c r="AJ39">
        <v>1</v>
      </c>
      <c r="AK39">
        <v>1</v>
      </c>
      <c r="AL39">
        <v>1</v>
      </c>
      <c r="AM39">
        <v>1</v>
      </c>
      <c r="AN39">
        <v>1</v>
      </c>
      <c r="AO39">
        <v>1</v>
      </c>
      <c r="AP39">
        <v>1</v>
      </c>
      <c r="AQ39">
        <v>1</v>
      </c>
      <c r="AR39">
        <v>0</v>
      </c>
      <c r="AS39">
        <v>0</v>
      </c>
      <c r="AT39">
        <v>0</v>
      </c>
      <c r="AU39">
        <v>0</v>
      </c>
      <c r="AZ39" t="s">
        <v>841</v>
      </c>
      <c r="BM39" t="s">
        <v>841</v>
      </c>
      <c r="BS39" t="s">
        <v>841</v>
      </c>
      <c r="BV39" t="s">
        <v>842</v>
      </c>
      <c r="BX39" t="s">
        <v>842</v>
      </c>
      <c r="BZ39" t="s">
        <v>839</v>
      </c>
      <c r="CA39" t="s">
        <v>839</v>
      </c>
      <c r="CC39" t="s">
        <v>839</v>
      </c>
      <c r="CD39" t="s">
        <v>855</v>
      </c>
      <c r="CG39">
        <v>5</v>
      </c>
      <c r="CH39">
        <v>1</v>
      </c>
      <c r="CI39">
        <v>1</v>
      </c>
      <c r="CJ39">
        <v>3</v>
      </c>
      <c r="CK39" t="s">
        <v>877</v>
      </c>
      <c r="CM39" t="s">
        <v>681</v>
      </c>
      <c r="CN39">
        <v>0</v>
      </c>
      <c r="CO39">
        <v>0</v>
      </c>
      <c r="CP39">
        <v>0</v>
      </c>
      <c r="CQ39">
        <v>0</v>
      </c>
      <c r="CR39">
        <v>1</v>
      </c>
      <c r="CS39">
        <v>0</v>
      </c>
      <c r="CU39" t="s">
        <v>1124</v>
      </c>
      <c r="CV39">
        <v>1</v>
      </c>
      <c r="CW39">
        <v>0</v>
      </c>
      <c r="CX39">
        <v>1</v>
      </c>
      <c r="CY39">
        <v>1</v>
      </c>
      <c r="CZ39">
        <v>0</v>
      </c>
      <c r="DA39">
        <v>0</v>
      </c>
      <c r="DB39">
        <v>0</v>
      </c>
      <c r="DC39">
        <v>1</v>
      </c>
      <c r="DD39">
        <v>1</v>
      </c>
      <c r="DE39">
        <v>1</v>
      </c>
      <c r="DF39">
        <v>0</v>
      </c>
      <c r="DJ39">
        <v>5</v>
      </c>
      <c r="DK39">
        <v>7</v>
      </c>
      <c r="DL39">
        <v>12</v>
      </c>
      <c r="DN39">
        <v>250</v>
      </c>
      <c r="DP39">
        <v>700</v>
      </c>
      <c r="DQ39" t="s">
        <v>1125</v>
      </c>
      <c r="DR39">
        <v>1</v>
      </c>
      <c r="DS39">
        <v>1</v>
      </c>
      <c r="DT39">
        <v>1</v>
      </c>
      <c r="DU39">
        <v>0</v>
      </c>
      <c r="DV39">
        <v>0</v>
      </c>
      <c r="DW39">
        <v>1</v>
      </c>
      <c r="DX39">
        <v>0</v>
      </c>
      <c r="DY39">
        <v>0</v>
      </c>
      <c r="DZ39">
        <v>0</v>
      </c>
      <c r="EB39" t="s">
        <v>842</v>
      </c>
      <c r="EC39" t="s">
        <v>847</v>
      </c>
      <c r="ED39" t="s">
        <v>900</v>
      </c>
      <c r="EI39">
        <v>5</v>
      </c>
      <c r="EJ39" t="s">
        <v>841</v>
      </c>
      <c r="EO39">
        <v>5</v>
      </c>
      <c r="EP39" t="s">
        <v>841</v>
      </c>
      <c r="EZ39" t="s">
        <v>841</v>
      </c>
      <c r="FA39">
        <v>3</v>
      </c>
      <c r="FB39" t="s">
        <v>841</v>
      </c>
      <c r="FG39">
        <v>4</v>
      </c>
      <c r="FH39" t="s">
        <v>841</v>
      </c>
      <c r="FM39">
        <v>100</v>
      </c>
      <c r="FO39">
        <v>4</v>
      </c>
      <c r="FP39">
        <v>4</v>
      </c>
      <c r="FQ39">
        <v>8</v>
      </c>
      <c r="FS39" t="s">
        <v>842</v>
      </c>
      <c r="FT39" t="s">
        <v>842</v>
      </c>
      <c r="FU39" t="s">
        <v>839</v>
      </c>
      <c r="FV39" t="s">
        <v>839</v>
      </c>
      <c r="FW39" t="s">
        <v>682</v>
      </c>
      <c r="FY39" t="s">
        <v>842</v>
      </c>
      <c r="FZ39" t="s">
        <v>842</v>
      </c>
      <c r="GA39" t="s">
        <v>842</v>
      </c>
      <c r="GB39" t="s">
        <v>842</v>
      </c>
      <c r="GC39" t="s">
        <v>842</v>
      </c>
      <c r="GD39" t="s">
        <v>842</v>
      </c>
      <c r="GG39" t="s">
        <v>668</v>
      </c>
      <c r="GI39" t="s">
        <v>1126</v>
      </c>
      <c r="GJ39">
        <v>1</v>
      </c>
      <c r="GK39">
        <v>0</v>
      </c>
      <c r="GL39">
        <v>0</v>
      </c>
      <c r="GM39">
        <v>0</v>
      </c>
      <c r="GN39">
        <v>0</v>
      </c>
      <c r="GO39">
        <v>1</v>
      </c>
      <c r="GP39">
        <v>0</v>
      </c>
      <c r="GQ39">
        <v>0</v>
      </c>
      <c r="GR39">
        <v>0</v>
      </c>
      <c r="GS39">
        <v>0</v>
      </c>
      <c r="GT39">
        <v>0</v>
      </c>
      <c r="GU39">
        <v>1</v>
      </c>
      <c r="GV39">
        <v>0</v>
      </c>
      <c r="GW39">
        <v>1</v>
      </c>
      <c r="GX39">
        <v>0</v>
      </c>
      <c r="GY39">
        <v>0</v>
      </c>
      <c r="GZ39">
        <v>0</v>
      </c>
      <c r="HB39" t="s">
        <v>839</v>
      </c>
    </row>
    <row r="40" spans="1:211" x14ac:dyDescent="0.35">
      <c r="A40" t="s">
        <v>1127</v>
      </c>
      <c r="B40" s="151">
        <v>45056.429884259262</v>
      </c>
      <c r="C40" t="s">
        <v>1128</v>
      </c>
      <c r="D40" t="s">
        <v>1129</v>
      </c>
      <c r="E40" t="s">
        <v>875</v>
      </c>
      <c r="F40" t="s">
        <v>1130</v>
      </c>
      <c r="G40" t="s">
        <v>1130</v>
      </c>
      <c r="H40" t="s">
        <v>842</v>
      </c>
      <c r="K40" t="s">
        <v>842</v>
      </c>
      <c r="O40">
        <v>17</v>
      </c>
      <c r="P40">
        <v>35</v>
      </c>
      <c r="Q40">
        <v>52</v>
      </c>
      <c r="S40" t="s">
        <v>841</v>
      </c>
      <c r="AH40">
        <v>2</v>
      </c>
      <c r="AZ40" t="s">
        <v>841</v>
      </c>
      <c r="BM40" t="s">
        <v>841</v>
      </c>
      <c r="BS40" t="s">
        <v>841</v>
      </c>
      <c r="BV40" t="s">
        <v>842</v>
      </c>
      <c r="BX40" t="s">
        <v>842</v>
      </c>
      <c r="BZ40" t="s">
        <v>839</v>
      </c>
      <c r="CA40" t="s">
        <v>839</v>
      </c>
      <c r="CC40" t="s">
        <v>839</v>
      </c>
      <c r="CD40" t="s">
        <v>855</v>
      </c>
      <c r="CG40">
        <v>6</v>
      </c>
      <c r="CH40">
        <v>3</v>
      </c>
      <c r="CI40">
        <v>3</v>
      </c>
      <c r="CJ40">
        <v>0</v>
      </c>
      <c r="CK40" t="s">
        <v>681</v>
      </c>
      <c r="CM40" t="s">
        <v>844</v>
      </c>
      <c r="CN40">
        <v>1</v>
      </c>
      <c r="CO40">
        <v>0</v>
      </c>
      <c r="CP40">
        <v>0</v>
      </c>
      <c r="CQ40">
        <v>0</v>
      </c>
      <c r="CR40">
        <v>0</v>
      </c>
      <c r="CS40">
        <v>0</v>
      </c>
      <c r="CU40" t="s">
        <v>1131</v>
      </c>
      <c r="CV40">
        <v>1</v>
      </c>
      <c r="CW40">
        <v>0</v>
      </c>
      <c r="CX40">
        <v>0</v>
      </c>
      <c r="CY40">
        <v>1</v>
      </c>
      <c r="CZ40">
        <v>0</v>
      </c>
      <c r="DA40">
        <v>0</v>
      </c>
      <c r="DB40">
        <v>0</v>
      </c>
      <c r="DC40">
        <v>0</v>
      </c>
      <c r="DD40">
        <v>1</v>
      </c>
      <c r="DE40">
        <v>0</v>
      </c>
      <c r="DF40">
        <v>0</v>
      </c>
      <c r="DJ40">
        <v>0</v>
      </c>
      <c r="DK40">
        <v>4</v>
      </c>
      <c r="DL40">
        <v>4</v>
      </c>
      <c r="DN40">
        <v>250</v>
      </c>
      <c r="DP40">
        <v>300</v>
      </c>
      <c r="DQ40" t="s">
        <v>858</v>
      </c>
      <c r="DR40">
        <v>0</v>
      </c>
      <c r="DS40">
        <v>0</v>
      </c>
      <c r="DT40">
        <v>1</v>
      </c>
      <c r="DU40">
        <v>0</v>
      </c>
      <c r="DV40">
        <v>1</v>
      </c>
      <c r="DW40">
        <v>0</v>
      </c>
      <c r="DX40">
        <v>0</v>
      </c>
      <c r="DY40">
        <v>0</v>
      </c>
      <c r="DZ40">
        <v>0</v>
      </c>
      <c r="EB40" t="s">
        <v>839</v>
      </c>
      <c r="EC40" t="s">
        <v>869</v>
      </c>
      <c r="ED40" t="s">
        <v>848</v>
      </c>
      <c r="EI40">
        <v>57</v>
      </c>
      <c r="EM40" t="s">
        <v>841</v>
      </c>
      <c r="EO40">
        <v>57</v>
      </c>
      <c r="ES40" t="s">
        <v>841</v>
      </c>
      <c r="EY40" t="s">
        <v>841</v>
      </c>
      <c r="FA40">
        <v>3</v>
      </c>
      <c r="FB40" t="s">
        <v>841</v>
      </c>
      <c r="FL40" t="s">
        <v>841</v>
      </c>
      <c r="FM40">
        <v>350</v>
      </c>
      <c r="FO40">
        <v>0</v>
      </c>
      <c r="FP40">
        <v>0</v>
      </c>
      <c r="FQ40">
        <v>0</v>
      </c>
      <c r="FS40" t="s">
        <v>842</v>
      </c>
      <c r="FT40" t="s">
        <v>842</v>
      </c>
      <c r="FU40" t="s">
        <v>842</v>
      </c>
      <c r="FV40" t="s">
        <v>842</v>
      </c>
      <c r="FW40" t="s">
        <v>682</v>
      </c>
      <c r="FY40" t="s">
        <v>839</v>
      </c>
      <c r="FZ40" t="s">
        <v>839</v>
      </c>
      <c r="GA40" t="s">
        <v>842</v>
      </c>
      <c r="GB40" t="s">
        <v>839</v>
      </c>
      <c r="GC40" t="s">
        <v>842</v>
      </c>
      <c r="GD40" t="s">
        <v>842</v>
      </c>
      <c r="GG40" t="s">
        <v>668</v>
      </c>
      <c r="GI40" t="s">
        <v>976</v>
      </c>
      <c r="GJ40">
        <v>1</v>
      </c>
      <c r="GK40">
        <v>1</v>
      </c>
      <c r="GL40">
        <v>0</v>
      </c>
      <c r="GM40">
        <v>0</v>
      </c>
      <c r="GN40">
        <v>0</v>
      </c>
      <c r="GO40">
        <v>0</v>
      </c>
      <c r="GP40">
        <v>0</v>
      </c>
      <c r="GQ40">
        <v>0</v>
      </c>
      <c r="GR40">
        <v>0</v>
      </c>
      <c r="GS40">
        <v>0</v>
      </c>
      <c r="GT40">
        <v>0</v>
      </c>
      <c r="GU40">
        <v>0</v>
      </c>
      <c r="GV40">
        <v>0</v>
      </c>
      <c r="GW40">
        <v>0</v>
      </c>
      <c r="GX40">
        <v>0</v>
      </c>
      <c r="GY40">
        <v>0</v>
      </c>
      <c r="GZ40">
        <v>0</v>
      </c>
      <c r="HB40" t="s">
        <v>839</v>
      </c>
    </row>
    <row r="41" spans="1:211" x14ac:dyDescent="0.35">
      <c r="A41" t="s">
        <v>1132</v>
      </c>
      <c r="B41" s="151">
        <v>45056.676550925928</v>
      </c>
      <c r="C41" t="s">
        <v>1133</v>
      </c>
      <c r="D41" t="s">
        <v>1134</v>
      </c>
      <c r="E41" t="s">
        <v>835</v>
      </c>
      <c r="F41" t="s">
        <v>1135</v>
      </c>
      <c r="G41" t="s">
        <v>1136</v>
      </c>
      <c r="H41" t="s">
        <v>839</v>
      </c>
      <c r="I41" t="s">
        <v>838</v>
      </c>
      <c r="K41" t="s">
        <v>839</v>
      </c>
      <c r="L41" t="s">
        <v>887</v>
      </c>
      <c r="O41">
        <v>100</v>
      </c>
      <c r="P41">
        <v>133</v>
      </c>
      <c r="Q41">
        <v>233</v>
      </c>
      <c r="T41" t="s">
        <v>841</v>
      </c>
      <c r="U41" t="s">
        <v>841</v>
      </c>
      <c r="V41" t="s">
        <v>841</v>
      </c>
      <c r="W41" t="s">
        <v>841</v>
      </c>
      <c r="X41" t="s">
        <v>841</v>
      </c>
      <c r="Y41" t="s">
        <v>841</v>
      </c>
      <c r="Z41" t="s">
        <v>841</v>
      </c>
      <c r="AA41" t="s">
        <v>841</v>
      </c>
      <c r="AI41">
        <v>1</v>
      </c>
      <c r="AJ41">
        <v>2</v>
      </c>
      <c r="AK41">
        <v>2</v>
      </c>
      <c r="AL41">
        <v>1</v>
      </c>
      <c r="AM41">
        <v>2</v>
      </c>
      <c r="AN41">
        <v>1</v>
      </c>
      <c r="AO41">
        <v>1</v>
      </c>
      <c r="AP41">
        <v>1</v>
      </c>
      <c r="AZ41" t="s">
        <v>841</v>
      </c>
      <c r="BM41" t="s">
        <v>841</v>
      </c>
      <c r="BV41" t="s">
        <v>839</v>
      </c>
      <c r="BW41" t="s">
        <v>759</v>
      </c>
      <c r="BX41" t="s">
        <v>839</v>
      </c>
      <c r="BY41" t="s">
        <v>759</v>
      </c>
      <c r="BZ41" t="s">
        <v>839</v>
      </c>
      <c r="CA41" t="s">
        <v>839</v>
      </c>
      <c r="CC41" t="s">
        <v>839</v>
      </c>
      <c r="CD41" t="s">
        <v>855</v>
      </c>
      <c r="CG41">
        <v>7</v>
      </c>
      <c r="CH41">
        <v>3</v>
      </c>
      <c r="CI41">
        <v>3</v>
      </c>
      <c r="CJ41">
        <v>1</v>
      </c>
      <c r="CK41" t="s">
        <v>681</v>
      </c>
      <c r="CM41" t="s">
        <v>867</v>
      </c>
      <c r="CN41">
        <v>0</v>
      </c>
      <c r="CO41">
        <v>1</v>
      </c>
      <c r="CP41">
        <v>0</v>
      </c>
      <c r="CQ41">
        <v>0</v>
      </c>
      <c r="CR41">
        <v>0</v>
      </c>
      <c r="CS41">
        <v>0</v>
      </c>
      <c r="CU41" t="s">
        <v>888</v>
      </c>
      <c r="CV41">
        <v>1</v>
      </c>
      <c r="CW41">
        <v>1</v>
      </c>
      <c r="CX41">
        <v>1</v>
      </c>
      <c r="CY41">
        <v>0</v>
      </c>
      <c r="CZ41">
        <v>0</v>
      </c>
      <c r="DA41">
        <v>0</v>
      </c>
      <c r="DB41">
        <v>0</v>
      </c>
      <c r="DC41">
        <v>0</v>
      </c>
      <c r="DD41">
        <v>1</v>
      </c>
      <c r="DE41">
        <v>0</v>
      </c>
      <c r="DF41">
        <v>0</v>
      </c>
      <c r="DJ41">
        <v>3</v>
      </c>
      <c r="DK41">
        <v>13</v>
      </c>
      <c r="DL41">
        <v>16</v>
      </c>
      <c r="DN41">
        <v>400</v>
      </c>
      <c r="DP41">
        <v>800</v>
      </c>
      <c r="DQ41" t="s">
        <v>1137</v>
      </c>
      <c r="DR41">
        <v>1</v>
      </c>
      <c r="DS41">
        <v>1</v>
      </c>
      <c r="DT41">
        <v>1</v>
      </c>
      <c r="DU41">
        <v>1</v>
      </c>
      <c r="DV41">
        <v>0</v>
      </c>
      <c r="DW41">
        <v>1</v>
      </c>
      <c r="DX41">
        <v>0</v>
      </c>
      <c r="DY41">
        <v>0</v>
      </c>
      <c r="DZ41">
        <v>0</v>
      </c>
      <c r="EB41" t="s">
        <v>839</v>
      </c>
      <c r="EC41" t="s">
        <v>869</v>
      </c>
      <c r="ED41" t="s">
        <v>848</v>
      </c>
      <c r="EI41" s="157">
        <v>400</v>
      </c>
      <c r="EJ41" s="157"/>
      <c r="EK41" s="157"/>
      <c r="EL41" s="157"/>
      <c r="EM41" s="157" t="s">
        <v>841</v>
      </c>
      <c r="EN41" s="157"/>
      <c r="EO41" s="157">
        <v>400</v>
      </c>
      <c r="EP41" s="157"/>
      <c r="EQ41" s="157"/>
      <c r="ER41" s="157"/>
      <c r="ES41" s="157" t="s">
        <v>841</v>
      </c>
      <c r="ET41" s="157"/>
      <c r="EU41" s="157"/>
      <c r="EV41" s="157"/>
      <c r="EW41" s="157"/>
      <c r="EX41" s="157"/>
      <c r="EY41" s="157"/>
      <c r="EZ41" s="157" t="s">
        <v>841</v>
      </c>
      <c r="FA41" s="157">
        <v>4</v>
      </c>
      <c r="FB41" s="157" t="s">
        <v>841</v>
      </c>
      <c r="FC41" s="157"/>
      <c r="FD41" s="157"/>
      <c r="FE41" s="157"/>
      <c r="FF41" s="157"/>
      <c r="FG41" s="157">
        <v>4</v>
      </c>
      <c r="FH41" s="157" t="s">
        <v>841</v>
      </c>
      <c r="FI41" s="157"/>
      <c r="FJ41" s="157"/>
      <c r="FK41" s="157"/>
      <c r="FL41" s="157"/>
      <c r="FM41">
        <v>1090</v>
      </c>
      <c r="FO41">
        <v>3</v>
      </c>
      <c r="FP41">
        <v>4</v>
      </c>
      <c r="FQ41">
        <v>7</v>
      </c>
      <c r="FS41" t="s">
        <v>842</v>
      </c>
      <c r="FT41" t="s">
        <v>842</v>
      </c>
      <c r="FU41" t="s">
        <v>839</v>
      </c>
      <c r="FV41" t="s">
        <v>839</v>
      </c>
      <c r="FW41" t="s">
        <v>842</v>
      </c>
      <c r="FY41" t="s">
        <v>842</v>
      </c>
      <c r="FZ41" t="s">
        <v>842</v>
      </c>
      <c r="GA41" t="s">
        <v>842</v>
      </c>
      <c r="GB41" t="s">
        <v>842</v>
      </c>
      <c r="GC41" t="s">
        <v>842</v>
      </c>
      <c r="GD41" t="s">
        <v>842</v>
      </c>
      <c r="GG41" t="s">
        <v>668</v>
      </c>
      <c r="GI41" t="s">
        <v>1138</v>
      </c>
      <c r="GJ41">
        <v>1</v>
      </c>
      <c r="GK41">
        <v>1</v>
      </c>
      <c r="GL41">
        <v>0</v>
      </c>
      <c r="GM41">
        <v>0</v>
      </c>
      <c r="GN41">
        <v>1</v>
      </c>
      <c r="GO41">
        <v>1</v>
      </c>
      <c r="GP41">
        <v>1</v>
      </c>
      <c r="GQ41">
        <v>0</v>
      </c>
      <c r="GR41">
        <v>0</v>
      </c>
      <c r="GS41">
        <v>1</v>
      </c>
      <c r="GT41">
        <v>0</v>
      </c>
      <c r="GU41">
        <v>1</v>
      </c>
      <c r="GV41">
        <v>0</v>
      </c>
      <c r="GW41">
        <v>1</v>
      </c>
      <c r="GX41">
        <v>0</v>
      </c>
      <c r="GY41">
        <v>0</v>
      </c>
      <c r="GZ41">
        <v>0</v>
      </c>
      <c r="HB41" t="s">
        <v>839</v>
      </c>
    </row>
    <row r="42" spans="1:211" x14ac:dyDescent="0.35">
      <c r="A42" t="s">
        <v>1139</v>
      </c>
      <c r="B42" s="151">
        <v>45057.16814814815</v>
      </c>
      <c r="C42" t="s">
        <v>1140</v>
      </c>
      <c r="D42" t="s">
        <v>1141</v>
      </c>
      <c r="E42" t="s">
        <v>875</v>
      </c>
      <c r="F42" t="s">
        <v>1142</v>
      </c>
      <c r="G42" t="s">
        <v>1142</v>
      </c>
      <c r="H42" t="s">
        <v>839</v>
      </c>
      <c r="I42" t="s">
        <v>838</v>
      </c>
      <c r="K42" t="s">
        <v>839</v>
      </c>
      <c r="L42" t="s">
        <v>887</v>
      </c>
      <c r="O42">
        <v>126</v>
      </c>
      <c r="P42">
        <v>101</v>
      </c>
      <c r="Q42">
        <v>227</v>
      </c>
      <c r="S42" t="s">
        <v>841</v>
      </c>
      <c r="T42" t="s">
        <v>841</v>
      </c>
      <c r="U42" t="s">
        <v>841</v>
      </c>
      <c r="V42" t="s">
        <v>841</v>
      </c>
      <c r="W42" t="s">
        <v>841</v>
      </c>
      <c r="X42" t="s">
        <v>841</v>
      </c>
      <c r="Y42" t="s">
        <v>841</v>
      </c>
      <c r="Z42" t="s">
        <v>841</v>
      </c>
      <c r="AA42" t="s">
        <v>841</v>
      </c>
      <c r="AB42" t="s">
        <v>841</v>
      </c>
      <c r="AC42" t="s">
        <v>841</v>
      </c>
      <c r="AD42" t="s">
        <v>841</v>
      </c>
      <c r="AE42" t="s">
        <v>841</v>
      </c>
      <c r="AF42" t="s">
        <v>841</v>
      </c>
      <c r="AH42">
        <v>1</v>
      </c>
      <c r="AI42">
        <v>1</v>
      </c>
      <c r="AJ42">
        <v>1</v>
      </c>
      <c r="AK42">
        <v>1</v>
      </c>
      <c r="AL42">
        <v>1</v>
      </c>
      <c r="AM42">
        <v>1</v>
      </c>
      <c r="AN42">
        <v>1</v>
      </c>
      <c r="AO42">
        <v>1</v>
      </c>
      <c r="AP42">
        <v>1</v>
      </c>
      <c r="AQ42">
        <v>1</v>
      </c>
      <c r="AR42">
        <v>1</v>
      </c>
      <c r="AS42">
        <v>1</v>
      </c>
      <c r="AT42">
        <v>1</v>
      </c>
      <c r="AU42">
        <v>1</v>
      </c>
      <c r="AW42">
        <v>15</v>
      </c>
      <c r="AX42">
        <v>0</v>
      </c>
      <c r="AY42">
        <v>15</v>
      </c>
      <c r="BB42">
        <v>6</v>
      </c>
      <c r="BC42">
        <v>0</v>
      </c>
      <c r="BD42">
        <v>6</v>
      </c>
      <c r="BF42">
        <v>6</v>
      </c>
      <c r="BG42">
        <v>0</v>
      </c>
      <c r="BH42">
        <v>6</v>
      </c>
      <c r="BJ42">
        <v>7</v>
      </c>
      <c r="BK42">
        <v>11</v>
      </c>
      <c r="BL42">
        <v>18</v>
      </c>
      <c r="BP42">
        <v>6</v>
      </c>
      <c r="BQ42">
        <v>3</v>
      </c>
      <c r="BR42">
        <v>9</v>
      </c>
      <c r="BV42" t="s">
        <v>842</v>
      </c>
      <c r="BX42" t="s">
        <v>839</v>
      </c>
      <c r="BY42" t="s">
        <v>759</v>
      </c>
      <c r="BZ42" t="s">
        <v>839</v>
      </c>
      <c r="CA42" t="s">
        <v>839</v>
      </c>
      <c r="CC42" t="s">
        <v>839</v>
      </c>
      <c r="CD42" t="s">
        <v>855</v>
      </c>
      <c r="CG42">
        <v>10</v>
      </c>
      <c r="CH42">
        <v>4</v>
      </c>
      <c r="CI42">
        <v>4</v>
      </c>
      <c r="CJ42">
        <v>2</v>
      </c>
      <c r="CK42" t="s">
        <v>681</v>
      </c>
      <c r="CM42" t="s">
        <v>867</v>
      </c>
      <c r="CN42">
        <v>0</v>
      </c>
      <c r="CO42">
        <v>1</v>
      </c>
      <c r="CP42">
        <v>0</v>
      </c>
      <c r="CQ42">
        <v>0</v>
      </c>
      <c r="CR42">
        <v>0</v>
      </c>
      <c r="CS42">
        <v>0</v>
      </c>
      <c r="CU42" t="s">
        <v>1143</v>
      </c>
      <c r="CV42">
        <v>1</v>
      </c>
      <c r="CW42">
        <v>1</v>
      </c>
      <c r="CX42">
        <v>1</v>
      </c>
      <c r="CY42">
        <v>1</v>
      </c>
      <c r="CZ42">
        <v>1</v>
      </c>
      <c r="DA42">
        <v>1</v>
      </c>
      <c r="DB42">
        <v>1</v>
      </c>
      <c r="DC42">
        <v>1</v>
      </c>
      <c r="DD42">
        <v>1</v>
      </c>
      <c r="DE42">
        <v>1</v>
      </c>
      <c r="DF42">
        <v>0</v>
      </c>
      <c r="DJ42">
        <v>7</v>
      </c>
      <c r="DK42">
        <v>16</v>
      </c>
      <c r="DL42">
        <v>27</v>
      </c>
      <c r="DN42">
        <v>350</v>
      </c>
      <c r="DP42">
        <v>600</v>
      </c>
      <c r="DQ42" t="s">
        <v>1082</v>
      </c>
      <c r="DR42">
        <v>0</v>
      </c>
      <c r="DS42">
        <v>1</v>
      </c>
      <c r="DT42">
        <v>1</v>
      </c>
      <c r="DU42">
        <v>0</v>
      </c>
      <c r="DV42">
        <v>0</v>
      </c>
      <c r="DW42">
        <v>0</v>
      </c>
      <c r="DX42">
        <v>0</v>
      </c>
      <c r="DY42">
        <v>0</v>
      </c>
      <c r="DZ42">
        <v>0</v>
      </c>
      <c r="EB42" t="s">
        <v>842</v>
      </c>
      <c r="EC42" t="s">
        <v>869</v>
      </c>
      <c r="ED42" t="s">
        <v>848</v>
      </c>
      <c r="EI42">
        <v>4</v>
      </c>
      <c r="EJ42" t="s">
        <v>841</v>
      </c>
      <c r="EO42">
        <v>4</v>
      </c>
      <c r="EP42" t="s">
        <v>841</v>
      </c>
      <c r="EU42">
        <v>4</v>
      </c>
      <c r="EV42" t="s">
        <v>841</v>
      </c>
      <c r="FF42" t="s">
        <v>841</v>
      </c>
      <c r="FG42">
        <v>1</v>
      </c>
      <c r="FH42" t="s">
        <v>841</v>
      </c>
      <c r="FM42" s="156">
        <v>1500</v>
      </c>
      <c r="FO42">
        <v>8</v>
      </c>
      <c r="FP42">
        <v>10</v>
      </c>
      <c r="FQ42">
        <v>18</v>
      </c>
      <c r="FS42" t="s">
        <v>842</v>
      </c>
      <c r="FT42" t="s">
        <v>842</v>
      </c>
      <c r="FU42" t="s">
        <v>842</v>
      </c>
      <c r="FV42" t="s">
        <v>839</v>
      </c>
      <c r="FW42" t="s">
        <v>839</v>
      </c>
      <c r="FX42" t="s">
        <v>890</v>
      </c>
      <c r="FY42" t="s">
        <v>842</v>
      </c>
      <c r="FZ42" t="s">
        <v>839</v>
      </c>
      <c r="GA42" t="s">
        <v>839</v>
      </c>
      <c r="GB42" t="s">
        <v>842</v>
      </c>
      <c r="GC42" t="s">
        <v>842</v>
      </c>
      <c r="GD42" t="s">
        <v>842</v>
      </c>
      <c r="GG42" t="s">
        <v>668</v>
      </c>
      <c r="GI42" t="s">
        <v>1144</v>
      </c>
      <c r="GJ42">
        <v>0</v>
      </c>
      <c r="GK42">
        <v>1</v>
      </c>
      <c r="GL42">
        <v>0</v>
      </c>
      <c r="GM42">
        <v>1</v>
      </c>
      <c r="GN42">
        <v>1</v>
      </c>
      <c r="GO42">
        <v>0</v>
      </c>
      <c r="GP42">
        <v>1</v>
      </c>
      <c r="GQ42">
        <v>1</v>
      </c>
      <c r="GR42">
        <v>1</v>
      </c>
      <c r="GS42">
        <v>0</v>
      </c>
      <c r="GT42">
        <v>1</v>
      </c>
      <c r="GU42">
        <v>1</v>
      </c>
      <c r="GV42">
        <v>1</v>
      </c>
      <c r="GW42">
        <v>1</v>
      </c>
      <c r="GX42">
        <v>1</v>
      </c>
      <c r="GY42">
        <v>0</v>
      </c>
      <c r="GZ42">
        <v>0</v>
      </c>
      <c r="HB42" t="s">
        <v>839</v>
      </c>
    </row>
    <row r="43" spans="1:211" x14ac:dyDescent="0.35">
      <c r="A43" t="s">
        <v>1145</v>
      </c>
      <c r="B43" s="151">
        <v>45057.340046296304</v>
      </c>
      <c r="C43" t="s">
        <v>1146</v>
      </c>
      <c r="D43" t="s">
        <v>1147</v>
      </c>
      <c r="E43" t="s">
        <v>835</v>
      </c>
      <c r="F43" t="s">
        <v>1148</v>
      </c>
      <c r="G43" t="s">
        <v>1149</v>
      </c>
      <c r="H43" t="s">
        <v>839</v>
      </c>
      <c r="I43" t="s">
        <v>838</v>
      </c>
      <c r="K43" t="s">
        <v>839</v>
      </c>
      <c r="L43" t="s">
        <v>887</v>
      </c>
      <c r="O43">
        <v>83</v>
      </c>
      <c r="P43">
        <v>98</v>
      </c>
      <c r="Q43">
        <v>181</v>
      </c>
      <c r="BM43" t="s">
        <v>841</v>
      </c>
      <c r="BS43" t="s">
        <v>841</v>
      </c>
      <c r="BV43" t="s">
        <v>839</v>
      </c>
      <c r="BW43" t="s">
        <v>759</v>
      </c>
      <c r="BX43" t="s">
        <v>839</v>
      </c>
      <c r="BY43" t="s">
        <v>759</v>
      </c>
      <c r="BZ43" t="s">
        <v>839</v>
      </c>
      <c r="CA43" t="s">
        <v>839</v>
      </c>
      <c r="CC43" t="s">
        <v>839</v>
      </c>
      <c r="CD43" t="s">
        <v>855</v>
      </c>
      <c r="CG43">
        <v>6</v>
      </c>
      <c r="CH43">
        <v>3</v>
      </c>
      <c r="CI43">
        <v>3</v>
      </c>
      <c r="CJ43">
        <v>0</v>
      </c>
      <c r="CK43" t="s">
        <v>877</v>
      </c>
      <c r="CM43" t="s">
        <v>844</v>
      </c>
      <c r="CN43">
        <v>1</v>
      </c>
      <c r="CO43">
        <v>0</v>
      </c>
      <c r="CP43">
        <v>0</v>
      </c>
      <c r="CQ43">
        <v>0</v>
      </c>
      <c r="CR43">
        <v>0</v>
      </c>
      <c r="CS43">
        <v>0</v>
      </c>
      <c r="CU43" t="s">
        <v>1150</v>
      </c>
      <c r="CV43">
        <v>1</v>
      </c>
      <c r="CW43">
        <v>1</v>
      </c>
      <c r="CX43">
        <v>1</v>
      </c>
      <c r="CY43">
        <v>0</v>
      </c>
      <c r="CZ43">
        <v>0</v>
      </c>
      <c r="DA43">
        <v>1</v>
      </c>
      <c r="DB43">
        <v>0</v>
      </c>
      <c r="DC43">
        <v>0</v>
      </c>
      <c r="DD43">
        <v>1</v>
      </c>
      <c r="DE43">
        <v>1</v>
      </c>
      <c r="DF43">
        <v>0</v>
      </c>
      <c r="DJ43">
        <v>5</v>
      </c>
      <c r="DK43">
        <v>9</v>
      </c>
      <c r="DL43">
        <v>14</v>
      </c>
      <c r="DN43">
        <v>500</v>
      </c>
      <c r="DP43">
        <v>1500</v>
      </c>
      <c r="DQ43" t="s">
        <v>937</v>
      </c>
      <c r="DR43">
        <v>1</v>
      </c>
      <c r="DS43">
        <v>0</v>
      </c>
      <c r="DT43">
        <v>0</v>
      </c>
      <c r="DU43">
        <v>0</v>
      </c>
      <c r="DV43">
        <v>0</v>
      </c>
      <c r="DW43">
        <v>0</v>
      </c>
      <c r="DX43">
        <v>0</v>
      </c>
      <c r="DY43">
        <v>0</v>
      </c>
      <c r="DZ43">
        <v>0</v>
      </c>
      <c r="EB43" t="s">
        <v>839</v>
      </c>
      <c r="EC43" t="s">
        <v>869</v>
      </c>
      <c r="ED43" t="s">
        <v>848</v>
      </c>
      <c r="EI43">
        <v>80</v>
      </c>
      <c r="EM43" t="s">
        <v>841</v>
      </c>
      <c r="EO43">
        <v>130</v>
      </c>
      <c r="ES43" t="s">
        <v>841</v>
      </c>
      <c r="EU43">
        <v>160</v>
      </c>
      <c r="EX43" t="s">
        <v>841</v>
      </c>
      <c r="FA43">
        <v>3</v>
      </c>
      <c r="FB43" t="s">
        <v>841</v>
      </c>
      <c r="FG43">
        <v>3</v>
      </c>
      <c r="FH43" t="s">
        <v>841</v>
      </c>
      <c r="FM43">
        <v>1500</v>
      </c>
      <c r="FO43">
        <v>0</v>
      </c>
      <c r="FP43">
        <v>0</v>
      </c>
      <c r="FQ43">
        <v>0</v>
      </c>
      <c r="FS43" t="s">
        <v>839</v>
      </c>
      <c r="FT43" t="s">
        <v>839</v>
      </c>
      <c r="FU43" t="s">
        <v>839</v>
      </c>
      <c r="FV43" t="s">
        <v>839</v>
      </c>
      <c r="FW43" t="s">
        <v>842</v>
      </c>
      <c r="FY43" t="s">
        <v>839</v>
      </c>
      <c r="FZ43" t="s">
        <v>839</v>
      </c>
      <c r="GA43" t="s">
        <v>842</v>
      </c>
      <c r="GB43" t="s">
        <v>842</v>
      </c>
      <c r="GC43" t="s">
        <v>842</v>
      </c>
      <c r="GD43" t="s">
        <v>839</v>
      </c>
      <c r="GE43" t="s">
        <v>929</v>
      </c>
      <c r="GG43" t="s">
        <v>839</v>
      </c>
      <c r="GI43" t="s">
        <v>1151</v>
      </c>
      <c r="GJ43">
        <v>1</v>
      </c>
      <c r="GK43">
        <v>0</v>
      </c>
      <c r="GL43">
        <v>1</v>
      </c>
      <c r="GM43">
        <v>0</v>
      </c>
      <c r="GN43">
        <v>0</v>
      </c>
      <c r="GO43">
        <v>0</v>
      </c>
      <c r="GP43">
        <v>0</v>
      </c>
      <c r="GQ43">
        <v>0</v>
      </c>
      <c r="GR43">
        <v>0</v>
      </c>
      <c r="GS43">
        <v>0</v>
      </c>
      <c r="GT43">
        <v>0</v>
      </c>
      <c r="GU43">
        <v>1</v>
      </c>
      <c r="GV43">
        <v>0</v>
      </c>
      <c r="GW43">
        <v>1</v>
      </c>
      <c r="GX43">
        <v>0</v>
      </c>
      <c r="GY43">
        <v>0</v>
      </c>
      <c r="GZ43">
        <v>0</v>
      </c>
      <c r="HB43" t="s">
        <v>839</v>
      </c>
    </row>
    <row r="44" spans="1:211" x14ac:dyDescent="0.35">
      <c r="A44" t="s">
        <v>1152</v>
      </c>
      <c r="B44" s="151">
        <v>45060.619120370371</v>
      </c>
      <c r="C44" t="s">
        <v>1153</v>
      </c>
      <c r="D44" t="s">
        <v>1154</v>
      </c>
      <c r="E44" t="s">
        <v>875</v>
      </c>
      <c r="F44" t="s">
        <v>1155</v>
      </c>
      <c r="G44" t="s">
        <v>1155</v>
      </c>
      <c r="H44" t="s">
        <v>842</v>
      </c>
      <c r="K44" t="s">
        <v>842</v>
      </c>
      <c r="O44">
        <v>32</v>
      </c>
      <c r="P44">
        <v>21</v>
      </c>
      <c r="Q44">
        <v>53</v>
      </c>
      <c r="S44" t="s">
        <v>841</v>
      </c>
      <c r="V44" t="s">
        <v>841</v>
      </c>
      <c r="W44" t="s">
        <v>841</v>
      </c>
      <c r="X44" t="s">
        <v>841</v>
      </c>
      <c r="Y44" t="s">
        <v>841</v>
      </c>
      <c r="AB44" t="s">
        <v>841</v>
      </c>
      <c r="BV44" t="s">
        <v>842</v>
      </c>
      <c r="BX44" t="s">
        <v>839</v>
      </c>
      <c r="BY44" t="s">
        <v>758</v>
      </c>
      <c r="BZ44" t="s">
        <v>839</v>
      </c>
      <c r="CA44" t="s">
        <v>839</v>
      </c>
      <c r="CC44" t="s">
        <v>839</v>
      </c>
      <c r="CD44" t="s">
        <v>855</v>
      </c>
      <c r="CG44">
        <v>1</v>
      </c>
      <c r="CH44">
        <v>0</v>
      </c>
      <c r="CI44">
        <v>0</v>
      </c>
      <c r="CJ44">
        <v>1</v>
      </c>
      <c r="CK44" t="s">
        <v>866</v>
      </c>
      <c r="CM44" t="s">
        <v>844</v>
      </c>
      <c r="CN44">
        <v>1</v>
      </c>
      <c r="CO44">
        <v>0</v>
      </c>
      <c r="CP44">
        <v>0</v>
      </c>
      <c r="CQ44">
        <v>0</v>
      </c>
      <c r="CR44">
        <v>0</v>
      </c>
      <c r="CS44">
        <v>0</v>
      </c>
      <c r="CU44" t="s">
        <v>987</v>
      </c>
      <c r="CV44">
        <v>1</v>
      </c>
      <c r="CW44">
        <v>0</v>
      </c>
      <c r="CX44">
        <v>1</v>
      </c>
      <c r="CY44">
        <v>0</v>
      </c>
      <c r="CZ44">
        <v>0</v>
      </c>
      <c r="DA44">
        <v>0</v>
      </c>
      <c r="DB44">
        <v>0</v>
      </c>
      <c r="DC44">
        <v>0</v>
      </c>
      <c r="DD44">
        <v>0</v>
      </c>
      <c r="DE44">
        <v>0</v>
      </c>
      <c r="DF44">
        <v>0</v>
      </c>
      <c r="DJ44">
        <v>1</v>
      </c>
      <c r="DK44">
        <v>4</v>
      </c>
      <c r="DL44">
        <v>5</v>
      </c>
      <c r="DN44">
        <v>200</v>
      </c>
      <c r="DP44">
        <v>300</v>
      </c>
      <c r="DQ44" t="s">
        <v>937</v>
      </c>
      <c r="DR44">
        <v>1</v>
      </c>
      <c r="DS44">
        <v>0</v>
      </c>
      <c r="DT44">
        <v>0</v>
      </c>
      <c r="DU44">
        <v>0</v>
      </c>
      <c r="DV44">
        <v>0</v>
      </c>
      <c r="DW44">
        <v>0</v>
      </c>
      <c r="DX44">
        <v>0</v>
      </c>
      <c r="DY44">
        <v>0</v>
      </c>
      <c r="DZ44">
        <v>0</v>
      </c>
      <c r="EB44" t="s">
        <v>839</v>
      </c>
      <c r="EC44" t="s">
        <v>869</v>
      </c>
      <c r="ED44" t="s">
        <v>848</v>
      </c>
      <c r="EI44">
        <v>140</v>
      </c>
      <c r="EL44" t="s">
        <v>841</v>
      </c>
      <c r="ET44" t="s">
        <v>841</v>
      </c>
      <c r="EZ44" t="s">
        <v>841</v>
      </c>
      <c r="FA44">
        <v>160</v>
      </c>
      <c r="FD44" t="s">
        <v>841</v>
      </c>
      <c r="FL44" t="s">
        <v>841</v>
      </c>
      <c r="FM44">
        <v>200</v>
      </c>
      <c r="FO44">
        <v>0</v>
      </c>
      <c r="FP44">
        <v>0</v>
      </c>
      <c r="FQ44">
        <v>0</v>
      </c>
      <c r="FS44" t="s">
        <v>839</v>
      </c>
      <c r="FT44" t="s">
        <v>839</v>
      </c>
      <c r="FU44" t="s">
        <v>839</v>
      </c>
      <c r="FV44" t="s">
        <v>842</v>
      </c>
      <c r="FW44" t="s">
        <v>842</v>
      </c>
      <c r="FY44" t="s">
        <v>839</v>
      </c>
      <c r="FZ44" t="s">
        <v>839</v>
      </c>
      <c r="GA44" t="s">
        <v>842</v>
      </c>
      <c r="GB44" t="s">
        <v>842</v>
      </c>
      <c r="GC44" t="s">
        <v>842</v>
      </c>
      <c r="GD44" t="s">
        <v>839</v>
      </c>
      <c r="GE44" t="s">
        <v>881</v>
      </c>
      <c r="GG44" t="s">
        <v>842</v>
      </c>
      <c r="GI44" t="s">
        <v>1156</v>
      </c>
      <c r="GJ44">
        <v>1</v>
      </c>
      <c r="GK44">
        <v>1</v>
      </c>
      <c r="GL44">
        <v>0</v>
      </c>
      <c r="GM44">
        <v>0</v>
      </c>
      <c r="GN44">
        <v>0</v>
      </c>
      <c r="GO44">
        <v>0</v>
      </c>
      <c r="GP44">
        <v>0</v>
      </c>
      <c r="GQ44">
        <v>0</v>
      </c>
      <c r="GR44">
        <v>0</v>
      </c>
      <c r="GS44">
        <v>0</v>
      </c>
      <c r="GT44">
        <v>1</v>
      </c>
      <c r="GU44">
        <v>0</v>
      </c>
      <c r="GV44">
        <v>0</v>
      </c>
      <c r="GW44">
        <v>0</v>
      </c>
      <c r="GX44">
        <v>1</v>
      </c>
      <c r="GY44">
        <v>0</v>
      </c>
      <c r="GZ44">
        <v>0</v>
      </c>
      <c r="HB44" t="s">
        <v>839</v>
      </c>
    </row>
    <row r="45" spans="1:211" x14ac:dyDescent="0.35">
      <c r="A45" t="s">
        <v>1157</v>
      </c>
      <c r="B45" s="151">
        <v>45061.874548611107</v>
      </c>
      <c r="C45" t="s">
        <v>1158</v>
      </c>
      <c r="D45" t="s">
        <v>1159</v>
      </c>
      <c r="E45" t="s">
        <v>835</v>
      </c>
      <c r="F45" t="s">
        <v>1160</v>
      </c>
      <c r="G45" t="s">
        <v>1161</v>
      </c>
      <c r="H45" t="s">
        <v>839</v>
      </c>
      <c r="I45" t="s">
        <v>838</v>
      </c>
      <c r="K45" t="s">
        <v>839</v>
      </c>
      <c r="L45" t="s">
        <v>887</v>
      </c>
      <c r="O45">
        <v>121</v>
      </c>
      <c r="P45">
        <v>123</v>
      </c>
      <c r="Q45">
        <v>244</v>
      </c>
      <c r="S45" t="s">
        <v>841</v>
      </c>
      <c r="T45" t="s">
        <v>841</v>
      </c>
      <c r="U45" t="s">
        <v>841</v>
      </c>
      <c r="V45" t="s">
        <v>841</v>
      </c>
      <c r="W45" t="s">
        <v>841</v>
      </c>
      <c r="X45" t="s">
        <v>841</v>
      </c>
      <c r="Y45" t="s">
        <v>841</v>
      </c>
      <c r="Z45" t="s">
        <v>841</v>
      </c>
      <c r="AA45" t="s">
        <v>841</v>
      </c>
      <c r="AB45" t="s">
        <v>841</v>
      </c>
      <c r="AC45" t="s">
        <v>841</v>
      </c>
      <c r="AD45" t="s">
        <v>841</v>
      </c>
      <c r="AE45" t="s">
        <v>841</v>
      </c>
      <c r="AF45" t="s">
        <v>841</v>
      </c>
      <c r="AH45">
        <v>1</v>
      </c>
      <c r="AI45">
        <v>3</v>
      </c>
      <c r="AJ45">
        <v>1</v>
      </c>
      <c r="AK45">
        <v>1</v>
      </c>
      <c r="AL45">
        <v>1</v>
      </c>
      <c r="AM45">
        <v>1</v>
      </c>
      <c r="AN45">
        <v>1</v>
      </c>
      <c r="AO45">
        <v>1</v>
      </c>
      <c r="AP45">
        <v>1</v>
      </c>
      <c r="AQ45">
        <v>1</v>
      </c>
      <c r="AR45">
        <v>1</v>
      </c>
      <c r="AS45">
        <v>1</v>
      </c>
      <c r="AT45">
        <v>1</v>
      </c>
      <c r="AU45">
        <v>1</v>
      </c>
      <c r="AW45">
        <v>7</v>
      </c>
      <c r="AX45">
        <v>2</v>
      </c>
      <c r="AY45">
        <v>9</v>
      </c>
      <c r="BB45">
        <v>2</v>
      </c>
      <c r="BC45">
        <v>0</v>
      </c>
      <c r="BD45">
        <v>2</v>
      </c>
      <c r="BF45">
        <v>3</v>
      </c>
      <c r="BG45">
        <v>2</v>
      </c>
      <c r="BH45">
        <v>5</v>
      </c>
      <c r="BJ45">
        <v>1</v>
      </c>
      <c r="BK45">
        <v>7</v>
      </c>
      <c r="BL45">
        <v>8</v>
      </c>
      <c r="BP45">
        <v>7</v>
      </c>
      <c r="BQ45">
        <v>2</v>
      </c>
      <c r="BR45">
        <v>9</v>
      </c>
      <c r="BV45" t="s">
        <v>839</v>
      </c>
      <c r="BW45" t="s">
        <v>759</v>
      </c>
      <c r="BX45" t="s">
        <v>839</v>
      </c>
      <c r="BY45" t="s">
        <v>759</v>
      </c>
      <c r="BZ45" t="s">
        <v>839</v>
      </c>
      <c r="CA45" t="s">
        <v>839</v>
      </c>
      <c r="CC45" t="s">
        <v>839</v>
      </c>
      <c r="CD45" t="s">
        <v>855</v>
      </c>
      <c r="CG45">
        <v>8</v>
      </c>
      <c r="CH45">
        <v>4</v>
      </c>
      <c r="CI45">
        <v>4</v>
      </c>
      <c r="CJ45">
        <v>0</v>
      </c>
      <c r="CK45" t="s">
        <v>993</v>
      </c>
      <c r="CM45" t="s">
        <v>867</v>
      </c>
      <c r="CN45">
        <v>0</v>
      </c>
      <c r="CO45">
        <v>1</v>
      </c>
      <c r="CP45">
        <v>0</v>
      </c>
      <c r="CQ45">
        <v>0</v>
      </c>
      <c r="CR45">
        <v>0</v>
      </c>
      <c r="CS45">
        <v>0</v>
      </c>
      <c r="CU45" t="s">
        <v>868</v>
      </c>
      <c r="CV45">
        <v>1</v>
      </c>
      <c r="CW45">
        <v>0</v>
      </c>
      <c r="CX45">
        <v>1</v>
      </c>
      <c r="CY45">
        <v>0</v>
      </c>
      <c r="CZ45">
        <v>0</v>
      </c>
      <c r="DA45">
        <v>0</v>
      </c>
      <c r="DB45">
        <v>0</v>
      </c>
      <c r="DC45">
        <v>0</v>
      </c>
      <c r="DD45">
        <v>1</v>
      </c>
      <c r="DE45">
        <v>1</v>
      </c>
      <c r="DF45">
        <v>0</v>
      </c>
      <c r="DJ45">
        <v>6</v>
      </c>
      <c r="DK45">
        <v>12</v>
      </c>
      <c r="DL45">
        <v>18</v>
      </c>
      <c r="DN45">
        <v>300</v>
      </c>
      <c r="DP45">
        <v>600</v>
      </c>
      <c r="DQ45" t="s">
        <v>964</v>
      </c>
      <c r="DR45">
        <v>1</v>
      </c>
      <c r="DS45">
        <v>1</v>
      </c>
      <c r="DT45">
        <v>1</v>
      </c>
      <c r="DU45">
        <v>0</v>
      </c>
      <c r="DV45">
        <v>1</v>
      </c>
      <c r="DW45">
        <v>1</v>
      </c>
      <c r="DX45">
        <v>1</v>
      </c>
      <c r="DY45">
        <v>0</v>
      </c>
      <c r="DZ45">
        <v>0</v>
      </c>
      <c r="EB45" t="s">
        <v>839</v>
      </c>
      <c r="EC45" t="s">
        <v>869</v>
      </c>
      <c r="ED45" t="s">
        <v>848</v>
      </c>
      <c r="EI45">
        <v>120</v>
      </c>
      <c r="EM45" t="s">
        <v>841</v>
      </c>
      <c r="EO45">
        <v>150</v>
      </c>
      <c r="ES45" t="s">
        <v>841</v>
      </c>
      <c r="EZ45" t="s">
        <v>841</v>
      </c>
      <c r="FA45">
        <v>7</v>
      </c>
      <c r="FB45" t="s">
        <v>841</v>
      </c>
      <c r="FG45">
        <v>2</v>
      </c>
      <c r="FH45" t="s">
        <v>841</v>
      </c>
      <c r="FM45">
        <v>610</v>
      </c>
      <c r="FO45">
        <v>5</v>
      </c>
      <c r="FP45">
        <v>5</v>
      </c>
      <c r="FQ45">
        <v>10</v>
      </c>
      <c r="FS45" t="s">
        <v>839</v>
      </c>
      <c r="FT45" t="s">
        <v>842</v>
      </c>
      <c r="FU45" t="s">
        <v>839</v>
      </c>
      <c r="FV45" t="s">
        <v>842</v>
      </c>
      <c r="FW45" t="s">
        <v>839</v>
      </c>
      <c r="FX45" t="s">
        <v>880</v>
      </c>
      <c r="FY45" t="s">
        <v>842</v>
      </c>
      <c r="FZ45" t="s">
        <v>839</v>
      </c>
      <c r="GA45" t="s">
        <v>842</v>
      </c>
      <c r="GB45" t="s">
        <v>842</v>
      </c>
      <c r="GC45" t="s">
        <v>839</v>
      </c>
      <c r="GD45" t="s">
        <v>839</v>
      </c>
      <c r="GE45" t="s">
        <v>929</v>
      </c>
      <c r="GG45" t="s">
        <v>668</v>
      </c>
      <c r="GI45" t="s">
        <v>1112</v>
      </c>
      <c r="GJ45">
        <v>1</v>
      </c>
      <c r="GK45">
        <v>0</v>
      </c>
      <c r="GL45">
        <v>0</v>
      </c>
      <c r="GM45">
        <v>0</v>
      </c>
      <c r="GN45">
        <v>0</v>
      </c>
      <c r="GO45">
        <v>0</v>
      </c>
      <c r="GP45">
        <v>0</v>
      </c>
      <c r="GQ45">
        <v>0</v>
      </c>
      <c r="GR45">
        <v>0</v>
      </c>
      <c r="GS45">
        <v>0</v>
      </c>
      <c r="GT45">
        <v>0</v>
      </c>
      <c r="GU45">
        <v>0</v>
      </c>
      <c r="GV45">
        <v>1</v>
      </c>
      <c r="GW45">
        <v>0</v>
      </c>
      <c r="GX45">
        <v>0</v>
      </c>
      <c r="GY45">
        <v>0</v>
      </c>
      <c r="GZ45">
        <v>0</v>
      </c>
      <c r="HB45" t="s">
        <v>839</v>
      </c>
    </row>
    <row r="46" spans="1:211" x14ac:dyDescent="0.35">
      <c r="A46" t="s">
        <v>1162</v>
      </c>
      <c r="B46" s="151">
        <v>45062.351273148153</v>
      </c>
      <c r="C46" t="s">
        <v>1163</v>
      </c>
      <c r="D46" t="s">
        <v>1164</v>
      </c>
      <c r="E46" t="s">
        <v>835</v>
      </c>
      <c r="F46" t="s">
        <v>1165</v>
      </c>
      <c r="G46" t="s">
        <v>1165</v>
      </c>
      <c r="H46" t="s">
        <v>839</v>
      </c>
      <c r="I46" t="s">
        <v>896</v>
      </c>
      <c r="K46" t="s">
        <v>839</v>
      </c>
      <c r="L46" t="s">
        <v>887</v>
      </c>
      <c r="O46">
        <v>64</v>
      </c>
      <c r="P46">
        <v>86</v>
      </c>
      <c r="Q46">
        <v>150</v>
      </c>
      <c r="S46" t="s">
        <v>841</v>
      </c>
      <c r="T46" t="s">
        <v>841</v>
      </c>
      <c r="U46" t="s">
        <v>841</v>
      </c>
      <c r="V46" t="s">
        <v>841</v>
      </c>
      <c r="W46" t="s">
        <v>841</v>
      </c>
      <c r="X46" t="s">
        <v>841</v>
      </c>
      <c r="AH46">
        <v>1</v>
      </c>
      <c r="AI46">
        <v>1</v>
      </c>
      <c r="AJ46">
        <v>1</v>
      </c>
      <c r="AK46">
        <v>1</v>
      </c>
      <c r="AL46">
        <v>1</v>
      </c>
      <c r="AM46">
        <v>1</v>
      </c>
      <c r="AN46">
        <v>0</v>
      </c>
      <c r="AO46">
        <v>0</v>
      </c>
      <c r="AP46">
        <v>0</v>
      </c>
      <c r="AQ46">
        <v>0</v>
      </c>
      <c r="AR46">
        <v>0</v>
      </c>
      <c r="AS46">
        <v>0</v>
      </c>
      <c r="AT46">
        <v>0</v>
      </c>
      <c r="AU46">
        <v>0</v>
      </c>
      <c r="AZ46" t="s">
        <v>841</v>
      </c>
      <c r="BJ46">
        <v>0</v>
      </c>
      <c r="BK46">
        <v>0</v>
      </c>
      <c r="BL46">
        <v>0</v>
      </c>
      <c r="BP46">
        <v>0</v>
      </c>
      <c r="BQ46">
        <v>0</v>
      </c>
      <c r="BR46">
        <v>0</v>
      </c>
      <c r="BV46" t="s">
        <v>839</v>
      </c>
      <c r="BW46" t="s">
        <v>759</v>
      </c>
      <c r="BX46" t="s">
        <v>842</v>
      </c>
      <c r="BZ46" t="s">
        <v>839</v>
      </c>
      <c r="CA46" t="s">
        <v>839</v>
      </c>
      <c r="CC46" t="s">
        <v>839</v>
      </c>
      <c r="CD46" t="s">
        <v>855</v>
      </c>
      <c r="CG46">
        <v>3</v>
      </c>
      <c r="CH46">
        <v>0</v>
      </c>
      <c r="CI46">
        <v>0</v>
      </c>
      <c r="CJ46">
        <v>3</v>
      </c>
      <c r="CK46" t="s">
        <v>866</v>
      </c>
      <c r="CM46" t="s">
        <v>867</v>
      </c>
      <c r="CN46">
        <v>0</v>
      </c>
      <c r="CO46">
        <v>1</v>
      </c>
      <c r="CP46">
        <v>0</v>
      </c>
      <c r="CQ46">
        <v>0</v>
      </c>
      <c r="CR46">
        <v>0</v>
      </c>
      <c r="CS46">
        <v>0</v>
      </c>
      <c r="CU46" t="s">
        <v>1024</v>
      </c>
      <c r="CV46">
        <v>1</v>
      </c>
      <c r="CW46">
        <v>1</v>
      </c>
      <c r="CX46">
        <v>1</v>
      </c>
      <c r="CY46">
        <v>0</v>
      </c>
      <c r="CZ46">
        <v>0</v>
      </c>
      <c r="DA46">
        <v>0</v>
      </c>
      <c r="DB46">
        <v>0</v>
      </c>
      <c r="DC46">
        <v>0</v>
      </c>
      <c r="DD46">
        <v>1</v>
      </c>
      <c r="DE46">
        <v>1</v>
      </c>
      <c r="DF46">
        <v>0</v>
      </c>
      <c r="DJ46">
        <v>1</v>
      </c>
      <c r="DK46">
        <v>11</v>
      </c>
      <c r="DL46">
        <v>12</v>
      </c>
      <c r="DN46">
        <v>300</v>
      </c>
      <c r="DP46">
        <v>800</v>
      </c>
      <c r="DQ46" t="s">
        <v>1166</v>
      </c>
      <c r="DR46">
        <v>1</v>
      </c>
      <c r="DS46">
        <v>1</v>
      </c>
      <c r="DT46">
        <v>1</v>
      </c>
      <c r="DU46">
        <v>1</v>
      </c>
      <c r="DV46">
        <v>1</v>
      </c>
      <c r="DW46">
        <v>0</v>
      </c>
      <c r="DX46">
        <v>0</v>
      </c>
      <c r="DY46">
        <v>0</v>
      </c>
      <c r="DZ46">
        <v>0</v>
      </c>
      <c r="EB46" t="s">
        <v>839</v>
      </c>
      <c r="EC46" t="s">
        <v>1167</v>
      </c>
      <c r="ED46" t="s">
        <v>848</v>
      </c>
      <c r="EI46">
        <v>365</v>
      </c>
      <c r="EM46" t="s">
        <v>841</v>
      </c>
      <c r="EO46">
        <v>355</v>
      </c>
      <c r="ES46" t="s">
        <v>841</v>
      </c>
      <c r="EZ46" t="s">
        <v>841</v>
      </c>
      <c r="FA46">
        <v>5</v>
      </c>
      <c r="FB46" t="s">
        <v>841</v>
      </c>
      <c r="FH46" t="s">
        <v>841</v>
      </c>
      <c r="FL46" t="s">
        <v>841</v>
      </c>
      <c r="FM46">
        <v>810</v>
      </c>
      <c r="FO46">
        <v>5</v>
      </c>
      <c r="FP46">
        <v>7</v>
      </c>
      <c r="FQ46">
        <v>12</v>
      </c>
      <c r="FS46" t="s">
        <v>839</v>
      </c>
      <c r="FT46" t="s">
        <v>839</v>
      </c>
      <c r="FU46" t="s">
        <v>839</v>
      </c>
      <c r="FV46" t="s">
        <v>839</v>
      </c>
      <c r="FW46" t="s">
        <v>839</v>
      </c>
      <c r="FX46" t="s">
        <v>910</v>
      </c>
      <c r="FY46" t="s">
        <v>839</v>
      </c>
      <c r="FZ46" t="s">
        <v>839</v>
      </c>
      <c r="GA46" t="s">
        <v>839</v>
      </c>
      <c r="GB46" t="s">
        <v>839</v>
      </c>
      <c r="GC46" t="s">
        <v>839</v>
      </c>
      <c r="GD46" t="s">
        <v>839</v>
      </c>
      <c r="GE46" t="s">
        <v>881</v>
      </c>
      <c r="GG46" t="s">
        <v>839</v>
      </c>
      <c r="GI46" t="s">
        <v>849</v>
      </c>
      <c r="GJ46">
        <v>1</v>
      </c>
      <c r="GK46">
        <v>0</v>
      </c>
      <c r="GL46">
        <v>0</v>
      </c>
      <c r="GM46">
        <v>0</v>
      </c>
      <c r="GN46">
        <v>0</v>
      </c>
      <c r="GO46">
        <v>0</v>
      </c>
      <c r="GP46">
        <v>0</v>
      </c>
      <c r="GQ46">
        <v>0</v>
      </c>
      <c r="GR46">
        <v>0</v>
      </c>
      <c r="GS46">
        <v>0</v>
      </c>
      <c r="GT46">
        <v>0</v>
      </c>
      <c r="GU46">
        <v>0</v>
      </c>
      <c r="GV46">
        <v>0</v>
      </c>
      <c r="GW46">
        <v>0</v>
      </c>
      <c r="GX46">
        <v>0</v>
      </c>
      <c r="GY46">
        <v>0</v>
      </c>
      <c r="GZ46">
        <v>0</v>
      </c>
      <c r="HB46" t="s">
        <v>842</v>
      </c>
      <c r="HC46" t="s">
        <v>1168</v>
      </c>
    </row>
    <row r="47" spans="1:211" x14ac:dyDescent="0.35">
      <c r="A47" t="s">
        <v>1169</v>
      </c>
      <c r="B47" s="151">
        <v>45063.428032407413</v>
      </c>
      <c r="C47" t="s">
        <v>1170</v>
      </c>
      <c r="D47" t="s">
        <v>1171</v>
      </c>
      <c r="E47" t="s">
        <v>835</v>
      </c>
      <c r="F47" t="s">
        <v>1172</v>
      </c>
      <c r="G47" t="s">
        <v>1172</v>
      </c>
      <c r="H47" t="s">
        <v>839</v>
      </c>
      <c r="I47" t="s">
        <v>838</v>
      </c>
      <c r="K47" t="s">
        <v>839</v>
      </c>
      <c r="L47" t="s">
        <v>887</v>
      </c>
      <c r="O47">
        <v>52</v>
      </c>
      <c r="P47">
        <v>60</v>
      </c>
      <c r="Q47">
        <v>112</v>
      </c>
      <c r="S47" t="s">
        <v>841</v>
      </c>
      <c r="T47" t="s">
        <v>841</v>
      </c>
      <c r="U47" t="s">
        <v>841</v>
      </c>
      <c r="V47" t="s">
        <v>841</v>
      </c>
      <c r="W47" t="s">
        <v>841</v>
      </c>
      <c r="X47" t="s">
        <v>841</v>
      </c>
      <c r="Y47" t="s">
        <v>841</v>
      </c>
      <c r="Z47" t="s">
        <v>841</v>
      </c>
      <c r="AA47" t="s">
        <v>841</v>
      </c>
      <c r="AB47" t="s">
        <v>841</v>
      </c>
      <c r="AC47" t="s">
        <v>841</v>
      </c>
      <c r="AH47">
        <v>1</v>
      </c>
      <c r="AI47">
        <v>1</v>
      </c>
      <c r="AJ47">
        <v>1</v>
      </c>
      <c r="AK47">
        <v>1</v>
      </c>
      <c r="AL47">
        <v>1</v>
      </c>
      <c r="AM47">
        <v>1</v>
      </c>
      <c r="AN47">
        <v>1</v>
      </c>
      <c r="AO47">
        <v>1</v>
      </c>
      <c r="AP47">
        <v>1</v>
      </c>
      <c r="AQ47">
        <v>1</v>
      </c>
      <c r="AR47">
        <v>1</v>
      </c>
      <c r="AS47">
        <v>0</v>
      </c>
      <c r="AT47">
        <v>0</v>
      </c>
      <c r="AU47">
        <v>0</v>
      </c>
      <c r="AZ47" t="s">
        <v>841</v>
      </c>
      <c r="BM47" t="s">
        <v>841</v>
      </c>
      <c r="BN47" t="s">
        <v>841</v>
      </c>
      <c r="BS47" t="s">
        <v>841</v>
      </c>
      <c r="BT47" t="s">
        <v>841</v>
      </c>
      <c r="BV47" t="s">
        <v>839</v>
      </c>
      <c r="BW47" t="s">
        <v>950</v>
      </c>
      <c r="BX47" t="s">
        <v>839</v>
      </c>
      <c r="BY47" t="s">
        <v>759</v>
      </c>
      <c r="BZ47" t="s">
        <v>839</v>
      </c>
      <c r="CA47" t="s">
        <v>839</v>
      </c>
      <c r="CC47" t="s">
        <v>839</v>
      </c>
      <c r="CD47" t="s">
        <v>855</v>
      </c>
      <c r="CG47">
        <v>2</v>
      </c>
      <c r="CH47">
        <v>1</v>
      </c>
      <c r="CI47">
        <v>1</v>
      </c>
      <c r="CJ47">
        <v>0</v>
      </c>
      <c r="CK47" t="s">
        <v>856</v>
      </c>
      <c r="CM47" t="s">
        <v>844</v>
      </c>
      <c r="CN47">
        <v>1</v>
      </c>
      <c r="CO47">
        <v>0</v>
      </c>
      <c r="CP47">
        <v>0</v>
      </c>
      <c r="CQ47">
        <v>0</v>
      </c>
      <c r="CR47">
        <v>0</v>
      </c>
      <c r="CS47">
        <v>0</v>
      </c>
      <c r="CU47" t="s">
        <v>926</v>
      </c>
      <c r="CV47">
        <v>1</v>
      </c>
      <c r="CW47">
        <v>0</v>
      </c>
      <c r="CX47">
        <v>1</v>
      </c>
      <c r="CY47">
        <v>1</v>
      </c>
      <c r="CZ47">
        <v>0</v>
      </c>
      <c r="DA47">
        <v>0</v>
      </c>
      <c r="DB47">
        <v>0</v>
      </c>
      <c r="DC47">
        <v>0</v>
      </c>
      <c r="DD47">
        <v>1</v>
      </c>
      <c r="DE47">
        <v>1</v>
      </c>
      <c r="DF47">
        <v>0</v>
      </c>
      <c r="DJ47">
        <v>2</v>
      </c>
      <c r="DK47">
        <v>8</v>
      </c>
      <c r="DL47">
        <v>10</v>
      </c>
      <c r="DN47">
        <v>300</v>
      </c>
      <c r="DP47">
        <v>500</v>
      </c>
      <c r="DQ47" t="s">
        <v>681</v>
      </c>
      <c r="DR47">
        <v>0</v>
      </c>
      <c r="DS47">
        <v>0</v>
      </c>
      <c r="DT47">
        <v>0</v>
      </c>
      <c r="DU47">
        <v>0</v>
      </c>
      <c r="DV47">
        <v>0</v>
      </c>
      <c r="DW47">
        <v>0</v>
      </c>
      <c r="DX47">
        <v>0</v>
      </c>
      <c r="DY47">
        <v>0</v>
      </c>
      <c r="DZ47">
        <v>1</v>
      </c>
      <c r="EB47" t="s">
        <v>839</v>
      </c>
      <c r="EC47" t="s">
        <v>869</v>
      </c>
      <c r="ED47" t="s">
        <v>848</v>
      </c>
      <c r="EI47">
        <v>550</v>
      </c>
      <c r="EM47" t="s">
        <v>841</v>
      </c>
      <c r="EO47">
        <v>488</v>
      </c>
      <c r="ES47" t="s">
        <v>841</v>
      </c>
      <c r="EZ47" t="s">
        <v>841</v>
      </c>
      <c r="FA47">
        <v>8</v>
      </c>
      <c r="FB47" t="s">
        <v>841</v>
      </c>
      <c r="FL47" t="s">
        <v>841</v>
      </c>
      <c r="FM47">
        <v>1500</v>
      </c>
      <c r="FO47">
        <v>0</v>
      </c>
      <c r="FP47">
        <v>0</v>
      </c>
      <c r="FQ47">
        <v>0</v>
      </c>
      <c r="FS47" t="s">
        <v>839</v>
      </c>
      <c r="FT47" t="s">
        <v>839</v>
      </c>
      <c r="FU47" t="s">
        <v>839</v>
      </c>
      <c r="FV47" t="s">
        <v>839</v>
      </c>
      <c r="FW47" t="s">
        <v>839</v>
      </c>
      <c r="FX47" t="s">
        <v>890</v>
      </c>
      <c r="FY47" t="s">
        <v>839</v>
      </c>
      <c r="FZ47" t="s">
        <v>839</v>
      </c>
      <c r="GA47" t="s">
        <v>839</v>
      </c>
      <c r="GB47" t="s">
        <v>839</v>
      </c>
      <c r="GC47" t="s">
        <v>839</v>
      </c>
      <c r="GD47" t="s">
        <v>839</v>
      </c>
      <c r="GE47" t="s">
        <v>881</v>
      </c>
      <c r="GG47" t="s">
        <v>842</v>
      </c>
      <c r="GI47" t="s">
        <v>1173</v>
      </c>
      <c r="GJ47">
        <v>1</v>
      </c>
      <c r="GK47">
        <v>1</v>
      </c>
      <c r="GL47">
        <v>0</v>
      </c>
      <c r="GM47">
        <v>0</v>
      </c>
      <c r="GN47">
        <v>0</v>
      </c>
      <c r="GO47">
        <v>1</v>
      </c>
      <c r="GP47">
        <v>0</v>
      </c>
      <c r="GQ47">
        <v>0</v>
      </c>
      <c r="GR47">
        <v>0</v>
      </c>
      <c r="GS47">
        <v>0</v>
      </c>
      <c r="GT47">
        <v>0</v>
      </c>
      <c r="GU47">
        <v>1</v>
      </c>
      <c r="GV47">
        <v>0</v>
      </c>
      <c r="GW47">
        <v>1</v>
      </c>
      <c r="GX47">
        <v>1</v>
      </c>
      <c r="GY47">
        <v>0</v>
      </c>
      <c r="GZ47">
        <v>0</v>
      </c>
      <c r="HB47" t="s">
        <v>839</v>
      </c>
    </row>
    <row r="48" spans="1:211" x14ac:dyDescent="0.35">
      <c r="A48" t="s">
        <v>1174</v>
      </c>
      <c r="B48" s="151">
        <v>45064.911840277768</v>
      </c>
      <c r="C48" t="s">
        <v>1175</v>
      </c>
      <c r="D48" t="s">
        <v>1176</v>
      </c>
      <c r="E48" t="s">
        <v>875</v>
      </c>
      <c r="F48" t="s">
        <v>1177</v>
      </c>
      <c r="G48" t="s">
        <v>1178</v>
      </c>
      <c r="H48" t="s">
        <v>839</v>
      </c>
      <c r="I48" t="s">
        <v>838</v>
      </c>
      <c r="K48" t="s">
        <v>839</v>
      </c>
      <c r="L48" t="s">
        <v>887</v>
      </c>
      <c r="O48">
        <v>43</v>
      </c>
      <c r="P48">
        <v>43</v>
      </c>
      <c r="Q48">
        <v>86</v>
      </c>
      <c r="S48" t="s">
        <v>841</v>
      </c>
      <c r="T48" t="s">
        <v>841</v>
      </c>
      <c r="U48" t="s">
        <v>841</v>
      </c>
      <c r="V48" t="s">
        <v>841</v>
      </c>
      <c r="W48" t="s">
        <v>841</v>
      </c>
      <c r="X48" t="s">
        <v>841</v>
      </c>
      <c r="Y48" t="s">
        <v>841</v>
      </c>
      <c r="Z48" t="s">
        <v>841</v>
      </c>
      <c r="AH48">
        <v>1</v>
      </c>
      <c r="AI48">
        <v>1</v>
      </c>
      <c r="AJ48">
        <v>1</v>
      </c>
      <c r="AK48">
        <v>1</v>
      </c>
      <c r="AL48">
        <v>1</v>
      </c>
      <c r="AM48">
        <v>1</v>
      </c>
      <c r="AN48">
        <v>1</v>
      </c>
      <c r="AO48">
        <v>1</v>
      </c>
      <c r="AP48">
        <v>0</v>
      </c>
      <c r="AQ48">
        <v>0</v>
      </c>
      <c r="AR48">
        <v>0</v>
      </c>
      <c r="AS48">
        <v>0</v>
      </c>
      <c r="AT48">
        <v>0</v>
      </c>
      <c r="AU48">
        <v>0</v>
      </c>
      <c r="BV48" t="s">
        <v>842</v>
      </c>
      <c r="BX48" t="s">
        <v>839</v>
      </c>
      <c r="BY48" t="s">
        <v>759</v>
      </c>
      <c r="BZ48" t="s">
        <v>839</v>
      </c>
      <c r="CA48" t="s">
        <v>842</v>
      </c>
      <c r="CC48" t="s">
        <v>839</v>
      </c>
      <c r="CD48" t="s">
        <v>855</v>
      </c>
      <c r="CG48">
        <v>2</v>
      </c>
      <c r="CH48">
        <v>0</v>
      </c>
      <c r="CI48">
        <v>0</v>
      </c>
      <c r="CJ48">
        <v>2</v>
      </c>
      <c r="CK48" t="s">
        <v>866</v>
      </c>
      <c r="CM48" t="s">
        <v>867</v>
      </c>
      <c r="CN48">
        <v>0</v>
      </c>
      <c r="CO48">
        <v>1</v>
      </c>
      <c r="CP48">
        <v>0</v>
      </c>
      <c r="CQ48">
        <v>0</v>
      </c>
      <c r="CR48">
        <v>0</v>
      </c>
      <c r="CS48">
        <v>0</v>
      </c>
      <c r="CU48" t="s">
        <v>1179</v>
      </c>
      <c r="CV48">
        <v>1</v>
      </c>
      <c r="CW48">
        <v>1</v>
      </c>
      <c r="CX48">
        <v>1</v>
      </c>
      <c r="CY48">
        <v>0</v>
      </c>
      <c r="CZ48">
        <v>0</v>
      </c>
      <c r="DA48">
        <v>0</v>
      </c>
      <c r="DB48">
        <v>0</v>
      </c>
      <c r="DC48">
        <v>0</v>
      </c>
      <c r="DD48">
        <v>0</v>
      </c>
      <c r="DE48">
        <v>0</v>
      </c>
      <c r="DF48">
        <v>1</v>
      </c>
      <c r="DG48" t="s">
        <v>1180</v>
      </c>
      <c r="DJ48">
        <v>1</v>
      </c>
      <c r="DK48">
        <v>5</v>
      </c>
      <c r="DL48">
        <v>6</v>
      </c>
      <c r="DN48">
        <v>250</v>
      </c>
      <c r="DP48">
        <v>350</v>
      </c>
      <c r="DQ48" t="s">
        <v>1181</v>
      </c>
      <c r="DR48">
        <v>1</v>
      </c>
      <c r="DS48">
        <v>0</v>
      </c>
      <c r="DT48">
        <v>1</v>
      </c>
      <c r="DU48">
        <v>0</v>
      </c>
      <c r="DV48">
        <v>1</v>
      </c>
      <c r="DW48">
        <v>0</v>
      </c>
      <c r="DX48">
        <v>0</v>
      </c>
      <c r="DY48">
        <v>0</v>
      </c>
      <c r="DZ48">
        <v>0</v>
      </c>
      <c r="EB48" t="s">
        <v>842</v>
      </c>
      <c r="EC48" t="s">
        <v>847</v>
      </c>
      <c r="ED48" t="s">
        <v>848</v>
      </c>
      <c r="EN48" t="s">
        <v>841</v>
      </c>
      <c r="ET48" t="s">
        <v>841</v>
      </c>
      <c r="EZ48" t="s">
        <v>841</v>
      </c>
      <c r="FA48">
        <v>8</v>
      </c>
      <c r="FB48" t="s">
        <v>841</v>
      </c>
      <c r="FG48">
        <v>2</v>
      </c>
      <c r="FH48" t="s">
        <v>841</v>
      </c>
      <c r="FM48">
        <v>1026</v>
      </c>
      <c r="FO48">
        <v>4</v>
      </c>
      <c r="FP48">
        <v>1</v>
      </c>
      <c r="FQ48">
        <v>5</v>
      </c>
      <c r="FS48" t="s">
        <v>842</v>
      </c>
      <c r="FT48" t="s">
        <v>842</v>
      </c>
      <c r="FU48" t="s">
        <v>839</v>
      </c>
      <c r="FV48" t="s">
        <v>839</v>
      </c>
      <c r="FW48" t="s">
        <v>682</v>
      </c>
      <c r="FY48" t="s">
        <v>842</v>
      </c>
      <c r="FZ48" t="s">
        <v>839</v>
      </c>
      <c r="GA48" t="s">
        <v>839</v>
      </c>
      <c r="GB48" t="s">
        <v>842</v>
      </c>
      <c r="GC48" t="s">
        <v>842</v>
      </c>
      <c r="GD48" t="s">
        <v>842</v>
      </c>
      <c r="GG48" t="s">
        <v>668</v>
      </c>
      <c r="GI48" t="s">
        <v>1182</v>
      </c>
      <c r="GJ48">
        <v>1</v>
      </c>
      <c r="GK48">
        <v>1</v>
      </c>
      <c r="GL48">
        <v>1</v>
      </c>
      <c r="GM48">
        <v>0</v>
      </c>
      <c r="GN48">
        <v>0</v>
      </c>
      <c r="GO48">
        <v>0</v>
      </c>
      <c r="GP48">
        <v>0</v>
      </c>
      <c r="GQ48">
        <v>0</v>
      </c>
      <c r="GR48">
        <v>0</v>
      </c>
      <c r="GS48">
        <v>1</v>
      </c>
      <c r="GT48">
        <v>0</v>
      </c>
      <c r="GU48">
        <v>0</v>
      </c>
      <c r="GV48">
        <v>0</v>
      </c>
      <c r="GW48">
        <v>0</v>
      </c>
      <c r="GX48">
        <v>0</v>
      </c>
      <c r="GY48">
        <v>0</v>
      </c>
      <c r="GZ48">
        <v>0</v>
      </c>
      <c r="HB48" t="s">
        <v>839</v>
      </c>
    </row>
    <row r="49" spans="1:211" x14ac:dyDescent="0.35">
      <c r="A49" t="s">
        <v>1183</v>
      </c>
      <c r="B49" s="151">
        <v>45064.951666666668</v>
      </c>
      <c r="C49" t="s">
        <v>1184</v>
      </c>
      <c r="D49" t="s">
        <v>1185</v>
      </c>
      <c r="E49" t="s">
        <v>875</v>
      </c>
      <c r="F49" t="s">
        <v>1186</v>
      </c>
      <c r="G49" t="s">
        <v>1187</v>
      </c>
      <c r="H49" t="s">
        <v>839</v>
      </c>
      <c r="I49" t="s">
        <v>1046</v>
      </c>
      <c r="K49" t="s">
        <v>839</v>
      </c>
      <c r="L49" t="s">
        <v>887</v>
      </c>
      <c r="O49">
        <v>52</v>
      </c>
      <c r="P49">
        <v>65</v>
      </c>
      <c r="Q49">
        <v>117</v>
      </c>
      <c r="S49" t="s">
        <v>841</v>
      </c>
      <c r="T49" t="s">
        <v>841</v>
      </c>
      <c r="U49" t="s">
        <v>841</v>
      </c>
      <c r="V49" t="s">
        <v>841</v>
      </c>
      <c r="W49" t="s">
        <v>841</v>
      </c>
      <c r="X49" t="s">
        <v>841</v>
      </c>
      <c r="Y49" t="s">
        <v>841</v>
      </c>
      <c r="Z49" t="s">
        <v>841</v>
      </c>
      <c r="AA49" t="s">
        <v>841</v>
      </c>
      <c r="AB49" t="s">
        <v>841</v>
      </c>
      <c r="AC49" t="s">
        <v>841</v>
      </c>
      <c r="AD49" t="s">
        <v>841</v>
      </c>
      <c r="AE49" t="s">
        <v>841</v>
      </c>
      <c r="AF49" t="s">
        <v>841</v>
      </c>
      <c r="AH49">
        <v>0</v>
      </c>
      <c r="AI49">
        <v>0</v>
      </c>
      <c r="AJ49">
        <v>0</v>
      </c>
      <c r="AK49">
        <v>0</v>
      </c>
      <c r="AL49">
        <v>0</v>
      </c>
      <c r="AM49">
        <v>0</v>
      </c>
      <c r="AN49">
        <v>0</v>
      </c>
      <c r="AO49">
        <v>0</v>
      </c>
      <c r="AP49">
        <v>0</v>
      </c>
      <c r="AQ49">
        <v>0</v>
      </c>
      <c r="AR49">
        <v>0</v>
      </c>
      <c r="AS49">
        <v>0</v>
      </c>
      <c r="AT49">
        <v>0</v>
      </c>
      <c r="AU49">
        <v>0</v>
      </c>
      <c r="AW49">
        <v>7</v>
      </c>
      <c r="AX49">
        <v>6</v>
      </c>
      <c r="AY49">
        <v>13</v>
      </c>
      <c r="BB49">
        <v>0</v>
      </c>
      <c r="BC49">
        <v>0</v>
      </c>
      <c r="BD49">
        <v>0</v>
      </c>
      <c r="BF49">
        <v>0</v>
      </c>
      <c r="BG49">
        <v>0</v>
      </c>
      <c r="BH49">
        <v>0</v>
      </c>
      <c r="BJ49">
        <v>3</v>
      </c>
      <c r="BK49">
        <v>3</v>
      </c>
      <c r="BL49">
        <v>6</v>
      </c>
      <c r="BP49">
        <v>7</v>
      </c>
      <c r="BQ49">
        <v>6</v>
      </c>
      <c r="BR49">
        <v>13</v>
      </c>
      <c r="BV49" t="s">
        <v>842</v>
      </c>
      <c r="BX49" t="s">
        <v>839</v>
      </c>
      <c r="BY49" t="s">
        <v>759</v>
      </c>
      <c r="BZ49" t="s">
        <v>839</v>
      </c>
      <c r="CA49" t="s">
        <v>839</v>
      </c>
      <c r="CC49" t="s">
        <v>839</v>
      </c>
      <c r="CD49" t="s">
        <v>855</v>
      </c>
      <c r="CG49">
        <v>4</v>
      </c>
      <c r="CH49">
        <v>0</v>
      </c>
      <c r="CI49">
        <v>0</v>
      </c>
      <c r="CJ49">
        <v>4</v>
      </c>
      <c r="CK49" t="s">
        <v>856</v>
      </c>
      <c r="CM49" t="s">
        <v>844</v>
      </c>
      <c r="CN49">
        <v>1</v>
      </c>
      <c r="CO49">
        <v>0</v>
      </c>
      <c r="CP49">
        <v>0</v>
      </c>
      <c r="CQ49">
        <v>0</v>
      </c>
      <c r="CR49">
        <v>0</v>
      </c>
      <c r="CS49">
        <v>0</v>
      </c>
      <c r="CU49" t="s">
        <v>1188</v>
      </c>
      <c r="CV49">
        <v>1</v>
      </c>
      <c r="CW49">
        <v>0</v>
      </c>
      <c r="CX49">
        <v>1</v>
      </c>
      <c r="CY49">
        <v>1</v>
      </c>
      <c r="CZ49">
        <v>0</v>
      </c>
      <c r="DA49">
        <v>1</v>
      </c>
      <c r="DB49">
        <v>0</v>
      </c>
      <c r="DC49">
        <v>0</v>
      </c>
      <c r="DD49">
        <v>1</v>
      </c>
      <c r="DE49">
        <v>1</v>
      </c>
      <c r="DF49">
        <v>0</v>
      </c>
      <c r="DJ49">
        <v>8</v>
      </c>
      <c r="DK49">
        <v>8</v>
      </c>
      <c r="DL49">
        <v>16</v>
      </c>
      <c r="DN49">
        <v>300</v>
      </c>
      <c r="DP49">
        <v>500</v>
      </c>
      <c r="DQ49" t="s">
        <v>681</v>
      </c>
      <c r="DR49">
        <v>0</v>
      </c>
      <c r="DS49">
        <v>0</v>
      </c>
      <c r="DT49">
        <v>0</v>
      </c>
      <c r="DU49">
        <v>0</v>
      </c>
      <c r="DV49">
        <v>0</v>
      </c>
      <c r="DW49">
        <v>0</v>
      </c>
      <c r="DX49">
        <v>0</v>
      </c>
      <c r="DY49">
        <v>0</v>
      </c>
      <c r="DZ49">
        <v>1</v>
      </c>
      <c r="EB49" t="s">
        <v>839</v>
      </c>
      <c r="EC49" t="s">
        <v>847</v>
      </c>
      <c r="ED49" t="s">
        <v>848</v>
      </c>
      <c r="EI49">
        <v>400</v>
      </c>
      <c r="EM49" t="s">
        <v>841</v>
      </c>
      <c r="EO49">
        <v>450</v>
      </c>
      <c r="ES49" t="s">
        <v>841</v>
      </c>
      <c r="EU49">
        <v>0</v>
      </c>
      <c r="EZ49" t="s">
        <v>841</v>
      </c>
      <c r="FA49">
        <v>400</v>
      </c>
      <c r="FE49" t="s">
        <v>841</v>
      </c>
      <c r="FG49">
        <v>400</v>
      </c>
      <c r="FK49" t="s">
        <v>841</v>
      </c>
      <c r="FM49">
        <v>900</v>
      </c>
      <c r="FO49">
        <v>7</v>
      </c>
      <c r="FP49">
        <v>8</v>
      </c>
      <c r="FQ49">
        <v>15</v>
      </c>
      <c r="FS49" t="s">
        <v>839</v>
      </c>
      <c r="FT49" t="s">
        <v>839</v>
      </c>
      <c r="FU49" t="s">
        <v>839</v>
      </c>
      <c r="FV49" t="s">
        <v>842</v>
      </c>
      <c r="FW49" t="s">
        <v>842</v>
      </c>
      <c r="FY49" t="s">
        <v>839</v>
      </c>
      <c r="FZ49" t="s">
        <v>839</v>
      </c>
      <c r="GA49" t="s">
        <v>839</v>
      </c>
      <c r="GB49" t="s">
        <v>842</v>
      </c>
      <c r="GC49" t="s">
        <v>842</v>
      </c>
      <c r="GD49" t="s">
        <v>842</v>
      </c>
      <c r="GG49" t="s">
        <v>668</v>
      </c>
      <c r="GI49" t="s">
        <v>1189</v>
      </c>
      <c r="GJ49">
        <v>1</v>
      </c>
      <c r="GK49">
        <v>1</v>
      </c>
      <c r="GL49">
        <v>0</v>
      </c>
      <c r="GM49">
        <v>1</v>
      </c>
      <c r="GN49">
        <v>1</v>
      </c>
      <c r="GO49">
        <v>0</v>
      </c>
      <c r="GP49">
        <v>1</v>
      </c>
      <c r="GQ49">
        <v>0</v>
      </c>
      <c r="GR49">
        <v>0</v>
      </c>
      <c r="GS49">
        <v>0</v>
      </c>
      <c r="GT49">
        <v>0</v>
      </c>
      <c r="GU49">
        <v>0</v>
      </c>
      <c r="GV49">
        <v>0</v>
      </c>
      <c r="GW49">
        <v>0</v>
      </c>
      <c r="GX49">
        <v>1</v>
      </c>
      <c r="GY49">
        <v>0</v>
      </c>
      <c r="GZ49">
        <v>0</v>
      </c>
      <c r="HB49" t="s">
        <v>839</v>
      </c>
    </row>
    <row r="50" spans="1:211" x14ac:dyDescent="0.35">
      <c r="A50" t="s">
        <v>1190</v>
      </c>
      <c r="B50" s="151">
        <v>45064.963900462957</v>
      </c>
      <c r="C50" t="s">
        <v>1191</v>
      </c>
      <c r="D50" t="s">
        <v>1192</v>
      </c>
      <c r="E50" t="s">
        <v>875</v>
      </c>
      <c r="F50" t="s">
        <v>1193</v>
      </c>
      <c r="G50" t="s">
        <v>1193</v>
      </c>
      <c r="H50" t="s">
        <v>839</v>
      </c>
      <c r="I50" t="s">
        <v>838</v>
      </c>
      <c r="K50" t="s">
        <v>839</v>
      </c>
      <c r="L50" t="s">
        <v>887</v>
      </c>
      <c r="O50">
        <v>64</v>
      </c>
      <c r="P50">
        <v>57</v>
      </c>
      <c r="Q50">
        <v>121</v>
      </c>
      <c r="S50" t="s">
        <v>841</v>
      </c>
      <c r="T50" t="s">
        <v>841</v>
      </c>
      <c r="U50" t="s">
        <v>841</v>
      </c>
      <c r="V50" t="s">
        <v>841</v>
      </c>
      <c r="W50" t="s">
        <v>841</v>
      </c>
      <c r="X50" t="s">
        <v>841</v>
      </c>
      <c r="Y50" t="s">
        <v>841</v>
      </c>
      <c r="Z50" t="s">
        <v>841</v>
      </c>
      <c r="AA50" t="s">
        <v>841</v>
      </c>
      <c r="AB50" t="s">
        <v>841</v>
      </c>
      <c r="AC50" t="s">
        <v>841</v>
      </c>
      <c r="AH50">
        <v>1</v>
      </c>
      <c r="AI50">
        <v>1</v>
      </c>
      <c r="AJ50">
        <v>1</v>
      </c>
      <c r="AK50">
        <v>1</v>
      </c>
      <c r="AL50">
        <v>1</v>
      </c>
      <c r="AM50">
        <v>1</v>
      </c>
      <c r="AN50">
        <v>1</v>
      </c>
      <c r="AO50">
        <v>1</v>
      </c>
      <c r="AP50">
        <v>1</v>
      </c>
      <c r="AQ50">
        <v>1</v>
      </c>
      <c r="AR50">
        <v>1</v>
      </c>
      <c r="BV50" t="s">
        <v>839</v>
      </c>
      <c r="BW50" t="s">
        <v>759</v>
      </c>
      <c r="BX50" t="s">
        <v>839</v>
      </c>
      <c r="BY50" t="s">
        <v>759</v>
      </c>
      <c r="BZ50" t="s">
        <v>839</v>
      </c>
      <c r="CA50" t="s">
        <v>839</v>
      </c>
      <c r="CC50" t="s">
        <v>842</v>
      </c>
      <c r="CD50" t="s">
        <v>855</v>
      </c>
      <c r="CG50">
        <v>3</v>
      </c>
      <c r="CH50">
        <v>1</v>
      </c>
      <c r="CI50">
        <v>1</v>
      </c>
      <c r="CJ50">
        <v>1</v>
      </c>
      <c r="CK50" t="s">
        <v>856</v>
      </c>
      <c r="CM50" t="s">
        <v>867</v>
      </c>
      <c r="CN50">
        <v>0</v>
      </c>
      <c r="CO50">
        <v>1</v>
      </c>
      <c r="CP50">
        <v>0</v>
      </c>
      <c r="CQ50">
        <v>0</v>
      </c>
      <c r="CR50">
        <v>0</v>
      </c>
      <c r="CS50">
        <v>0</v>
      </c>
      <c r="CU50" t="s">
        <v>1194</v>
      </c>
      <c r="CV50">
        <v>1</v>
      </c>
      <c r="CW50">
        <v>0</v>
      </c>
      <c r="CX50">
        <v>1</v>
      </c>
      <c r="CY50">
        <v>0</v>
      </c>
      <c r="CZ50">
        <v>0</v>
      </c>
      <c r="DA50">
        <v>0</v>
      </c>
      <c r="DB50">
        <v>0</v>
      </c>
      <c r="DC50">
        <v>0</v>
      </c>
      <c r="DD50">
        <v>0</v>
      </c>
      <c r="DE50">
        <v>1</v>
      </c>
      <c r="DF50">
        <v>0</v>
      </c>
      <c r="DJ50">
        <v>11</v>
      </c>
      <c r="DK50">
        <v>5</v>
      </c>
      <c r="DL50">
        <v>16</v>
      </c>
      <c r="DN50">
        <v>250</v>
      </c>
      <c r="DP50">
        <v>700</v>
      </c>
      <c r="DQ50" t="s">
        <v>1195</v>
      </c>
      <c r="DR50">
        <v>0</v>
      </c>
      <c r="DS50">
        <v>0</v>
      </c>
      <c r="DT50">
        <v>1</v>
      </c>
      <c r="DU50">
        <v>0</v>
      </c>
      <c r="DV50">
        <v>0</v>
      </c>
      <c r="DW50">
        <v>1</v>
      </c>
      <c r="DX50">
        <v>1</v>
      </c>
      <c r="DY50">
        <v>0</v>
      </c>
      <c r="DZ50">
        <v>0</v>
      </c>
      <c r="EB50" t="s">
        <v>839</v>
      </c>
      <c r="EC50" t="s">
        <v>847</v>
      </c>
      <c r="ED50" t="s">
        <v>848</v>
      </c>
      <c r="EI50">
        <v>20</v>
      </c>
      <c r="EL50" t="s">
        <v>841</v>
      </c>
      <c r="EO50">
        <v>25</v>
      </c>
      <c r="ER50" t="s">
        <v>841</v>
      </c>
      <c r="EZ50" t="s">
        <v>841</v>
      </c>
      <c r="FA50">
        <v>4</v>
      </c>
      <c r="FB50" t="s">
        <v>841</v>
      </c>
      <c r="FL50" t="s">
        <v>841</v>
      </c>
      <c r="FM50">
        <v>800</v>
      </c>
      <c r="FO50">
        <v>9</v>
      </c>
      <c r="FP50">
        <v>11</v>
      </c>
      <c r="FQ50">
        <v>20</v>
      </c>
      <c r="FS50" t="s">
        <v>839</v>
      </c>
      <c r="FT50" t="s">
        <v>839</v>
      </c>
      <c r="FU50" t="s">
        <v>839</v>
      </c>
      <c r="FV50" t="s">
        <v>839</v>
      </c>
      <c r="FW50" t="s">
        <v>839</v>
      </c>
      <c r="FX50" t="s">
        <v>890</v>
      </c>
      <c r="FY50" t="s">
        <v>839</v>
      </c>
      <c r="FZ50" t="s">
        <v>839</v>
      </c>
      <c r="GA50" t="s">
        <v>839</v>
      </c>
      <c r="GB50" t="s">
        <v>839</v>
      </c>
      <c r="GC50" t="s">
        <v>839</v>
      </c>
      <c r="GD50" t="s">
        <v>839</v>
      </c>
      <c r="GE50" t="s">
        <v>881</v>
      </c>
      <c r="GG50" t="s">
        <v>839</v>
      </c>
      <c r="GI50" t="s">
        <v>1196</v>
      </c>
      <c r="GJ50">
        <v>0</v>
      </c>
      <c r="GK50">
        <v>0</v>
      </c>
      <c r="GL50">
        <v>0</v>
      </c>
      <c r="GM50">
        <v>0</v>
      </c>
      <c r="GN50">
        <v>0</v>
      </c>
      <c r="GO50">
        <v>1</v>
      </c>
      <c r="GP50">
        <v>0</v>
      </c>
      <c r="GQ50">
        <v>0</v>
      </c>
      <c r="GR50">
        <v>0</v>
      </c>
      <c r="GS50">
        <v>0</v>
      </c>
      <c r="GT50">
        <v>0</v>
      </c>
      <c r="GU50">
        <v>0</v>
      </c>
      <c r="GV50">
        <v>0</v>
      </c>
      <c r="GW50">
        <v>0</v>
      </c>
      <c r="GX50">
        <v>0</v>
      </c>
      <c r="GY50">
        <v>0</v>
      </c>
      <c r="GZ50">
        <v>0</v>
      </c>
      <c r="HB50" t="s">
        <v>839</v>
      </c>
    </row>
    <row r="51" spans="1:211" x14ac:dyDescent="0.35">
      <c r="A51" t="s">
        <v>1197</v>
      </c>
      <c r="B51" s="151">
        <v>45066.854814814818</v>
      </c>
      <c r="C51" t="s">
        <v>1198</v>
      </c>
      <c r="D51" t="s">
        <v>1199</v>
      </c>
      <c r="E51" t="s">
        <v>835</v>
      </c>
      <c r="F51" t="s">
        <v>1200</v>
      </c>
      <c r="G51" t="s">
        <v>1200</v>
      </c>
      <c r="H51" t="s">
        <v>839</v>
      </c>
      <c r="I51" t="s">
        <v>838</v>
      </c>
      <c r="K51" t="s">
        <v>839</v>
      </c>
      <c r="L51" t="s">
        <v>887</v>
      </c>
      <c r="O51">
        <v>183</v>
      </c>
      <c r="P51">
        <v>176</v>
      </c>
      <c r="Q51">
        <v>359</v>
      </c>
      <c r="S51" t="s">
        <v>841</v>
      </c>
      <c r="T51" t="s">
        <v>841</v>
      </c>
      <c r="U51" t="s">
        <v>841</v>
      </c>
      <c r="V51" t="s">
        <v>841</v>
      </c>
      <c r="W51" t="s">
        <v>841</v>
      </c>
      <c r="X51" t="s">
        <v>841</v>
      </c>
      <c r="Y51" t="s">
        <v>841</v>
      </c>
      <c r="Z51" t="s">
        <v>841</v>
      </c>
      <c r="AA51" t="s">
        <v>841</v>
      </c>
      <c r="AB51" t="s">
        <v>841</v>
      </c>
      <c r="AH51">
        <v>1</v>
      </c>
      <c r="AI51">
        <v>1</v>
      </c>
      <c r="AJ51">
        <v>1</v>
      </c>
      <c r="AK51">
        <v>1</v>
      </c>
      <c r="AL51">
        <v>1</v>
      </c>
      <c r="AM51">
        <v>1</v>
      </c>
      <c r="AN51">
        <v>1</v>
      </c>
      <c r="AO51">
        <v>1</v>
      </c>
      <c r="AP51">
        <v>1</v>
      </c>
      <c r="BV51" t="s">
        <v>842</v>
      </c>
      <c r="BX51" t="s">
        <v>839</v>
      </c>
      <c r="BY51" t="s">
        <v>759</v>
      </c>
      <c r="BZ51" t="s">
        <v>839</v>
      </c>
      <c r="CA51" t="s">
        <v>839</v>
      </c>
      <c r="CC51" t="s">
        <v>839</v>
      </c>
      <c r="CD51" t="s">
        <v>855</v>
      </c>
      <c r="CG51">
        <v>6</v>
      </c>
      <c r="CH51">
        <v>3</v>
      </c>
      <c r="CI51">
        <v>3</v>
      </c>
      <c r="CJ51">
        <v>0</v>
      </c>
      <c r="CK51" t="s">
        <v>856</v>
      </c>
      <c r="CM51" t="s">
        <v>867</v>
      </c>
      <c r="CN51">
        <v>0</v>
      </c>
      <c r="CO51">
        <v>1</v>
      </c>
      <c r="CP51">
        <v>0</v>
      </c>
      <c r="CQ51">
        <v>0</v>
      </c>
      <c r="CR51">
        <v>0</v>
      </c>
      <c r="CS51">
        <v>0</v>
      </c>
      <c r="CU51" t="s">
        <v>926</v>
      </c>
      <c r="CV51">
        <v>1</v>
      </c>
      <c r="CW51">
        <v>0</v>
      </c>
      <c r="CX51">
        <v>1</v>
      </c>
      <c r="CY51">
        <v>1</v>
      </c>
      <c r="CZ51">
        <v>0</v>
      </c>
      <c r="DA51">
        <v>0</v>
      </c>
      <c r="DB51">
        <v>0</v>
      </c>
      <c r="DC51">
        <v>0</v>
      </c>
      <c r="DD51">
        <v>1</v>
      </c>
      <c r="DE51">
        <v>1</v>
      </c>
      <c r="DF51">
        <v>0</v>
      </c>
      <c r="DJ51">
        <v>4</v>
      </c>
      <c r="DK51">
        <v>13</v>
      </c>
      <c r="DL51">
        <v>17</v>
      </c>
      <c r="DN51">
        <v>200</v>
      </c>
      <c r="DP51">
        <v>550</v>
      </c>
      <c r="DQ51" t="s">
        <v>1070</v>
      </c>
      <c r="DR51">
        <v>1</v>
      </c>
      <c r="DS51">
        <v>1</v>
      </c>
      <c r="DT51">
        <v>0</v>
      </c>
      <c r="DU51">
        <v>0</v>
      </c>
      <c r="DV51">
        <v>0</v>
      </c>
      <c r="DW51">
        <v>0</v>
      </c>
      <c r="DX51">
        <v>0</v>
      </c>
      <c r="DY51">
        <v>0</v>
      </c>
      <c r="DZ51">
        <v>0</v>
      </c>
      <c r="EB51" t="s">
        <v>839</v>
      </c>
      <c r="EC51" t="s">
        <v>847</v>
      </c>
      <c r="ED51" t="s">
        <v>848</v>
      </c>
      <c r="EI51">
        <v>400</v>
      </c>
      <c r="EM51" t="s">
        <v>841</v>
      </c>
      <c r="EO51">
        <v>400</v>
      </c>
      <c r="ES51" t="s">
        <v>841</v>
      </c>
      <c r="EZ51" t="s">
        <v>841</v>
      </c>
      <c r="FA51">
        <v>7</v>
      </c>
      <c r="FB51" t="s">
        <v>841</v>
      </c>
      <c r="FL51" t="s">
        <v>841</v>
      </c>
      <c r="FM51">
        <v>350</v>
      </c>
      <c r="FO51">
        <v>0</v>
      </c>
      <c r="FP51">
        <v>0</v>
      </c>
      <c r="FQ51">
        <v>0</v>
      </c>
      <c r="FS51" t="s">
        <v>839</v>
      </c>
      <c r="FT51" t="s">
        <v>839</v>
      </c>
      <c r="FU51" t="s">
        <v>839</v>
      </c>
      <c r="FV51" t="s">
        <v>839</v>
      </c>
      <c r="FW51" t="s">
        <v>839</v>
      </c>
      <c r="FX51" t="s">
        <v>890</v>
      </c>
      <c r="FY51" t="s">
        <v>839</v>
      </c>
      <c r="FZ51" t="s">
        <v>839</v>
      </c>
      <c r="GA51" t="s">
        <v>839</v>
      </c>
      <c r="GB51" t="s">
        <v>842</v>
      </c>
      <c r="GC51" t="s">
        <v>842</v>
      </c>
      <c r="GD51" t="s">
        <v>839</v>
      </c>
      <c r="GE51" t="s">
        <v>929</v>
      </c>
      <c r="GG51" t="s">
        <v>842</v>
      </c>
      <c r="GI51" t="s">
        <v>1201</v>
      </c>
      <c r="GJ51">
        <v>0</v>
      </c>
      <c r="GK51">
        <v>0</v>
      </c>
      <c r="GL51">
        <v>0</v>
      </c>
      <c r="GM51">
        <v>0</v>
      </c>
      <c r="GN51">
        <v>0</v>
      </c>
      <c r="GO51">
        <v>1</v>
      </c>
      <c r="GP51">
        <v>0</v>
      </c>
      <c r="GQ51">
        <v>1</v>
      </c>
      <c r="GR51">
        <v>0</v>
      </c>
      <c r="GS51">
        <v>0</v>
      </c>
      <c r="GT51">
        <v>0</v>
      </c>
      <c r="GU51">
        <v>0</v>
      </c>
      <c r="GV51">
        <v>0</v>
      </c>
      <c r="GW51">
        <v>0</v>
      </c>
      <c r="GX51">
        <v>0</v>
      </c>
      <c r="GY51">
        <v>0</v>
      </c>
      <c r="GZ51">
        <v>0</v>
      </c>
      <c r="HB51" t="s">
        <v>839</v>
      </c>
    </row>
    <row r="52" spans="1:211" x14ac:dyDescent="0.35">
      <c r="A52" t="s">
        <v>1202</v>
      </c>
      <c r="B52" s="151">
        <v>45068.521296296298</v>
      </c>
      <c r="C52" t="s">
        <v>1203</v>
      </c>
      <c r="D52" t="s">
        <v>1204</v>
      </c>
      <c r="E52" t="s">
        <v>875</v>
      </c>
      <c r="F52" t="s">
        <v>1205</v>
      </c>
      <c r="G52" t="s">
        <v>1205</v>
      </c>
      <c r="H52" t="s">
        <v>839</v>
      </c>
      <c r="I52" t="s">
        <v>838</v>
      </c>
      <c r="K52" t="s">
        <v>839</v>
      </c>
      <c r="L52" t="s">
        <v>887</v>
      </c>
      <c r="O52">
        <v>20</v>
      </c>
      <c r="P52">
        <v>26</v>
      </c>
      <c r="Q52">
        <v>46</v>
      </c>
      <c r="T52" t="s">
        <v>841</v>
      </c>
      <c r="U52" t="s">
        <v>841</v>
      </c>
      <c r="V52" t="s">
        <v>841</v>
      </c>
      <c r="W52" t="s">
        <v>841</v>
      </c>
      <c r="X52" t="s">
        <v>841</v>
      </c>
      <c r="Z52" t="s">
        <v>841</v>
      </c>
      <c r="AA52" t="s">
        <v>841</v>
      </c>
      <c r="AC52" t="s">
        <v>841</v>
      </c>
      <c r="AI52">
        <v>1</v>
      </c>
      <c r="AJ52">
        <v>1</v>
      </c>
      <c r="AK52">
        <v>1</v>
      </c>
      <c r="AL52">
        <v>1</v>
      </c>
      <c r="AM52">
        <v>1</v>
      </c>
      <c r="AN52">
        <v>2</v>
      </c>
      <c r="AP52">
        <v>1</v>
      </c>
      <c r="AR52">
        <v>1</v>
      </c>
      <c r="BV52" t="s">
        <v>842</v>
      </c>
      <c r="BX52" t="s">
        <v>839</v>
      </c>
      <c r="BY52" t="s">
        <v>759</v>
      </c>
      <c r="BZ52" t="s">
        <v>839</v>
      </c>
      <c r="CA52" t="s">
        <v>839</v>
      </c>
      <c r="CC52" t="s">
        <v>839</v>
      </c>
      <c r="CD52" t="s">
        <v>855</v>
      </c>
      <c r="CG52">
        <v>3</v>
      </c>
      <c r="CH52">
        <v>1</v>
      </c>
      <c r="CI52">
        <v>1</v>
      </c>
      <c r="CJ52">
        <v>1</v>
      </c>
      <c r="CK52" t="s">
        <v>877</v>
      </c>
      <c r="CM52" t="s">
        <v>844</v>
      </c>
      <c r="CN52">
        <v>1</v>
      </c>
      <c r="CO52">
        <v>0</v>
      </c>
      <c r="CP52">
        <v>0</v>
      </c>
      <c r="CQ52">
        <v>0</v>
      </c>
      <c r="CR52">
        <v>0</v>
      </c>
      <c r="CS52">
        <v>0</v>
      </c>
      <c r="CU52" t="s">
        <v>1206</v>
      </c>
      <c r="CV52">
        <v>1</v>
      </c>
      <c r="CW52">
        <v>1</v>
      </c>
      <c r="CX52">
        <v>1</v>
      </c>
      <c r="CY52">
        <v>0</v>
      </c>
      <c r="CZ52">
        <v>0</v>
      </c>
      <c r="DA52">
        <v>0</v>
      </c>
      <c r="DB52">
        <v>0</v>
      </c>
      <c r="DC52">
        <v>0</v>
      </c>
      <c r="DD52">
        <v>0</v>
      </c>
      <c r="DE52">
        <v>1</v>
      </c>
      <c r="DF52">
        <v>0</v>
      </c>
      <c r="DJ52">
        <v>2</v>
      </c>
      <c r="DK52">
        <v>3</v>
      </c>
      <c r="DL52">
        <v>5</v>
      </c>
      <c r="DN52">
        <v>300</v>
      </c>
      <c r="DP52">
        <v>800</v>
      </c>
      <c r="DQ52" t="s">
        <v>879</v>
      </c>
      <c r="DR52">
        <v>1</v>
      </c>
      <c r="DS52">
        <v>0</v>
      </c>
      <c r="DT52">
        <v>0</v>
      </c>
      <c r="DU52">
        <v>0</v>
      </c>
      <c r="DV52">
        <v>1</v>
      </c>
      <c r="DW52">
        <v>0</v>
      </c>
      <c r="DX52">
        <v>0</v>
      </c>
      <c r="DY52">
        <v>0</v>
      </c>
      <c r="DZ52">
        <v>0</v>
      </c>
      <c r="EB52" t="s">
        <v>839</v>
      </c>
      <c r="EC52" t="s">
        <v>847</v>
      </c>
      <c r="ED52" t="s">
        <v>848</v>
      </c>
      <c r="EI52">
        <v>130</v>
      </c>
      <c r="EM52" t="s">
        <v>841</v>
      </c>
      <c r="EO52">
        <v>140</v>
      </c>
      <c r="ES52" t="s">
        <v>841</v>
      </c>
      <c r="EU52">
        <v>250</v>
      </c>
      <c r="EY52" t="s">
        <v>841</v>
      </c>
      <c r="FA52">
        <v>4</v>
      </c>
      <c r="FB52" t="s">
        <v>841</v>
      </c>
      <c r="FG52">
        <v>4</v>
      </c>
      <c r="FH52" t="s">
        <v>841</v>
      </c>
      <c r="FM52">
        <v>800</v>
      </c>
      <c r="FO52">
        <v>0</v>
      </c>
      <c r="FP52">
        <v>0</v>
      </c>
      <c r="FQ52">
        <v>0</v>
      </c>
      <c r="FS52" t="s">
        <v>839</v>
      </c>
      <c r="FT52" t="s">
        <v>839</v>
      </c>
      <c r="FU52" t="s">
        <v>839</v>
      </c>
      <c r="FV52" t="s">
        <v>839</v>
      </c>
      <c r="FW52" t="s">
        <v>839</v>
      </c>
      <c r="FX52" t="s">
        <v>890</v>
      </c>
      <c r="FY52" t="s">
        <v>839</v>
      </c>
      <c r="FZ52" t="s">
        <v>839</v>
      </c>
      <c r="GA52" t="s">
        <v>842</v>
      </c>
      <c r="GB52" t="s">
        <v>842</v>
      </c>
      <c r="GC52" t="s">
        <v>842</v>
      </c>
      <c r="GD52" t="s">
        <v>839</v>
      </c>
      <c r="GE52" t="s">
        <v>881</v>
      </c>
      <c r="GG52" t="s">
        <v>842</v>
      </c>
      <c r="GI52" t="s">
        <v>938</v>
      </c>
      <c r="GJ52">
        <v>0</v>
      </c>
      <c r="GK52">
        <v>0</v>
      </c>
      <c r="GL52">
        <v>0</v>
      </c>
      <c r="GM52">
        <v>0</v>
      </c>
      <c r="GN52">
        <v>0</v>
      </c>
      <c r="GO52">
        <v>1</v>
      </c>
      <c r="GP52">
        <v>0</v>
      </c>
      <c r="GQ52">
        <v>0</v>
      </c>
      <c r="GR52">
        <v>0</v>
      </c>
      <c r="GS52">
        <v>0</v>
      </c>
      <c r="GT52">
        <v>0</v>
      </c>
      <c r="GU52">
        <v>0</v>
      </c>
      <c r="GV52">
        <v>0</v>
      </c>
      <c r="GW52">
        <v>1</v>
      </c>
      <c r="GX52">
        <v>0</v>
      </c>
      <c r="GY52">
        <v>0</v>
      </c>
      <c r="GZ52">
        <v>0</v>
      </c>
      <c r="HB52" t="s">
        <v>839</v>
      </c>
    </row>
    <row r="53" spans="1:211" x14ac:dyDescent="0.35">
      <c r="A53" t="s">
        <v>1207</v>
      </c>
      <c r="B53" s="151">
        <v>45068.53564814815</v>
      </c>
      <c r="C53" t="s">
        <v>1208</v>
      </c>
      <c r="D53" t="s">
        <v>1209</v>
      </c>
      <c r="E53" t="s">
        <v>875</v>
      </c>
      <c r="F53" t="s">
        <v>1210</v>
      </c>
      <c r="G53" t="s">
        <v>1210</v>
      </c>
      <c r="H53" t="s">
        <v>839</v>
      </c>
      <c r="I53" t="s">
        <v>896</v>
      </c>
      <c r="K53" t="s">
        <v>839</v>
      </c>
      <c r="L53" t="s">
        <v>887</v>
      </c>
      <c r="O53">
        <v>49</v>
      </c>
      <c r="P53">
        <v>35</v>
      </c>
      <c r="Q53">
        <v>84</v>
      </c>
      <c r="S53" t="s">
        <v>841</v>
      </c>
      <c r="T53" t="s">
        <v>841</v>
      </c>
      <c r="U53" t="s">
        <v>841</v>
      </c>
      <c r="W53" t="s">
        <v>841</v>
      </c>
      <c r="X53" t="s">
        <v>841</v>
      </c>
      <c r="Y53" t="s">
        <v>841</v>
      </c>
      <c r="Z53" t="s">
        <v>841</v>
      </c>
      <c r="AH53">
        <v>1</v>
      </c>
      <c r="AI53">
        <v>1</v>
      </c>
      <c r="AJ53">
        <v>1</v>
      </c>
      <c r="AK53">
        <v>1</v>
      </c>
      <c r="AL53">
        <v>1</v>
      </c>
      <c r="AM53">
        <v>1</v>
      </c>
      <c r="AN53">
        <v>1</v>
      </c>
      <c r="AO53">
        <v>1</v>
      </c>
      <c r="AZ53" t="s">
        <v>841</v>
      </c>
      <c r="BM53" t="s">
        <v>841</v>
      </c>
      <c r="BS53" t="s">
        <v>841</v>
      </c>
      <c r="BV53" t="s">
        <v>839</v>
      </c>
      <c r="BW53" t="s">
        <v>759</v>
      </c>
      <c r="BX53" t="s">
        <v>839</v>
      </c>
      <c r="BY53" t="s">
        <v>759</v>
      </c>
      <c r="BZ53" t="s">
        <v>839</v>
      </c>
      <c r="CA53" t="s">
        <v>839</v>
      </c>
      <c r="CC53" t="s">
        <v>839</v>
      </c>
      <c r="CD53" t="s">
        <v>855</v>
      </c>
      <c r="CG53">
        <v>3</v>
      </c>
      <c r="CH53">
        <v>1</v>
      </c>
      <c r="CI53">
        <v>1</v>
      </c>
      <c r="CJ53">
        <v>1</v>
      </c>
      <c r="CK53" t="s">
        <v>681</v>
      </c>
      <c r="CM53" t="s">
        <v>844</v>
      </c>
      <c r="CN53">
        <v>1</v>
      </c>
      <c r="CO53">
        <v>0</v>
      </c>
      <c r="CP53">
        <v>0</v>
      </c>
      <c r="CQ53">
        <v>0</v>
      </c>
      <c r="CR53">
        <v>0</v>
      </c>
      <c r="CS53">
        <v>0</v>
      </c>
      <c r="CU53" t="s">
        <v>1024</v>
      </c>
      <c r="CV53">
        <v>1</v>
      </c>
      <c r="CW53">
        <v>1</v>
      </c>
      <c r="CX53">
        <v>1</v>
      </c>
      <c r="CY53">
        <v>0</v>
      </c>
      <c r="CZ53">
        <v>0</v>
      </c>
      <c r="DA53">
        <v>0</v>
      </c>
      <c r="DB53">
        <v>0</v>
      </c>
      <c r="DC53">
        <v>0</v>
      </c>
      <c r="DD53">
        <v>1</v>
      </c>
      <c r="DE53">
        <v>1</v>
      </c>
      <c r="DF53">
        <v>0</v>
      </c>
      <c r="DJ53">
        <v>3</v>
      </c>
      <c r="DK53">
        <v>6</v>
      </c>
      <c r="DL53">
        <v>9</v>
      </c>
      <c r="DN53">
        <v>400</v>
      </c>
      <c r="DP53">
        <v>700</v>
      </c>
      <c r="DQ53" t="s">
        <v>927</v>
      </c>
      <c r="DR53">
        <v>1</v>
      </c>
      <c r="DS53">
        <v>0</v>
      </c>
      <c r="DT53">
        <v>1</v>
      </c>
      <c r="DU53">
        <v>0</v>
      </c>
      <c r="DV53">
        <v>0</v>
      </c>
      <c r="DW53">
        <v>0</v>
      </c>
      <c r="DX53">
        <v>0</v>
      </c>
      <c r="DY53">
        <v>0</v>
      </c>
      <c r="DZ53">
        <v>0</v>
      </c>
      <c r="EB53" t="s">
        <v>839</v>
      </c>
      <c r="EC53" t="s">
        <v>847</v>
      </c>
      <c r="ED53" t="s">
        <v>848</v>
      </c>
      <c r="EI53">
        <v>150</v>
      </c>
      <c r="EJ53" t="s">
        <v>841</v>
      </c>
      <c r="EO53">
        <v>150</v>
      </c>
      <c r="EP53" t="s">
        <v>841</v>
      </c>
      <c r="EU53">
        <v>200</v>
      </c>
      <c r="EV53" t="s">
        <v>841</v>
      </c>
      <c r="FA53">
        <v>6</v>
      </c>
      <c r="FB53" t="s">
        <v>841</v>
      </c>
      <c r="FG53">
        <v>6</v>
      </c>
      <c r="FH53" t="s">
        <v>841</v>
      </c>
      <c r="FM53">
        <v>470</v>
      </c>
      <c r="FO53">
        <v>0</v>
      </c>
      <c r="FP53">
        <v>0</v>
      </c>
      <c r="FQ53">
        <v>0</v>
      </c>
      <c r="FS53" t="s">
        <v>839</v>
      </c>
      <c r="FT53" t="s">
        <v>839</v>
      </c>
      <c r="FU53" t="s">
        <v>839</v>
      </c>
      <c r="FV53" t="s">
        <v>839</v>
      </c>
      <c r="FW53" t="s">
        <v>839</v>
      </c>
      <c r="FX53" t="s">
        <v>965</v>
      </c>
      <c r="FY53" t="s">
        <v>839</v>
      </c>
      <c r="FZ53" t="s">
        <v>839</v>
      </c>
      <c r="GA53" t="s">
        <v>842</v>
      </c>
      <c r="GB53" t="s">
        <v>839</v>
      </c>
      <c r="GC53" t="s">
        <v>842</v>
      </c>
      <c r="GD53" t="s">
        <v>839</v>
      </c>
      <c r="GE53" t="s">
        <v>929</v>
      </c>
      <c r="GG53" t="s">
        <v>668</v>
      </c>
      <c r="GI53" t="s">
        <v>1211</v>
      </c>
      <c r="GJ53">
        <v>1</v>
      </c>
      <c r="GK53">
        <v>0</v>
      </c>
      <c r="GL53">
        <v>1</v>
      </c>
      <c r="GM53">
        <v>0</v>
      </c>
      <c r="GN53">
        <v>0</v>
      </c>
      <c r="GO53">
        <v>1</v>
      </c>
      <c r="GP53">
        <v>0</v>
      </c>
      <c r="GQ53">
        <v>0</v>
      </c>
      <c r="GR53">
        <v>0</v>
      </c>
      <c r="GS53">
        <v>1</v>
      </c>
      <c r="GT53">
        <v>0</v>
      </c>
      <c r="GU53">
        <v>0</v>
      </c>
      <c r="GV53">
        <v>0</v>
      </c>
      <c r="GW53">
        <v>1</v>
      </c>
      <c r="GX53">
        <v>1</v>
      </c>
      <c r="GY53">
        <v>0</v>
      </c>
      <c r="GZ53">
        <v>0</v>
      </c>
      <c r="HB53" t="s">
        <v>839</v>
      </c>
    </row>
    <row r="54" spans="1:211" x14ac:dyDescent="0.35">
      <c r="A54" t="s">
        <v>1212</v>
      </c>
      <c r="B54" s="151">
        <v>45068.573842592603</v>
      </c>
      <c r="C54" t="s">
        <v>1213</v>
      </c>
      <c r="D54" t="s">
        <v>1214</v>
      </c>
      <c r="E54" t="s">
        <v>875</v>
      </c>
      <c r="F54" t="s">
        <v>1215</v>
      </c>
      <c r="G54" t="s">
        <v>1216</v>
      </c>
      <c r="H54" t="s">
        <v>839</v>
      </c>
      <c r="I54" t="s">
        <v>896</v>
      </c>
      <c r="K54" t="s">
        <v>839</v>
      </c>
      <c r="L54" t="s">
        <v>887</v>
      </c>
      <c r="O54">
        <v>80</v>
      </c>
      <c r="P54">
        <v>120</v>
      </c>
      <c r="Q54">
        <v>200</v>
      </c>
      <c r="S54" t="s">
        <v>841</v>
      </c>
      <c r="T54" t="s">
        <v>841</v>
      </c>
      <c r="U54" t="s">
        <v>841</v>
      </c>
      <c r="V54" t="s">
        <v>841</v>
      </c>
      <c r="W54" t="s">
        <v>841</v>
      </c>
      <c r="X54" t="s">
        <v>841</v>
      </c>
      <c r="Y54" t="s">
        <v>841</v>
      </c>
      <c r="Z54" t="s">
        <v>841</v>
      </c>
      <c r="AA54" t="s">
        <v>841</v>
      </c>
      <c r="AB54" t="s">
        <v>841</v>
      </c>
      <c r="AC54" t="s">
        <v>841</v>
      </c>
      <c r="AD54" t="s">
        <v>841</v>
      </c>
      <c r="AH54">
        <v>1</v>
      </c>
      <c r="AI54">
        <v>1</v>
      </c>
      <c r="AJ54">
        <v>1</v>
      </c>
      <c r="AK54">
        <v>1</v>
      </c>
      <c r="AL54">
        <v>1</v>
      </c>
      <c r="AM54">
        <v>1</v>
      </c>
      <c r="AN54">
        <v>1</v>
      </c>
      <c r="AO54">
        <v>1</v>
      </c>
      <c r="AP54">
        <v>1</v>
      </c>
      <c r="AQ54">
        <v>1</v>
      </c>
      <c r="AR54">
        <v>1</v>
      </c>
      <c r="AS54">
        <v>1</v>
      </c>
      <c r="AZ54" t="s">
        <v>841</v>
      </c>
      <c r="BJ54">
        <v>3</v>
      </c>
      <c r="BK54">
        <v>3</v>
      </c>
      <c r="BL54">
        <v>6</v>
      </c>
      <c r="BS54" t="s">
        <v>841</v>
      </c>
      <c r="BV54" t="s">
        <v>839</v>
      </c>
      <c r="BW54" t="s">
        <v>950</v>
      </c>
      <c r="BX54" t="s">
        <v>839</v>
      </c>
      <c r="BY54" t="s">
        <v>950</v>
      </c>
      <c r="BZ54" t="s">
        <v>839</v>
      </c>
      <c r="CA54" t="s">
        <v>839</v>
      </c>
      <c r="CC54" t="s">
        <v>839</v>
      </c>
      <c r="CD54" t="s">
        <v>855</v>
      </c>
      <c r="CG54">
        <v>14</v>
      </c>
      <c r="CH54">
        <v>7</v>
      </c>
      <c r="CI54">
        <v>7</v>
      </c>
      <c r="CJ54">
        <v>0</v>
      </c>
      <c r="CK54" t="s">
        <v>877</v>
      </c>
      <c r="CM54" t="s">
        <v>867</v>
      </c>
      <c r="CN54">
        <v>0</v>
      </c>
      <c r="CO54">
        <v>1</v>
      </c>
      <c r="CP54">
        <v>0</v>
      </c>
      <c r="CQ54">
        <v>0</v>
      </c>
      <c r="CR54">
        <v>0</v>
      </c>
      <c r="CS54">
        <v>0</v>
      </c>
      <c r="CU54" t="s">
        <v>1217</v>
      </c>
      <c r="CV54">
        <v>1</v>
      </c>
      <c r="CW54">
        <v>1</v>
      </c>
      <c r="CX54">
        <v>1</v>
      </c>
      <c r="CY54">
        <v>1</v>
      </c>
      <c r="CZ54">
        <v>0</v>
      </c>
      <c r="DA54">
        <v>1</v>
      </c>
      <c r="DB54">
        <v>1</v>
      </c>
      <c r="DC54">
        <v>1</v>
      </c>
      <c r="DD54">
        <v>1</v>
      </c>
      <c r="DE54">
        <v>1</v>
      </c>
      <c r="DF54">
        <v>0</v>
      </c>
      <c r="DJ54">
        <v>7</v>
      </c>
      <c r="DK54">
        <v>9</v>
      </c>
      <c r="DL54">
        <v>16</v>
      </c>
      <c r="DN54">
        <v>350</v>
      </c>
      <c r="DP54">
        <v>1200</v>
      </c>
      <c r="DQ54" t="s">
        <v>995</v>
      </c>
      <c r="DR54">
        <v>1</v>
      </c>
      <c r="DS54">
        <v>1</v>
      </c>
      <c r="DT54">
        <v>1</v>
      </c>
      <c r="DU54">
        <v>0</v>
      </c>
      <c r="DV54">
        <v>0</v>
      </c>
      <c r="DW54">
        <v>0</v>
      </c>
      <c r="DX54">
        <v>0</v>
      </c>
      <c r="DY54">
        <v>0</v>
      </c>
      <c r="DZ54">
        <v>0</v>
      </c>
      <c r="EB54" t="s">
        <v>839</v>
      </c>
      <c r="EC54" t="s">
        <v>957</v>
      </c>
      <c r="ED54" t="s">
        <v>848</v>
      </c>
      <c r="EI54">
        <v>350</v>
      </c>
      <c r="EM54" t="s">
        <v>841</v>
      </c>
      <c r="EO54">
        <v>350</v>
      </c>
      <c r="ES54" t="s">
        <v>841</v>
      </c>
      <c r="EU54">
        <v>350</v>
      </c>
      <c r="EY54" t="s">
        <v>841</v>
      </c>
      <c r="FA54">
        <v>5</v>
      </c>
      <c r="FB54" t="s">
        <v>841</v>
      </c>
      <c r="FG54">
        <v>5</v>
      </c>
      <c r="FH54" t="s">
        <v>841</v>
      </c>
      <c r="FM54">
        <v>450</v>
      </c>
      <c r="FO54">
        <v>5</v>
      </c>
      <c r="FP54">
        <v>10</v>
      </c>
      <c r="FQ54">
        <v>15</v>
      </c>
      <c r="FS54" t="s">
        <v>839</v>
      </c>
      <c r="FT54" t="s">
        <v>839</v>
      </c>
      <c r="FU54" t="s">
        <v>839</v>
      </c>
      <c r="FV54" t="s">
        <v>839</v>
      </c>
      <c r="FW54" t="s">
        <v>839</v>
      </c>
      <c r="FX54" t="s">
        <v>880</v>
      </c>
      <c r="FY54" t="s">
        <v>839</v>
      </c>
      <c r="FZ54" t="s">
        <v>839</v>
      </c>
      <c r="GA54" t="s">
        <v>842</v>
      </c>
      <c r="GB54" t="s">
        <v>839</v>
      </c>
      <c r="GC54" t="s">
        <v>839</v>
      </c>
      <c r="GD54" t="s">
        <v>839</v>
      </c>
      <c r="GE54" t="s">
        <v>881</v>
      </c>
      <c r="GG54" t="s">
        <v>839</v>
      </c>
      <c r="GI54" t="s">
        <v>626</v>
      </c>
      <c r="GJ54">
        <v>0</v>
      </c>
      <c r="GK54">
        <v>0</v>
      </c>
      <c r="GL54">
        <v>0</v>
      </c>
      <c r="GM54">
        <v>0</v>
      </c>
      <c r="GN54">
        <v>0</v>
      </c>
      <c r="GO54">
        <v>0</v>
      </c>
      <c r="GP54">
        <v>0</v>
      </c>
      <c r="GQ54">
        <v>0</v>
      </c>
      <c r="GR54">
        <v>0</v>
      </c>
      <c r="GS54">
        <v>0</v>
      </c>
      <c r="GT54">
        <v>0</v>
      </c>
      <c r="GU54">
        <v>0</v>
      </c>
      <c r="GV54">
        <v>0</v>
      </c>
      <c r="GW54">
        <v>0</v>
      </c>
      <c r="GX54">
        <v>0</v>
      </c>
      <c r="GY54">
        <v>1</v>
      </c>
      <c r="GZ54">
        <v>0</v>
      </c>
      <c r="HA54" t="s">
        <v>1218</v>
      </c>
      <c r="HB54" t="s">
        <v>842</v>
      </c>
      <c r="HC54" t="s">
        <v>1219</v>
      </c>
    </row>
    <row r="55" spans="1:211" x14ac:dyDescent="0.35">
      <c r="A55" t="s">
        <v>1220</v>
      </c>
      <c r="B55" s="151">
        <v>45068.672546296293</v>
      </c>
      <c r="C55" t="s">
        <v>1221</v>
      </c>
      <c r="D55" t="s">
        <v>1222</v>
      </c>
      <c r="E55" t="s">
        <v>835</v>
      </c>
      <c r="F55" t="s">
        <v>1223</v>
      </c>
      <c r="G55" t="s">
        <v>1223</v>
      </c>
      <c r="H55" t="s">
        <v>837</v>
      </c>
      <c r="I55" t="s">
        <v>838</v>
      </c>
      <c r="K55" t="s">
        <v>842</v>
      </c>
      <c r="O55">
        <v>26</v>
      </c>
      <c r="P55">
        <v>29</v>
      </c>
      <c r="Q55">
        <v>55</v>
      </c>
      <c r="T55" t="s">
        <v>841</v>
      </c>
      <c r="U55" t="s">
        <v>841</v>
      </c>
      <c r="V55" t="s">
        <v>841</v>
      </c>
      <c r="W55" t="s">
        <v>841</v>
      </c>
      <c r="X55" t="s">
        <v>841</v>
      </c>
      <c r="Y55" t="s">
        <v>841</v>
      </c>
      <c r="AA55" t="s">
        <v>841</v>
      </c>
      <c r="AH55">
        <v>0</v>
      </c>
      <c r="AI55">
        <v>1</v>
      </c>
      <c r="AJ55">
        <v>1</v>
      </c>
      <c r="AK55">
        <v>1</v>
      </c>
      <c r="AL55">
        <v>1</v>
      </c>
      <c r="AM55">
        <v>1</v>
      </c>
      <c r="AN55">
        <v>1</v>
      </c>
      <c r="AP55">
        <v>1</v>
      </c>
      <c r="AQ55">
        <v>0</v>
      </c>
      <c r="AR55">
        <v>0</v>
      </c>
      <c r="AS55">
        <v>0</v>
      </c>
      <c r="AT55">
        <v>0</v>
      </c>
      <c r="AU55">
        <v>0</v>
      </c>
      <c r="AZ55" t="s">
        <v>841</v>
      </c>
      <c r="BJ55">
        <v>0</v>
      </c>
      <c r="BK55">
        <v>0</v>
      </c>
      <c r="BL55">
        <v>0</v>
      </c>
      <c r="BM55" t="s">
        <v>841</v>
      </c>
      <c r="BP55">
        <v>0</v>
      </c>
      <c r="BQ55">
        <v>0</v>
      </c>
      <c r="BR55">
        <v>0</v>
      </c>
      <c r="BS55" t="s">
        <v>841</v>
      </c>
      <c r="BV55" t="s">
        <v>839</v>
      </c>
      <c r="BW55" t="s">
        <v>759</v>
      </c>
      <c r="BX55" t="s">
        <v>839</v>
      </c>
      <c r="BY55" t="s">
        <v>759</v>
      </c>
      <c r="BZ55" t="s">
        <v>839</v>
      </c>
      <c r="CA55" t="s">
        <v>839</v>
      </c>
      <c r="CC55" t="s">
        <v>839</v>
      </c>
      <c r="CD55" t="s">
        <v>855</v>
      </c>
      <c r="CG55">
        <v>2</v>
      </c>
      <c r="CH55">
        <v>1</v>
      </c>
      <c r="CI55">
        <v>1</v>
      </c>
      <c r="CJ55">
        <v>0</v>
      </c>
      <c r="CK55" t="s">
        <v>681</v>
      </c>
      <c r="CM55" t="s">
        <v>844</v>
      </c>
      <c r="CN55">
        <v>1</v>
      </c>
      <c r="CO55">
        <v>0</v>
      </c>
      <c r="CP55">
        <v>0</v>
      </c>
      <c r="CQ55">
        <v>0</v>
      </c>
      <c r="CR55">
        <v>0</v>
      </c>
      <c r="CS55">
        <v>0</v>
      </c>
      <c r="CU55" t="s">
        <v>926</v>
      </c>
      <c r="CV55">
        <v>1</v>
      </c>
      <c r="CW55">
        <v>0</v>
      </c>
      <c r="CX55">
        <v>1</v>
      </c>
      <c r="CY55">
        <v>1</v>
      </c>
      <c r="CZ55">
        <v>0</v>
      </c>
      <c r="DA55">
        <v>0</v>
      </c>
      <c r="DB55">
        <v>0</v>
      </c>
      <c r="DC55">
        <v>0</v>
      </c>
      <c r="DD55">
        <v>1</v>
      </c>
      <c r="DE55">
        <v>1</v>
      </c>
      <c r="DF55">
        <v>0</v>
      </c>
      <c r="DJ55">
        <v>1</v>
      </c>
      <c r="DK55">
        <v>5</v>
      </c>
      <c r="DL55">
        <v>6</v>
      </c>
      <c r="DN55">
        <v>260</v>
      </c>
      <c r="DP55">
        <v>400</v>
      </c>
      <c r="DQ55" t="s">
        <v>846</v>
      </c>
      <c r="DR55">
        <v>1</v>
      </c>
      <c r="DS55">
        <v>0</v>
      </c>
      <c r="DT55">
        <v>1</v>
      </c>
      <c r="DU55">
        <v>0</v>
      </c>
      <c r="DV55">
        <v>0</v>
      </c>
      <c r="DW55">
        <v>1</v>
      </c>
      <c r="DX55">
        <v>0</v>
      </c>
      <c r="DY55">
        <v>0</v>
      </c>
      <c r="DZ55">
        <v>0</v>
      </c>
      <c r="EB55" t="s">
        <v>842</v>
      </c>
      <c r="EC55" t="s">
        <v>909</v>
      </c>
      <c r="ED55" t="s">
        <v>848</v>
      </c>
      <c r="EI55">
        <v>200</v>
      </c>
      <c r="EJ55" t="s">
        <v>841</v>
      </c>
      <c r="EM55" t="s">
        <v>841</v>
      </c>
      <c r="EO55">
        <v>200</v>
      </c>
      <c r="ES55" t="s">
        <v>841</v>
      </c>
      <c r="EU55">
        <v>200</v>
      </c>
      <c r="EY55" t="s">
        <v>841</v>
      </c>
      <c r="FA55">
        <v>6</v>
      </c>
      <c r="FB55" t="s">
        <v>841</v>
      </c>
      <c r="FL55" t="s">
        <v>841</v>
      </c>
      <c r="FM55">
        <v>600</v>
      </c>
      <c r="FO55">
        <v>0</v>
      </c>
      <c r="FP55">
        <v>0</v>
      </c>
      <c r="FQ55">
        <v>0</v>
      </c>
      <c r="FS55" t="s">
        <v>839</v>
      </c>
      <c r="FT55" t="s">
        <v>839</v>
      </c>
      <c r="FU55" t="s">
        <v>842</v>
      </c>
      <c r="FV55" t="s">
        <v>842</v>
      </c>
      <c r="FW55" t="s">
        <v>682</v>
      </c>
      <c r="FY55" t="s">
        <v>839</v>
      </c>
      <c r="FZ55" t="s">
        <v>839</v>
      </c>
      <c r="GA55" t="s">
        <v>842</v>
      </c>
      <c r="GB55" t="s">
        <v>839</v>
      </c>
      <c r="GC55" t="s">
        <v>842</v>
      </c>
      <c r="GD55" t="s">
        <v>842</v>
      </c>
      <c r="GG55" t="s">
        <v>842</v>
      </c>
      <c r="GI55" t="s">
        <v>1224</v>
      </c>
      <c r="GJ55">
        <v>1</v>
      </c>
      <c r="GK55">
        <v>0</v>
      </c>
      <c r="GL55">
        <v>1</v>
      </c>
      <c r="GM55">
        <v>0</v>
      </c>
      <c r="GN55">
        <v>1</v>
      </c>
      <c r="GO55">
        <v>1</v>
      </c>
      <c r="GP55">
        <v>0</v>
      </c>
      <c r="GQ55">
        <v>0</v>
      </c>
      <c r="GR55">
        <v>0</v>
      </c>
      <c r="GS55">
        <v>1</v>
      </c>
      <c r="GT55">
        <v>0</v>
      </c>
      <c r="GU55">
        <v>1</v>
      </c>
      <c r="GV55">
        <v>1</v>
      </c>
      <c r="GW55">
        <v>1</v>
      </c>
      <c r="GX55">
        <v>1</v>
      </c>
      <c r="GY55">
        <v>0</v>
      </c>
      <c r="GZ55">
        <v>0</v>
      </c>
      <c r="HB55" t="s">
        <v>839</v>
      </c>
    </row>
    <row r="56" spans="1:211" x14ac:dyDescent="0.35">
      <c r="A56" t="s">
        <v>1225</v>
      </c>
      <c r="B56" s="151">
        <v>45068.799502314818</v>
      </c>
      <c r="C56" t="s">
        <v>1226</v>
      </c>
      <c r="D56" t="s">
        <v>1227</v>
      </c>
      <c r="E56" t="s">
        <v>835</v>
      </c>
      <c r="F56" t="s">
        <v>1228</v>
      </c>
      <c r="G56" t="s">
        <v>1229</v>
      </c>
      <c r="H56" t="s">
        <v>837</v>
      </c>
      <c r="I56" t="s">
        <v>838</v>
      </c>
      <c r="K56" t="s">
        <v>842</v>
      </c>
      <c r="O56">
        <v>238</v>
      </c>
      <c r="P56">
        <v>252</v>
      </c>
      <c r="Q56">
        <v>490</v>
      </c>
      <c r="T56" t="s">
        <v>841</v>
      </c>
      <c r="U56" t="s">
        <v>841</v>
      </c>
      <c r="V56" t="s">
        <v>841</v>
      </c>
      <c r="W56" t="s">
        <v>841</v>
      </c>
      <c r="X56" t="s">
        <v>841</v>
      </c>
      <c r="Y56" t="s">
        <v>841</v>
      </c>
      <c r="Z56" t="s">
        <v>841</v>
      </c>
      <c r="AA56" t="s">
        <v>841</v>
      </c>
      <c r="AB56" t="s">
        <v>841</v>
      </c>
      <c r="AC56" t="s">
        <v>841</v>
      </c>
      <c r="AD56" t="s">
        <v>841</v>
      </c>
      <c r="AE56" t="s">
        <v>841</v>
      </c>
      <c r="AH56">
        <v>0</v>
      </c>
      <c r="AI56">
        <v>1</v>
      </c>
      <c r="AJ56">
        <v>2</v>
      </c>
      <c r="AK56">
        <v>1</v>
      </c>
      <c r="AL56">
        <v>1</v>
      </c>
      <c r="AM56">
        <v>1</v>
      </c>
      <c r="AN56">
        <v>1</v>
      </c>
      <c r="AO56">
        <v>1</v>
      </c>
      <c r="AP56">
        <v>1</v>
      </c>
      <c r="AQ56">
        <v>1</v>
      </c>
      <c r="AR56">
        <v>1</v>
      </c>
      <c r="AS56">
        <v>1</v>
      </c>
      <c r="AT56">
        <v>1</v>
      </c>
      <c r="AU56">
        <v>0</v>
      </c>
      <c r="AZ56" t="s">
        <v>841</v>
      </c>
      <c r="BJ56">
        <v>2</v>
      </c>
      <c r="BK56">
        <v>1</v>
      </c>
      <c r="BL56">
        <v>3</v>
      </c>
      <c r="BS56" t="s">
        <v>841</v>
      </c>
      <c r="BV56" t="s">
        <v>842</v>
      </c>
      <c r="BX56" t="s">
        <v>839</v>
      </c>
      <c r="BY56" t="s">
        <v>759</v>
      </c>
      <c r="BZ56" t="s">
        <v>839</v>
      </c>
      <c r="CA56" t="s">
        <v>842</v>
      </c>
      <c r="CC56" t="s">
        <v>839</v>
      </c>
      <c r="CD56" t="s">
        <v>1022</v>
      </c>
      <c r="CG56">
        <v>2</v>
      </c>
      <c r="CH56">
        <v>1</v>
      </c>
      <c r="CI56">
        <v>1</v>
      </c>
      <c r="CJ56">
        <v>0</v>
      </c>
      <c r="CK56" t="s">
        <v>681</v>
      </c>
      <c r="CM56" t="s">
        <v>917</v>
      </c>
      <c r="CN56">
        <v>0</v>
      </c>
      <c r="CO56">
        <v>0</v>
      </c>
      <c r="CP56">
        <v>1</v>
      </c>
      <c r="CQ56">
        <v>0</v>
      </c>
      <c r="CR56">
        <v>0</v>
      </c>
      <c r="CS56">
        <v>0</v>
      </c>
      <c r="CU56" t="s">
        <v>1230</v>
      </c>
      <c r="CV56">
        <v>0</v>
      </c>
      <c r="CW56">
        <v>1</v>
      </c>
      <c r="CX56">
        <v>0</v>
      </c>
      <c r="CY56">
        <v>0</v>
      </c>
      <c r="CZ56">
        <v>0</v>
      </c>
      <c r="DA56">
        <v>0</v>
      </c>
      <c r="DB56">
        <v>0</v>
      </c>
      <c r="DC56">
        <v>0</v>
      </c>
      <c r="DD56">
        <v>0</v>
      </c>
      <c r="DE56">
        <v>0</v>
      </c>
      <c r="DF56">
        <v>0</v>
      </c>
      <c r="DJ56">
        <v>12</v>
      </c>
      <c r="DK56">
        <v>7</v>
      </c>
      <c r="DL56">
        <v>19</v>
      </c>
      <c r="DN56">
        <v>150</v>
      </c>
      <c r="DP56">
        <v>250</v>
      </c>
      <c r="DQ56" t="s">
        <v>937</v>
      </c>
      <c r="DR56">
        <v>1</v>
      </c>
      <c r="DS56">
        <v>0</v>
      </c>
      <c r="DT56">
        <v>0</v>
      </c>
      <c r="DU56">
        <v>0</v>
      </c>
      <c r="DV56">
        <v>0</v>
      </c>
      <c r="DW56">
        <v>0</v>
      </c>
      <c r="DX56">
        <v>0</v>
      </c>
      <c r="DY56">
        <v>0</v>
      </c>
      <c r="DZ56">
        <v>0</v>
      </c>
      <c r="EB56" t="s">
        <v>839</v>
      </c>
      <c r="EC56" t="s">
        <v>847</v>
      </c>
      <c r="ED56" t="s">
        <v>848</v>
      </c>
      <c r="EI56">
        <v>680</v>
      </c>
      <c r="EM56" t="s">
        <v>841</v>
      </c>
      <c r="ET56" t="s">
        <v>841</v>
      </c>
      <c r="EZ56" t="s">
        <v>841</v>
      </c>
      <c r="FA56">
        <v>6</v>
      </c>
      <c r="FB56" t="s">
        <v>841</v>
      </c>
      <c r="FL56" t="s">
        <v>841</v>
      </c>
      <c r="FM56">
        <v>380</v>
      </c>
      <c r="FO56">
        <v>10</v>
      </c>
      <c r="FP56">
        <v>8</v>
      </c>
      <c r="FQ56">
        <v>18</v>
      </c>
      <c r="FS56" t="s">
        <v>842</v>
      </c>
      <c r="FT56" t="s">
        <v>842</v>
      </c>
      <c r="FU56" t="s">
        <v>839</v>
      </c>
      <c r="FV56" t="s">
        <v>842</v>
      </c>
      <c r="FW56" t="s">
        <v>682</v>
      </c>
      <c r="FY56" t="s">
        <v>839</v>
      </c>
      <c r="FZ56" t="s">
        <v>839</v>
      </c>
      <c r="GA56" t="s">
        <v>842</v>
      </c>
      <c r="GB56" t="s">
        <v>842</v>
      </c>
      <c r="GC56" t="s">
        <v>842</v>
      </c>
      <c r="GD56" t="s">
        <v>842</v>
      </c>
      <c r="GG56" t="s">
        <v>668</v>
      </c>
      <c r="GI56" t="s">
        <v>849</v>
      </c>
      <c r="GJ56">
        <v>1</v>
      </c>
      <c r="GK56">
        <v>0</v>
      </c>
      <c r="GL56">
        <v>0</v>
      </c>
      <c r="GM56">
        <v>0</v>
      </c>
      <c r="GN56">
        <v>0</v>
      </c>
      <c r="GO56">
        <v>0</v>
      </c>
      <c r="GP56">
        <v>0</v>
      </c>
      <c r="GQ56">
        <v>0</v>
      </c>
      <c r="GR56">
        <v>0</v>
      </c>
      <c r="GS56">
        <v>0</v>
      </c>
      <c r="GT56">
        <v>0</v>
      </c>
      <c r="GU56">
        <v>0</v>
      </c>
      <c r="GV56">
        <v>0</v>
      </c>
      <c r="GW56">
        <v>0</v>
      </c>
      <c r="GX56">
        <v>0</v>
      </c>
      <c r="GY56">
        <v>0</v>
      </c>
      <c r="GZ56">
        <v>0</v>
      </c>
      <c r="HB56" t="s">
        <v>839</v>
      </c>
    </row>
    <row r="57" spans="1:211" x14ac:dyDescent="0.35">
      <c r="A57" t="s">
        <v>1231</v>
      </c>
      <c r="B57" s="151">
        <v>45068.993298611109</v>
      </c>
      <c r="C57" t="s">
        <v>1232</v>
      </c>
      <c r="D57" t="s">
        <v>1233</v>
      </c>
      <c r="E57" t="s">
        <v>835</v>
      </c>
      <c r="F57" t="s">
        <v>1234</v>
      </c>
      <c r="G57" t="s">
        <v>1234</v>
      </c>
      <c r="H57" t="s">
        <v>839</v>
      </c>
      <c r="I57" t="s">
        <v>896</v>
      </c>
      <c r="K57" t="s">
        <v>839</v>
      </c>
      <c r="L57" t="s">
        <v>887</v>
      </c>
      <c r="O57">
        <v>23</v>
      </c>
      <c r="P57">
        <v>17</v>
      </c>
      <c r="Q57">
        <v>40</v>
      </c>
      <c r="S57" t="s">
        <v>841</v>
      </c>
      <c r="T57" t="s">
        <v>841</v>
      </c>
      <c r="U57" t="s">
        <v>841</v>
      </c>
      <c r="V57" t="s">
        <v>841</v>
      </c>
      <c r="W57" t="s">
        <v>841</v>
      </c>
      <c r="AM57">
        <v>0</v>
      </c>
      <c r="AN57">
        <v>0</v>
      </c>
      <c r="AO57">
        <v>0</v>
      </c>
      <c r="AP57">
        <v>0</v>
      </c>
      <c r="AQ57">
        <v>0</v>
      </c>
      <c r="AR57">
        <v>0</v>
      </c>
      <c r="AS57">
        <v>0</v>
      </c>
      <c r="AT57">
        <v>0</v>
      </c>
      <c r="AU57">
        <v>0</v>
      </c>
      <c r="AZ57" t="s">
        <v>841</v>
      </c>
      <c r="BM57" t="s">
        <v>841</v>
      </c>
      <c r="BS57" t="s">
        <v>841</v>
      </c>
      <c r="BV57" t="s">
        <v>839</v>
      </c>
      <c r="BW57" t="s">
        <v>758</v>
      </c>
      <c r="BX57" t="s">
        <v>839</v>
      </c>
      <c r="BY57" t="s">
        <v>759</v>
      </c>
      <c r="BZ57" t="s">
        <v>839</v>
      </c>
      <c r="CA57" t="s">
        <v>839</v>
      </c>
      <c r="CC57" t="s">
        <v>842</v>
      </c>
      <c r="CD57" t="s">
        <v>855</v>
      </c>
      <c r="CG57">
        <v>4</v>
      </c>
      <c r="CH57">
        <v>1</v>
      </c>
      <c r="CI57">
        <v>1</v>
      </c>
      <c r="CJ57">
        <v>2</v>
      </c>
      <c r="CK57" t="s">
        <v>866</v>
      </c>
      <c r="CM57" t="s">
        <v>1023</v>
      </c>
      <c r="CN57">
        <v>0</v>
      </c>
      <c r="CO57">
        <v>0</v>
      </c>
      <c r="CP57">
        <v>0</v>
      </c>
      <c r="CQ57">
        <v>1</v>
      </c>
      <c r="CR57">
        <v>0</v>
      </c>
      <c r="CS57">
        <v>0</v>
      </c>
      <c r="CU57" t="s">
        <v>1235</v>
      </c>
      <c r="CV57">
        <v>1</v>
      </c>
      <c r="CW57">
        <v>1</v>
      </c>
      <c r="CX57">
        <v>1</v>
      </c>
      <c r="CY57">
        <v>0</v>
      </c>
      <c r="CZ57">
        <v>0</v>
      </c>
      <c r="DA57">
        <v>0</v>
      </c>
      <c r="DB57">
        <v>0</v>
      </c>
      <c r="DC57">
        <v>1</v>
      </c>
      <c r="DD57">
        <v>1</v>
      </c>
      <c r="DE57">
        <v>1</v>
      </c>
      <c r="DF57">
        <v>0</v>
      </c>
      <c r="DJ57">
        <v>1</v>
      </c>
      <c r="DK57">
        <v>8</v>
      </c>
      <c r="DL57">
        <v>9</v>
      </c>
      <c r="DN57">
        <v>550</v>
      </c>
      <c r="DP57">
        <v>1000</v>
      </c>
      <c r="DQ57" t="s">
        <v>1236</v>
      </c>
      <c r="DR57">
        <v>0</v>
      </c>
      <c r="DS57">
        <v>0</v>
      </c>
      <c r="DT57">
        <v>1</v>
      </c>
      <c r="DU57">
        <v>0</v>
      </c>
      <c r="DV57">
        <v>0</v>
      </c>
      <c r="DW57">
        <v>1</v>
      </c>
      <c r="DX57">
        <v>0</v>
      </c>
      <c r="DY57">
        <v>0</v>
      </c>
      <c r="DZ57">
        <v>0</v>
      </c>
      <c r="EB57" t="s">
        <v>842</v>
      </c>
      <c r="EC57" t="s">
        <v>869</v>
      </c>
      <c r="ED57" t="s">
        <v>848</v>
      </c>
      <c r="EI57">
        <v>100</v>
      </c>
      <c r="EM57" t="s">
        <v>841</v>
      </c>
      <c r="EO57">
        <v>100</v>
      </c>
      <c r="ES57" t="s">
        <v>841</v>
      </c>
      <c r="EZ57" t="s">
        <v>841</v>
      </c>
      <c r="FA57">
        <v>6</v>
      </c>
      <c r="FB57" t="s">
        <v>841</v>
      </c>
      <c r="FG57">
        <v>2</v>
      </c>
      <c r="FH57" t="s">
        <v>841</v>
      </c>
      <c r="FM57">
        <v>2300</v>
      </c>
      <c r="FO57">
        <v>0</v>
      </c>
      <c r="FP57">
        <v>0</v>
      </c>
      <c r="FQ57">
        <v>0</v>
      </c>
      <c r="FS57" t="s">
        <v>842</v>
      </c>
      <c r="FT57" t="s">
        <v>839</v>
      </c>
      <c r="FU57" t="s">
        <v>839</v>
      </c>
      <c r="FV57" t="s">
        <v>839</v>
      </c>
      <c r="FW57" t="s">
        <v>839</v>
      </c>
      <c r="FX57" t="s">
        <v>890</v>
      </c>
      <c r="FY57" t="s">
        <v>839</v>
      </c>
      <c r="FZ57" t="s">
        <v>839</v>
      </c>
      <c r="GA57" t="s">
        <v>839</v>
      </c>
      <c r="GB57" t="s">
        <v>839</v>
      </c>
      <c r="GC57" t="s">
        <v>842</v>
      </c>
      <c r="GD57" t="s">
        <v>842</v>
      </c>
      <c r="GG57" t="s">
        <v>842</v>
      </c>
      <c r="GI57" t="s">
        <v>1237</v>
      </c>
      <c r="GJ57">
        <v>1</v>
      </c>
      <c r="GK57">
        <v>0</v>
      </c>
      <c r="GL57">
        <v>0</v>
      </c>
      <c r="GM57">
        <v>0</v>
      </c>
      <c r="GN57">
        <v>0</v>
      </c>
      <c r="GO57">
        <v>1</v>
      </c>
      <c r="GP57">
        <v>1</v>
      </c>
      <c r="GQ57">
        <v>0</v>
      </c>
      <c r="GR57">
        <v>0</v>
      </c>
      <c r="GS57">
        <v>0</v>
      </c>
      <c r="GT57">
        <v>0</v>
      </c>
      <c r="GU57">
        <v>1</v>
      </c>
      <c r="GV57">
        <v>0</v>
      </c>
      <c r="GW57">
        <v>1</v>
      </c>
      <c r="GX57">
        <v>1</v>
      </c>
      <c r="GY57">
        <v>0</v>
      </c>
      <c r="GZ57">
        <v>0</v>
      </c>
      <c r="HB57" t="s">
        <v>842</v>
      </c>
      <c r="HC57" t="s">
        <v>1238</v>
      </c>
    </row>
    <row r="58" spans="1:211" x14ac:dyDescent="0.35">
      <c r="A58" t="s">
        <v>1239</v>
      </c>
      <c r="B58" s="151">
        <v>45069.363935185182</v>
      </c>
      <c r="C58" t="s">
        <v>1240</v>
      </c>
      <c r="D58" t="s">
        <v>1241</v>
      </c>
      <c r="E58" t="s">
        <v>875</v>
      </c>
      <c r="F58" t="s">
        <v>1242</v>
      </c>
      <c r="G58" t="s">
        <v>1242</v>
      </c>
      <c r="H58" t="s">
        <v>837</v>
      </c>
      <c r="I58" t="s">
        <v>838</v>
      </c>
      <c r="K58" t="s">
        <v>842</v>
      </c>
      <c r="O58">
        <v>70</v>
      </c>
      <c r="P58">
        <v>60</v>
      </c>
      <c r="Q58">
        <v>130</v>
      </c>
      <c r="S58" t="s">
        <v>841</v>
      </c>
      <c r="T58" t="s">
        <v>841</v>
      </c>
      <c r="U58" t="s">
        <v>841</v>
      </c>
      <c r="V58" t="s">
        <v>841</v>
      </c>
      <c r="W58" t="s">
        <v>841</v>
      </c>
      <c r="X58" t="s">
        <v>841</v>
      </c>
      <c r="Y58" t="s">
        <v>841</v>
      </c>
      <c r="Z58" t="s">
        <v>841</v>
      </c>
      <c r="AA58" t="s">
        <v>841</v>
      </c>
      <c r="AH58">
        <v>1</v>
      </c>
      <c r="AI58">
        <v>1</v>
      </c>
      <c r="AJ58">
        <v>1</v>
      </c>
      <c r="AK58">
        <v>1</v>
      </c>
      <c r="AL58">
        <v>1</v>
      </c>
      <c r="AM58">
        <v>1</v>
      </c>
      <c r="AN58">
        <v>1</v>
      </c>
      <c r="AO58">
        <v>1</v>
      </c>
      <c r="AP58">
        <v>1</v>
      </c>
      <c r="BV58" t="s">
        <v>842</v>
      </c>
      <c r="BX58" t="s">
        <v>839</v>
      </c>
      <c r="BY58" t="s">
        <v>759</v>
      </c>
      <c r="BZ58" t="s">
        <v>839</v>
      </c>
      <c r="CA58" t="s">
        <v>839</v>
      </c>
      <c r="CC58" t="s">
        <v>839</v>
      </c>
      <c r="CD58" t="s">
        <v>1022</v>
      </c>
      <c r="CG58">
        <v>2</v>
      </c>
      <c r="CH58">
        <v>1</v>
      </c>
      <c r="CI58">
        <v>1</v>
      </c>
      <c r="CJ58">
        <v>0</v>
      </c>
      <c r="CK58" t="s">
        <v>681</v>
      </c>
      <c r="CM58" t="s">
        <v>844</v>
      </c>
      <c r="CN58">
        <v>1</v>
      </c>
      <c r="CO58">
        <v>0</v>
      </c>
      <c r="CP58">
        <v>0</v>
      </c>
      <c r="CQ58">
        <v>0</v>
      </c>
      <c r="CR58">
        <v>0</v>
      </c>
      <c r="CS58">
        <v>0</v>
      </c>
      <c r="CU58" t="s">
        <v>1194</v>
      </c>
      <c r="CV58">
        <v>1</v>
      </c>
      <c r="CW58">
        <v>0</v>
      </c>
      <c r="CX58">
        <v>1</v>
      </c>
      <c r="CY58">
        <v>0</v>
      </c>
      <c r="CZ58">
        <v>0</v>
      </c>
      <c r="DA58">
        <v>0</v>
      </c>
      <c r="DB58">
        <v>0</v>
      </c>
      <c r="DC58">
        <v>0</v>
      </c>
      <c r="DD58">
        <v>0</v>
      </c>
      <c r="DE58">
        <v>1</v>
      </c>
      <c r="DF58">
        <v>0</v>
      </c>
      <c r="DJ58">
        <v>4</v>
      </c>
      <c r="DK58">
        <v>5</v>
      </c>
      <c r="DL58">
        <v>9</v>
      </c>
      <c r="DN58">
        <v>250</v>
      </c>
      <c r="DP58">
        <v>450</v>
      </c>
      <c r="DQ58" t="s">
        <v>964</v>
      </c>
      <c r="DR58">
        <v>1</v>
      </c>
      <c r="DS58">
        <v>1</v>
      </c>
      <c r="DT58">
        <v>1</v>
      </c>
      <c r="DU58">
        <v>0</v>
      </c>
      <c r="DV58">
        <v>1</v>
      </c>
      <c r="DW58">
        <v>1</v>
      </c>
      <c r="DX58">
        <v>1</v>
      </c>
      <c r="DY58">
        <v>0</v>
      </c>
      <c r="DZ58">
        <v>0</v>
      </c>
      <c r="EB58" t="s">
        <v>842</v>
      </c>
      <c r="EC58" t="s">
        <v>1243</v>
      </c>
      <c r="ED58" t="s">
        <v>848</v>
      </c>
      <c r="EI58">
        <v>360</v>
      </c>
      <c r="EM58" t="s">
        <v>841</v>
      </c>
      <c r="FG58">
        <v>5</v>
      </c>
      <c r="FH58" t="s">
        <v>841</v>
      </c>
      <c r="FM58">
        <v>620</v>
      </c>
      <c r="FO58">
        <v>1</v>
      </c>
      <c r="FP58">
        <v>0</v>
      </c>
      <c r="FQ58">
        <v>1</v>
      </c>
      <c r="FS58" t="s">
        <v>839</v>
      </c>
      <c r="FT58" t="s">
        <v>839</v>
      </c>
      <c r="FU58" t="s">
        <v>839</v>
      </c>
      <c r="FV58" t="s">
        <v>839</v>
      </c>
      <c r="FW58" t="s">
        <v>839</v>
      </c>
      <c r="FX58" t="s">
        <v>880</v>
      </c>
      <c r="FY58" t="s">
        <v>839</v>
      </c>
      <c r="FZ58" t="s">
        <v>839</v>
      </c>
      <c r="GA58" t="s">
        <v>839</v>
      </c>
      <c r="GB58" t="s">
        <v>839</v>
      </c>
      <c r="GC58" t="s">
        <v>839</v>
      </c>
      <c r="GD58" t="s">
        <v>839</v>
      </c>
      <c r="GE58" t="s">
        <v>881</v>
      </c>
      <c r="GG58" t="s">
        <v>668</v>
      </c>
      <c r="GI58" t="s">
        <v>1244</v>
      </c>
      <c r="GJ58">
        <v>1</v>
      </c>
      <c r="GK58">
        <v>1</v>
      </c>
      <c r="GL58">
        <v>1</v>
      </c>
      <c r="GM58">
        <v>1</v>
      </c>
      <c r="GN58">
        <v>1</v>
      </c>
      <c r="GO58">
        <v>1</v>
      </c>
      <c r="GP58">
        <v>1</v>
      </c>
      <c r="GQ58">
        <v>1</v>
      </c>
      <c r="GR58">
        <v>1</v>
      </c>
      <c r="GS58">
        <v>1</v>
      </c>
      <c r="GT58">
        <v>1</v>
      </c>
      <c r="GU58">
        <v>1</v>
      </c>
      <c r="GV58">
        <v>1</v>
      </c>
      <c r="GW58">
        <v>1</v>
      </c>
      <c r="GX58">
        <v>1</v>
      </c>
      <c r="GY58">
        <v>0</v>
      </c>
      <c r="GZ58">
        <v>0</v>
      </c>
      <c r="HB58" t="s">
        <v>839</v>
      </c>
    </row>
    <row r="59" spans="1:211" x14ac:dyDescent="0.35">
      <c r="A59" t="s">
        <v>1245</v>
      </c>
      <c r="B59" s="151">
        <v>45069.485775462963</v>
      </c>
      <c r="C59" t="s">
        <v>1246</v>
      </c>
      <c r="D59" t="s">
        <v>1247</v>
      </c>
      <c r="E59" t="s">
        <v>875</v>
      </c>
      <c r="F59" t="s">
        <v>1248</v>
      </c>
      <c r="G59" t="s">
        <v>1248</v>
      </c>
      <c r="H59" t="s">
        <v>839</v>
      </c>
      <c r="I59" t="s">
        <v>896</v>
      </c>
      <c r="K59" t="s">
        <v>842</v>
      </c>
      <c r="O59">
        <v>206</v>
      </c>
      <c r="P59">
        <v>205</v>
      </c>
      <c r="Q59">
        <v>411</v>
      </c>
      <c r="S59" t="s">
        <v>841</v>
      </c>
      <c r="T59" t="s">
        <v>841</v>
      </c>
      <c r="U59" t="s">
        <v>841</v>
      </c>
      <c r="V59" t="s">
        <v>841</v>
      </c>
      <c r="W59" t="s">
        <v>841</v>
      </c>
      <c r="X59" t="s">
        <v>841</v>
      </c>
      <c r="Y59" t="s">
        <v>841</v>
      </c>
      <c r="Z59" t="s">
        <v>841</v>
      </c>
      <c r="AA59" t="s">
        <v>841</v>
      </c>
      <c r="AB59" t="s">
        <v>841</v>
      </c>
      <c r="AC59" t="s">
        <v>841</v>
      </c>
      <c r="AD59" t="s">
        <v>841</v>
      </c>
      <c r="AE59" t="s">
        <v>841</v>
      </c>
      <c r="AF59" t="s">
        <v>841</v>
      </c>
      <c r="AH59">
        <v>1</v>
      </c>
      <c r="AI59">
        <v>1</v>
      </c>
      <c r="AJ59">
        <v>1</v>
      </c>
      <c r="AK59">
        <v>2</v>
      </c>
      <c r="AL59">
        <v>1</v>
      </c>
      <c r="AM59">
        <v>1</v>
      </c>
      <c r="AN59">
        <v>1</v>
      </c>
      <c r="AO59">
        <v>1</v>
      </c>
      <c r="AP59">
        <v>1</v>
      </c>
      <c r="AQ59">
        <v>1</v>
      </c>
      <c r="AR59">
        <v>1</v>
      </c>
      <c r="AS59">
        <v>1</v>
      </c>
      <c r="AT59">
        <v>1</v>
      </c>
      <c r="AU59">
        <v>1</v>
      </c>
      <c r="AZ59" t="s">
        <v>841</v>
      </c>
      <c r="BJ59">
        <v>6</v>
      </c>
      <c r="BK59">
        <v>6</v>
      </c>
      <c r="BL59">
        <v>12</v>
      </c>
      <c r="BP59">
        <v>0</v>
      </c>
      <c r="BQ59">
        <v>0</v>
      </c>
      <c r="BR59">
        <v>0</v>
      </c>
      <c r="BV59" t="s">
        <v>842</v>
      </c>
      <c r="BX59" t="s">
        <v>839</v>
      </c>
      <c r="BY59" t="s">
        <v>759</v>
      </c>
      <c r="BZ59" t="s">
        <v>839</v>
      </c>
      <c r="CA59" t="s">
        <v>839</v>
      </c>
      <c r="CC59" t="s">
        <v>839</v>
      </c>
      <c r="CD59" t="s">
        <v>855</v>
      </c>
      <c r="CG59">
        <v>5</v>
      </c>
      <c r="CH59">
        <v>2</v>
      </c>
      <c r="CI59">
        <v>2</v>
      </c>
      <c r="CJ59">
        <v>1</v>
      </c>
      <c r="CK59" t="s">
        <v>877</v>
      </c>
      <c r="CM59" t="s">
        <v>844</v>
      </c>
      <c r="CN59">
        <v>1</v>
      </c>
      <c r="CO59">
        <v>0</v>
      </c>
      <c r="CP59">
        <v>0</v>
      </c>
      <c r="CQ59">
        <v>0</v>
      </c>
      <c r="CR59">
        <v>0</v>
      </c>
      <c r="CS59">
        <v>0</v>
      </c>
      <c r="CU59" t="s">
        <v>1249</v>
      </c>
      <c r="CV59">
        <v>1</v>
      </c>
      <c r="CW59">
        <v>0</v>
      </c>
      <c r="CX59">
        <v>1</v>
      </c>
      <c r="CY59">
        <v>1</v>
      </c>
      <c r="CZ59">
        <v>0</v>
      </c>
      <c r="DA59">
        <v>0</v>
      </c>
      <c r="DB59">
        <v>0</v>
      </c>
      <c r="DC59">
        <v>0</v>
      </c>
      <c r="DD59">
        <v>0</v>
      </c>
      <c r="DE59">
        <v>0</v>
      </c>
      <c r="DF59">
        <v>0</v>
      </c>
      <c r="DJ59">
        <v>6</v>
      </c>
      <c r="DK59">
        <v>12</v>
      </c>
      <c r="DL59">
        <v>18</v>
      </c>
      <c r="DN59">
        <v>400</v>
      </c>
      <c r="DP59">
        <v>500</v>
      </c>
      <c r="DQ59" t="s">
        <v>1250</v>
      </c>
      <c r="DR59">
        <v>1</v>
      </c>
      <c r="DS59">
        <v>0</v>
      </c>
      <c r="DT59">
        <v>1</v>
      </c>
      <c r="DU59">
        <v>1</v>
      </c>
      <c r="DV59">
        <v>0</v>
      </c>
      <c r="DW59">
        <v>0</v>
      </c>
      <c r="DX59">
        <v>0</v>
      </c>
      <c r="DY59">
        <v>0</v>
      </c>
      <c r="DZ59">
        <v>0</v>
      </c>
      <c r="EB59" t="s">
        <v>839</v>
      </c>
      <c r="EC59" t="s">
        <v>847</v>
      </c>
      <c r="ED59" t="s">
        <v>848</v>
      </c>
      <c r="EI59">
        <v>30</v>
      </c>
      <c r="EM59" t="s">
        <v>841</v>
      </c>
      <c r="EO59">
        <v>40</v>
      </c>
      <c r="ES59" t="s">
        <v>841</v>
      </c>
      <c r="EZ59" t="s">
        <v>841</v>
      </c>
      <c r="FA59">
        <v>5</v>
      </c>
      <c r="FB59" t="s">
        <v>841</v>
      </c>
      <c r="FG59">
        <v>3</v>
      </c>
      <c r="FH59" t="s">
        <v>841</v>
      </c>
      <c r="FM59">
        <v>340</v>
      </c>
      <c r="FO59">
        <v>2</v>
      </c>
      <c r="FP59">
        <v>4</v>
      </c>
      <c r="FQ59">
        <v>6</v>
      </c>
      <c r="FS59" t="s">
        <v>839</v>
      </c>
      <c r="FT59" t="s">
        <v>839</v>
      </c>
      <c r="FU59" t="s">
        <v>839</v>
      </c>
      <c r="FV59" t="s">
        <v>842</v>
      </c>
      <c r="FW59" t="s">
        <v>839</v>
      </c>
      <c r="FX59" t="s">
        <v>965</v>
      </c>
      <c r="FY59" t="s">
        <v>842</v>
      </c>
      <c r="FZ59" t="s">
        <v>839</v>
      </c>
      <c r="GA59" t="s">
        <v>842</v>
      </c>
      <c r="GB59" t="s">
        <v>842</v>
      </c>
      <c r="GC59" t="s">
        <v>842</v>
      </c>
      <c r="GD59" t="s">
        <v>839</v>
      </c>
      <c r="GE59" t="s">
        <v>929</v>
      </c>
      <c r="GG59" t="s">
        <v>842</v>
      </c>
      <c r="GI59" t="s">
        <v>849</v>
      </c>
      <c r="GJ59">
        <v>1</v>
      </c>
      <c r="GK59">
        <v>0</v>
      </c>
      <c r="GL59">
        <v>0</v>
      </c>
      <c r="GM59">
        <v>0</v>
      </c>
      <c r="GN59">
        <v>0</v>
      </c>
      <c r="GO59">
        <v>0</v>
      </c>
      <c r="GP59">
        <v>0</v>
      </c>
      <c r="GQ59">
        <v>0</v>
      </c>
      <c r="GR59">
        <v>0</v>
      </c>
      <c r="GS59">
        <v>0</v>
      </c>
      <c r="GT59">
        <v>0</v>
      </c>
      <c r="GU59">
        <v>0</v>
      </c>
      <c r="GV59">
        <v>0</v>
      </c>
      <c r="GW59">
        <v>0</v>
      </c>
      <c r="GX59">
        <v>0</v>
      </c>
      <c r="GY59">
        <v>0</v>
      </c>
      <c r="GZ59">
        <v>0</v>
      </c>
      <c r="HB59" t="s">
        <v>839</v>
      </c>
    </row>
    <row r="60" spans="1:211" x14ac:dyDescent="0.35">
      <c r="A60" t="s">
        <v>1251</v>
      </c>
      <c r="B60" s="151">
        <v>45069.490636574083</v>
      </c>
      <c r="C60" t="s">
        <v>1252</v>
      </c>
      <c r="D60" t="s">
        <v>1253</v>
      </c>
      <c r="E60" t="s">
        <v>835</v>
      </c>
      <c r="F60" t="s">
        <v>1254</v>
      </c>
      <c r="G60" t="s">
        <v>1255</v>
      </c>
      <c r="H60" t="s">
        <v>839</v>
      </c>
      <c r="I60" t="s">
        <v>838</v>
      </c>
      <c r="K60" t="s">
        <v>842</v>
      </c>
      <c r="O60">
        <v>20</v>
      </c>
      <c r="P60">
        <v>37</v>
      </c>
      <c r="Q60">
        <v>57</v>
      </c>
      <c r="S60" t="s">
        <v>841</v>
      </c>
      <c r="T60" t="s">
        <v>841</v>
      </c>
      <c r="U60" t="s">
        <v>841</v>
      </c>
      <c r="V60" t="s">
        <v>841</v>
      </c>
      <c r="W60" t="s">
        <v>841</v>
      </c>
      <c r="X60" t="s">
        <v>841</v>
      </c>
      <c r="Y60" t="s">
        <v>841</v>
      </c>
      <c r="Z60" t="s">
        <v>841</v>
      </c>
      <c r="AH60">
        <v>1</v>
      </c>
      <c r="AI60">
        <v>1</v>
      </c>
      <c r="AJ60">
        <v>1</v>
      </c>
      <c r="AK60">
        <v>1</v>
      </c>
      <c r="AL60">
        <v>1</v>
      </c>
      <c r="AM60">
        <v>1</v>
      </c>
      <c r="AN60">
        <v>1</v>
      </c>
      <c r="AO60">
        <v>1</v>
      </c>
      <c r="BV60" t="s">
        <v>842</v>
      </c>
      <c r="BX60" t="s">
        <v>839</v>
      </c>
      <c r="BY60" t="s">
        <v>950</v>
      </c>
      <c r="BZ60" t="s">
        <v>839</v>
      </c>
      <c r="CA60" t="s">
        <v>839</v>
      </c>
      <c r="CC60" t="s">
        <v>839</v>
      </c>
      <c r="CD60" t="s">
        <v>855</v>
      </c>
      <c r="CG60">
        <v>3</v>
      </c>
      <c r="CH60">
        <v>1</v>
      </c>
      <c r="CI60">
        <v>1</v>
      </c>
      <c r="CJ60">
        <v>1</v>
      </c>
      <c r="CK60" t="s">
        <v>681</v>
      </c>
      <c r="CM60" t="s">
        <v>867</v>
      </c>
      <c r="CN60">
        <v>0</v>
      </c>
      <c r="CO60">
        <v>1</v>
      </c>
      <c r="CP60">
        <v>0</v>
      </c>
      <c r="CQ60">
        <v>0</v>
      </c>
      <c r="CR60">
        <v>0</v>
      </c>
      <c r="CS60">
        <v>0</v>
      </c>
      <c r="CU60" t="s">
        <v>868</v>
      </c>
      <c r="CV60">
        <v>1</v>
      </c>
      <c r="CW60">
        <v>0</v>
      </c>
      <c r="CX60">
        <v>1</v>
      </c>
      <c r="CY60">
        <v>0</v>
      </c>
      <c r="CZ60">
        <v>0</v>
      </c>
      <c r="DA60">
        <v>0</v>
      </c>
      <c r="DB60">
        <v>0</v>
      </c>
      <c r="DC60">
        <v>0</v>
      </c>
      <c r="DD60">
        <v>1</v>
      </c>
      <c r="DE60">
        <v>1</v>
      </c>
      <c r="DF60">
        <v>0</v>
      </c>
      <c r="DJ60">
        <v>1</v>
      </c>
      <c r="DK60">
        <v>5</v>
      </c>
      <c r="DL60">
        <v>6</v>
      </c>
      <c r="DN60">
        <v>300</v>
      </c>
      <c r="DP60">
        <v>300</v>
      </c>
      <c r="DQ60" t="s">
        <v>1256</v>
      </c>
      <c r="DR60">
        <v>1</v>
      </c>
      <c r="DS60">
        <v>0</v>
      </c>
      <c r="DT60">
        <v>1</v>
      </c>
      <c r="DU60">
        <v>1</v>
      </c>
      <c r="DV60">
        <v>0</v>
      </c>
      <c r="DW60">
        <v>1</v>
      </c>
      <c r="DX60">
        <v>0</v>
      </c>
      <c r="DY60">
        <v>0</v>
      </c>
      <c r="DZ60">
        <v>0</v>
      </c>
      <c r="EB60" t="s">
        <v>842</v>
      </c>
      <c r="EC60" t="s">
        <v>909</v>
      </c>
      <c r="ED60" t="s">
        <v>848</v>
      </c>
      <c r="EI60">
        <v>85</v>
      </c>
      <c r="EM60" t="s">
        <v>841</v>
      </c>
      <c r="EO60">
        <v>85</v>
      </c>
      <c r="ES60" t="s">
        <v>841</v>
      </c>
      <c r="EZ60" t="s">
        <v>841</v>
      </c>
      <c r="FA60">
        <v>6</v>
      </c>
      <c r="FB60" t="s">
        <v>841</v>
      </c>
      <c r="FL60" t="s">
        <v>841</v>
      </c>
      <c r="FM60">
        <v>400</v>
      </c>
      <c r="FO60">
        <v>3</v>
      </c>
      <c r="FP60">
        <v>4</v>
      </c>
      <c r="FQ60">
        <v>7</v>
      </c>
      <c r="FS60" t="s">
        <v>839</v>
      </c>
      <c r="FT60" t="s">
        <v>839</v>
      </c>
      <c r="FU60" t="s">
        <v>839</v>
      </c>
      <c r="FV60" t="s">
        <v>839</v>
      </c>
      <c r="FW60" t="s">
        <v>842</v>
      </c>
      <c r="FY60" t="s">
        <v>839</v>
      </c>
      <c r="FZ60" t="s">
        <v>839</v>
      </c>
      <c r="GA60" t="s">
        <v>842</v>
      </c>
      <c r="GB60" t="s">
        <v>842</v>
      </c>
      <c r="GC60" t="s">
        <v>842</v>
      </c>
      <c r="GD60" t="s">
        <v>839</v>
      </c>
      <c r="GE60" t="s">
        <v>1049</v>
      </c>
      <c r="GG60" t="s">
        <v>842</v>
      </c>
      <c r="GI60" t="s">
        <v>1257</v>
      </c>
      <c r="GJ60">
        <v>0</v>
      </c>
      <c r="GK60">
        <v>1</v>
      </c>
      <c r="GL60">
        <v>0</v>
      </c>
      <c r="GM60">
        <v>0</v>
      </c>
      <c r="GN60">
        <v>0</v>
      </c>
      <c r="GO60">
        <v>1</v>
      </c>
      <c r="GP60">
        <v>1</v>
      </c>
      <c r="GQ60">
        <v>0</v>
      </c>
      <c r="GR60">
        <v>1</v>
      </c>
      <c r="GS60">
        <v>0</v>
      </c>
      <c r="GT60">
        <v>1</v>
      </c>
      <c r="GU60">
        <v>1</v>
      </c>
      <c r="GV60">
        <v>0</v>
      </c>
      <c r="GW60">
        <v>0</v>
      </c>
      <c r="GX60">
        <v>1</v>
      </c>
      <c r="GY60">
        <v>0</v>
      </c>
      <c r="GZ60">
        <v>0</v>
      </c>
      <c r="HB60" t="s">
        <v>839</v>
      </c>
    </row>
    <row r="61" spans="1:211" x14ac:dyDescent="0.35">
      <c r="A61" t="s">
        <v>1258</v>
      </c>
      <c r="B61" s="151">
        <v>45069.626886574071</v>
      </c>
      <c r="C61" t="s">
        <v>1259</v>
      </c>
      <c r="D61" t="s">
        <v>1260</v>
      </c>
      <c r="E61" t="s">
        <v>875</v>
      </c>
      <c r="F61" t="s">
        <v>1261</v>
      </c>
      <c r="G61" t="s">
        <v>1261</v>
      </c>
      <c r="H61" t="s">
        <v>839</v>
      </c>
      <c r="I61" t="s">
        <v>838</v>
      </c>
      <c r="K61" t="s">
        <v>839</v>
      </c>
      <c r="L61" t="s">
        <v>887</v>
      </c>
      <c r="O61">
        <v>268</v>
      </c>
      <c r="P61">
        <v>254</v>
      </c>
      <c r="Q61">
        <v>522</v>
      </c>
      <c r="S61" t="s">
        <v>841</v>
      </c>
      <c r="T61" t="s">
        <v>841</v>
      </c>
      <c r="U61" t="s">
        <v>841</v>
      </c>
      <c r="V61" t="s">
        <v>841</v>
      </c>
      <c r="W61" t="s">
        <v>841</v>
      </c>
      <c r="X61" t="s">
        <v>841</v>
      </c>
      <c r="Y61" t="s">
        <v>841</v>
      </c>
      <c r="Z61" t="s">
        <v>841</v>
      </c>
      <c r="AA61" t="s">
        <v>841</v>
      </c>
      <c r="AB61" t="s">
        <v>841</v>
      </c>
      <c r="AC61" t="s">
        <v>841</v>
      </c>
      <c r="AD61" t="s">
        <v>841</v>
      </c>
      <c r="AE61" t="s">
        <v>841</v>
      </c>
      <c r="AF61" t="s">
        <v>841</v>
      </c>
      <c r="AH61">
        <v>1</v>
      </c>
      <c r="AI61">
        <v>1</v>
      </c>
      <c r="AJ61">
        <v>1</v>
      </c>
      <c r="AK61">
        <v>1</v>
      </c>
      <c r="AL61">
        <v>1</v>
      </c>
      <c r="AM61">
        <v>2</v>
      </c>
      <c r="AN61">
        <v>2</v>
      </c>
      <c r="AO61">
        <v>1</v>
      </c>
      <c r="AP61">
        <v>1</v>
      </c>
      <c r="AQ61">
        <v>1</v>
      </c>
      <c r="AR61">
        <v>1</v>
      </c>
      <c r="AS61">
        <v>1</v>
      </c>
      <c r="AT61">
        <v>1</v>
      </c>
      <c r="AU61">
        <v>1</v>
      </c>
      <c r="AW61">
        <v>13</v>
      </c>
      <c r="AX61">
        <v>7</v>
      </c>
      <c r="AY61">
        <v>20</v>
      </c>
      <c r="AZ61" t="s">
        <v>841</v>
      </c>
      <c r="BJ61">
        <v>17</v>
      </c>
      <c r="BK61">
        <v>27</v>
      </c>
      <c r="BL61">
        <v>44</v>
      </c>
      <c r="BP61">
        <v>13</v>
      </c>
      <c r="BQ61">
        <v>7</v>
      </c>
      <c r="BR61">
        <v>20</v>
      </c>
      <c r="BV61" t="s">
        <v>839</v>
      </c>
      <c r="BW61" t="s">
        <v>759</v>
      </c>
      <c r="BX61" t="s">
        <v>839</v>
      </c>
      <c r="BY61" t="s">
        <v>759</v>
      </c>
      <c r="BZ61" t="s">
        <v>839</v>
      </c>
      <c r="CA61" t="s">
        <v>839</v>
      </c>
      <c r="CC61" t="s">
        <v>839</v>
      </c>
      <c r="CD61" t="s">
        <v>855</v>
      </c>
      <c r="CG61">
        <v>9</v>
      </c>
      <c r="CH61">
        <v>4</v>
      </c>
      <c r="CI61">
        <v>5</v>
      </c>
      <c r="CJ61">
        <v>0</v>
      </c>
      <c r="CK61" t="s">
        <v>877</v>
      </c>
      <c r="CM61" t="s">
        <v>844</v>
      </c>
      <c r="CN61">
        <v>1</v>
      </c>
      <c r="CO61">
        <v>0</v>
      </c>
      <c r="CP61">
        <v>0</v>
      </c>
      <c r="CQ61">
        <v>0</v>
      </c>
      <c r="CR61">
        <v>0</v>
      </c>
      <c r="CS61">
        <v>0</v>
      </c>
      <c r="CU61" t="s">
        <v>1188</v>
      </c>
      <c r="CV61">
        <v>1</v>
      </c>
      <c r="CW61">
        <v>0</v>
      </c>
      <c r="CX61">
        <v>1</v>
      </c>
      <c r="CY61">
        <v>1</v>
      </c>
      <c r="CZ61">
        <v>0</v>
      </c>
      <c r="DA61">
        <v>1</v>
      </c>
      <c r="DB61">
        <v>0</v>
      </c>
      <c r="DC61">
        <v>0</v>
      </c>
      <c r="DD61">
        <v>1</v>
      </c>
      <c r="DE61">
        <v>1</v>
      </c>
      <c r="DF61">
        <v>0</v>
      </c>
      <c r="DJ61">
        <v>12</v>
      </c>
      <c r="DK61">
        <v>8</v>
      </c>
      <c r="DL61">
        <v>22</v>
      </c>
      <c r="DN61">
        <v>250</v>
      </c>
      <c r="DP61">
        <v>700</v>
      </c>
      <c r="DQ61" t="s">
        <v>1262</v>
      </c>
      <c r="DR61">
        <v>1</v>
      </c>
      <c r="DS61">
        <v>0</v>
      </c>
      <c r="DT61">
        <v>0</v>
      </c>
      <c r="DU61">
        <v>0</v>
      </c>
      <c r="DV61">
        <v>0</v>
      </c>
      <c r="DW61">
        <v>0</v>
      </c>
      <c r="DX61">
        <v>1</v>
      </c>
      <c r="DY61">
        <v>0</v>
      </c>
      <c r="DZ61">
        <v>0</v>
      </c>
      <c r="EB61" t="s">
        <v>839</v>
      </c>
      <c r="EC61" t="s">
        <v>869</v>
      </c>
      <c r="ED61" t="s">
        <v>900</v>
      </c>
      <c r="EI61" s="157">
        <v>160</v>
      </c>
      <c r="EJ61" s="157"/>
      <c r="EK61" s="157"/>
      <c r="EL61" s="157"/>
      <c r="EM61" s="157" t="s">
        <v>841</v>
      </c>
      <c r="EN61" s="157"/>
      <c r="EO61" s="157">
        <v>160</v>
      </c>
      <c r="EP61" s="157"/>
      <c r="EQ61" s="157"/>
      <c r="ER61" s="157"/>
      <c r="ES61" s="157" t="s">
        <v>841</v>
      </c>
      <c r="ET61" s="157"/>
      <c r="EU61" s="157">
        <v>190</v>
      </c>
      <c r="EV61" s="157"/>
      <c r="EW61" s="157"/>
      <c r="EX61" s="157"/>
      <c r="EY61" s="157" t="s">
        <v>841</v>
      </c>
      <c r="EZ61" s="157"/>
      <c r="FA61" s="157">
        <v>5</v>
      </c>
      <c r="FB61" s="157" t="s">
        <v>841</v>
      </c>
      <c r="FC61" s="157"/>
      <c r="FD61" s="157"/>
      <c r="FE61" s="157"/>
      <c r="FF61" s="157"/>
      <c r="FG61" s="157"/>
      <c r="FH61" s="157"/>
      <c r="FI61" s="157"/>
      <c r="FJ61" s="157"/>
      <c r="FK61" s="157"/>
      <c r="FL61" s="157" t="s">
        <v>841</v>
      </c>
      <c r="FM61">
        <v>690</v>
      </c>
      <c r="FO61">
        <v>5</v>
      </c>
      <c r="FP61">
        <v>5</v>
      </c>
      <c r="FQ61">
        <v>10</v>
      </c>
      <c r="FS61" t="s">
        <v>839</v>
      </c>
      <c r="FT61" t="s">
        <v>839</v>
      </c>
      <c r="FU61" t="s">
        <v>839</v>
      </c>
      <c r="FV61" t="s">
        <v>839</v>
      </c>
      <c r="FW61" t="s">
        <v>682</v>
      </c>
      <c r="FY61" t="s">
        <v>839</v>
      </c>
      <c r="FZ61" t="s">
        <v>839</v>
      </c>
      <c r="GA61" t="s">
        <v>839</v>
      </c>
      <c r="GB61" t="s">
        <v>842</v>
      </c>
      <c r="GC61" t="s">
        <v>842</v>
      </c>
      <c r="GD61" t="s">
        <v>842</v>
      </c>
      <c r="GG61" t="s">
        <v>839</v>
      </c>
      <c r="GI61" t="s">
        <v>1263</v>
      </c>
      <c r="GJ61">
        <v>1</v>
      </c>
      <c r="GK61">
        <v>1</v>
      </c>
      <c r="GL61">
        <v>1</v>
      </c>
      <c r="GM61">
        <v>1</v>
      </c>
      <c r="GN61">
        <v>1</v>
      </c>
      <c r="GO61">
        <v>1</v>
      </c>
      <c r="GP61">
        <v>1</v>
      </c>
      <c r="GQ61">
        <v>1</v>
      </c>
      <c r="GR61">
        <v>1</v>
      </c>
      <c r="GS61">
        <v>0</v>
      </c>
      <c r="GT61">
        <v>1</v>
      </c>
      <c r="GU61">
        <v>1</v>
      </c>
      <c r="GV61">
        <v>1</v>
      </c>
      <c r="GW61">
        <v>1</v>
      </c>
      <c r="GX61">
        <v>1</v>
      </c>
      <c r="GY61">
        <v>0</v>
      </c>
      <c r="GZ61">
        <v>0</v>
      </c>
      <c r="HB61" t="s">
        <v>839</v>
      </c>
    </row>
    <row r="62" spans="1:211" x14ac:dyDescent="0.35">
      <c r="A62" t="s">
        <v>1264</v>
      </c>
      <c r="B62" s="151">
        <v>45071.656921296293</v>
      </c>
      <c r="C62" t="s">
        <v>1265</v>
      </c>
      <c r="D62" t="s">
        <v>1266</v>
      </c>
      <c r="E62" t="s">
        <v>875</v>
      </c>
      <c r="F62" t="s">
        <v>1267</v>
      </c>
      <c r="G62" t="s">
        <v>1267</v>
      </c>
      <c r="H62" t="s">
        <v>839</v>
      </c>
      <c r="I62" t="s">
        <v>896</v>
      </c>
      <c r="K62" t="s">
        <v>839</v>
      </c>
      <c r="L62" t="s">
        <v>887</v>
      </c>
      <c r="O62">
        <v>103</v>
      </c>
      <c r="P62">
        <v>982</v>
      </c>
      <c r="Q62">
        <v>201</v>
      </c>
      <c r="S62" t="s">
        <v>841</v>
      </c>
      <c r="T62" t="s">
        <v>841</v>
      </c>
      <c r="U62" t="s">
        <v>841</v>
      </c>
      <c r="V62" t="s">
        <v>841</v>
      </c>
      <c r="W62" t="s">
        <v>841</v>
      </c>
      <c r="X62" t="s">
        <v>841</v>
      </c>
      <c r="Y62" t="s">
        <v>841</v>
      </c>
      <c r="Z62" t="s">
        <v>841</v>
      </c>
      <c r="AA62" t="s">
        <v>841</v>
      </c>
      <c r="AB62" t="s">
        <v>841</v>
      </c>
      <c r="AH62">
        <v>1</v>
      </c>
      <c r="AI62">
        <v>1</v>
      </c>
      <c r="AJ62">
        <v>1</v>
      </c>
      <c r="AK62">
        <v>2</v>
      </c>
      <c r="AL62">
        <v>1</v>
      </c>
      <c r="AM62">
        <v>1</v>
      </c>
      <c r="AN62">
        <v>1</v>
      </c>
      <c r="AO62">
        <v>1</v>
      </c>
      <c r="AP62">
        <v>1</v>
      </c>
      <c r="AQ62">
        <v>1</v>
      </c>
      <c r="AZ62" t="s">
        <v>841</v>
      </c>
      <c r="BM62" t="s">
        <v>841</v>
      </c>
      <c r="BS62" t="s">
        <v>841</v>
      </c>
      <c r="BV62" t="s">
        <v>839</v>
      </c>
      <c r="BW62" t="s">
        <v>759</v>
      </c>
      <c r="BX62" t="s">
        <v>839</v>
      </c>
      <c r="BY62" t="s">
        <v>950</v>
      </c>
      <c r="BZ62" t="s">
        <v>839</v>
      </c>
      <c r="CA62" t="s">
        <v>839</v>
      </c>
      <c r="CC62" t="s">
        <v>842</v>
      </c>
      <c r="CD62" t="s">
        <v>855</v>
      </c>
      <c r="CG62">
        <v>8</v>
      </c>
      <c r="CH62">
        <v>4</v>
      </c>
      <c r="CI62">
        <v>4</v>
      </c>
      <c r="CJ62">
        <v>0</v>
      </c>
      <c r="CK62" t="s">
        <v>877</v>
      </c>
      <c r="CM62" t="s">
        <v>867</v>
      </c>
      <c r="CN62">
        <v>0</v>
      </c>
      <c r="CO62">
        <v>1</v>
      </c>
      <c r="CP62">
        <v>0</v>
      </c>
      <c r="CQ62">
        <v>0</v>
      </c>
      <c r="CR62">
        <v>0</v>
      </c>
      <c r="CS62">
        <v>0</v>
      </c>
      <c r="CU62" t="s">
        <v>1268</v>
      </c>
      <c r="CV62">
        <v>1</v>
      </c>
      <c r="CW62">
        <v>0</v>
      </c>
      <c r="CX62">
        <v>1</v>
      </c>
      <c r="CY62">
        <v>1</v>
      </c>
      <c r="CZ62">
        <v>0</v>
      </c>
      <c r="DA62">
        <v>1</v>
      </c>
      <c r="DB62">
        <v>0</v>
      </c>
      <c r="DC62">
        <v>1</v>
      </c>
      <c r="DD62">
        <v>1</v>
      </c>
      <c r="DE62">
        <v>1</v>
      </c>
      <c r="DF62">
        <v>0</v>
      </c>
      <c r="DJ62">
        <v>4</v>
      </c>
      <c r="DK62">
        <v>10</v>
      </c>
      <c r="DL62">
        <v>14</v>
      </c>
      <c r="DN62">
        <v>400</v>
      </c>
      <c r="DP62">
        <v>900</v>
      </c>
      <c r="DQ62" t="s">
        <v>846</v>
      </c>
      <c r="DR62">
        <v>1</v>
      </c>
      <c r="DS62">
        <v>0</v>
      </c>
      <c r="DT62">
        <v>1</v>
      </c>
      <c r="DU62">
        <v>0</v>
      </c>
      <c r="DV62">
        <v>0</v>
      </c>
      <c r="DW62">
        <v>1</v>
      </c>
      <c r="DX62">
        <v>0</v>
      </c>
      <c r="DY62">
        <v>0</v>
      </c>
      <c r="DZ62">
        <v>0</v>
      </c>
      <c r="EB62" t="s">
        <v>839</v>
      </c>
      <c r="EC62" t="s">
        <v>869</v>
      </c>
      <c r="ED62" t="s">
        <v>848</v>
      </c>
      <c r="EO62">
        <v>920</v>
      </c>
      <c r="ES62" t="s">
        <v>841</v>
      </c>
      <c r="EZ62" t="s">
        <v>841</v>
      </c>
      <c r="FA62">
        <v>4</v>
      </c>
      <c r="FB62" t="s">
        <v>841</v>
      </c>
      <c r="FG62">
        <v>4</v>
      </c>
      <c r="FH62" t="s">
        <v>841</v>
      </c>
      <c r="FM62">
        <v>1110</v>
      </c>
      <c r="FO62">
        <v>1</v>
      </c>
      <c r="FP62">
        <v>4</v>
      </c>
      <c r="FQ62">
        <v>5</v>
      </c>
      <c r="FS62" t="s">
        <v>839</v>
      </c>
      <c r="FT62" t="s">
        <v>839</v>
      </c>
      <c r="FU62" t="s">
        <v>839</v>
      </c>
      <c r="FV62" t="s">
        <v>839</v>
      </c>
      <c r="FW62" t="s">
        <v>839</v>
      </c>
      <c r="FX62" t="s">
        <v>965</v>
      </c>
      <c r="FY62" t="s">
        <v>842</v>
      </c>
      <c r="FZ62" t="s">
        <v>839</v>
      </c>
      <c r="GA62" t="s">
        <v>839</v>
      </c>
      <c r="GB62" t="s">
        <v>839</v>
      </c>
      <c r="GC62" t="s">
        <v>842</v>
      </c>
      <c r="GD62" t="s">
        <v>839</v>
      </c>
      <c r="GE62" t="s">
        <v>929</v>
      </c>
      <c r="GG62" t="s">
        <v>839</v>
      </c>
      <c r="GI62" t="s">
        <v>849</v>
      </c>
      <c r="GJ62">
        <v>1</v>
      </c>
      <c r="GK62">
        <v>0</v>
      </c>
      <c r="GL62">
        <v>0</v>
      </c>
      <c r="GM62">
        <v>0</v>
      </c>
      <c r="GN62">
        <v>0</v>
      </c>
      <c r="GO62">
        <v>0</v>
      </c>
      <c r="GP62">
        <v>0</v>
      </c>
      <c r="GQ62">
        <v>0</v>
      </c>
      <c r="GR62">
        <v>0</v>
      </c>
      <c r="GS62">
        <v>0</v>
      </c>
      <c r="GT62">
        <v>0</v>
      </c>
      <c r="GU62">
        <v>0</v>
      </c>
      <c r="GV62">
        <v>0</v>
      </c>
      <c r="GW62">
        <v>0</v>
      </c>
      <c r="GX62">
        <v>0</v>
      </c>
      <c r="GY62">
        <v>0</v>
      </c>
      <c r="GZ62">
        <v>0</v>
      </c>
      <c r="HB62" t="s">
        <v>839</v>
      </c>
    </row>
    <row r="63" spans="1:211" x14ac:dyDescent="0.35">
      <c r="A63" t="s">
        <v>1269</v>
      </c>
      <c r="B63" s="151">
        <v>45104.583784722221</v>
      </c>
      <c r="C63" t="s">
        <v>1270</v>
      </c>
      <c r="D63" t="s">
        <v>1271</v>
      </c>
      <c r="E63" t="s">
        <v>835</v>
      </c>
      <c r="F63" t="s">
        <v>1272</v>
      </c>
      <c r="G63" t="s">
        <v>1273</v>
      </c>
      <c r="H63" t="s">
        <v>839</v>
      </c>
      <c r="I63" t="s">
        <v>896</v>
      </c>
      <c r="K63" t="s">
        <v>842</v>
      </c>
      <c r="O63">
        <v>27</v>
      </c>
      <c r="P63">
        <v>30</v>
      </c>
      <c r="Q63">
        <v>57</v>
      </c>
      <c r="S63" t="s">
        <v>841</v>
      </c>
      <c r="T63" t="s">
        <v>841</v>
      </c>
      <c r="U63" t="s">
        <v>841</v>
      </c>
      <c r="V63" t="s">
        <v>841</v>
      </c>
      <c r="W63" t="s">
        <v>841</v>
      </c>
      <c r="X63" t="s">
        <v>841</v>
      </c>
      <c r="AH63">
        <v>1</v>
      </c>
      <c r="AI63">
        <v>1</v>
      </c>
      <c r="AJ63">
        <v>1</v>
      </c>
      <c r="AK63">
        <v>1</v>
      </c>
      <c r="AL63">
        <v>1</v>
      </c>
      <c r="AM63">
        <v>1</v>
      </c>
      <c r="BV63" t="s">
        <v>842</v>
      </c>
      <c r="BX63" t="s">
        <v>842</v>
      </c>
      <c r="BZ63" t="s">
        <v>839</v>
      </c>
      <c r="CA63" t="s">
        <v>839</v>
      </c>
      <c r="CC63" t="s">
        <v>839</v>
      </c>
      <c r="CD63" t="s">
        <v>855</v>
      </c>
      <c r="CG63">
        <v>2</v>
      </c>
      <c r="CH63">
        <v>1</v>
      </c>
      <c r="CI63">
        <v>1</v>
      </c>
      <c r="CJ63">
        <v>0</v>
      </c>
      <c r="CK63" t="s">
        <v>856</v>
      </c>
      <c r="CM63" t="s">
        <v>844</v>
      </c>
      <c r="CN63">
        <v>1</v>
      </c>
      <c r="CO63">
        <v>0</v>
      </c>
      <c r="CP63">
        <v>0</v>
      </c>
      <c r="CQ63">
        <v>0</v>
      </c>
      <c r="CR63">
        <v>0</v>
      </c>
      <c r="CS63">
        <v>0</v>
      </c>
      <c r="CU63" t="s">
        <v>1194</v>
      </c>
      <c r="CV63">
        <v>1</v>
      </c>
      <c r="CW63">
        <v>0</v>
      </c>
      <c r="CX63">
        <v>1</v>
      </c>
      <c r="CY63">
        <v>0</v>
      </c>
      <c r="CZ63">
        <v>0</v>
      </c>
      <c r="DA63">
        <v>0</v>
      </c>
      <c r="DB63">
        <v>0</v>
      </c>
      <c r="DC63">
        <v>0</v>
      </c>
      <c r="DD63">
        <v>0</v>
      </c>
      <c r="DE63">
        <v>1</v>
      </c>
      <c r="DF63">
        <v>0</v>
      </c>
      <c r="DJ63">
        <v>1</v>
      </c>
      <c r="DK63">
        <v>8</v>
      </c>
      <c r="DL63">
        <v>9</v>
      </c>
      <c r="DN63">
        <v>350</v>
      </c>
      <c r="DP63">
        <v>600</v>
      </c>
      <c r="DQ63" t="s">
        <v>879</v>
      </c>
      <c r="DR63">
        <v>1</v>
      </c>
      <c r="DS63">
        <v>0</v>
      </c>
      <c r="DT63">
        <v>0</v>
      </c>
      <c r="DU63">
        <v>0</v>
      </c>
      <c r="DV63">
        <v>1</v>
      </c>
      <c r="DW63">
        <v>0</v>
      </c>
      <c r="DX63">
        <v>0</v>
      </c>
      <c r="DY63">
        <v>0</v>
      </c>
      <c r="DZ63">
        <v>0</v>
      </c>
      <c r="EB63" t="s">
        <v>842</v>
      </c>
      <c r="EC63" t="s">
        <v>869</v>
      </c>
      <c r="ED63" t="s">
        <v>626</v>
      </c>
      <c r="EE63" t="s">
        <v>1274</v>
      </c>
      <c r="EI63">
        <v>6</v>
      </c>
      <c r="EJ63" t="s">
        <v>841</v>
      </c>
      <c r="ET63" t="s">
        <v>841</v>
      </c>
      <c r="EZ63" t="s">
        <v>841</v>
      </c>
      <c r="FA63">
        <v>6</v>
      </c>
      <c r="FB63" t="s">
        <v>841</v>
      </c>
      <c r="FG63">
        <v>0</v>
      </c>
      <c r="FL63" t="s">
        <v>841</v>
      </c>
      <c r="FM63">
        <v>700</v>
      </c>
      <c r="FO63">
        <v>0</v>
      </c>
      <c r="FP63">
        <v>0</v>
      </c>
      <c r="FQ63">
        <v>0</v>
      </c>
      <c r="FS63" t="s">
        <v>839</v>
      </c>
      <c r="FT63" t="s">
        <v>839</v>
      </c>
      <c r="FU63" t="s">
        <v>839</v>
      </c>
      <c r="FV63" t="s">
        <v>839</v>
      </c>
      <c r="FW63" t="s">
        <v>839</v>
      </c>
      <c r="FX63" t="s">
        <v>910</v>
      </c>
      <c r="FY63" t="s">
        <v>842</v>
      </c>
      <c r="FZ63" t="s">
        <v>839</v>
      </c>
      <c r="GA63" t="s">
        <v>839</v>
      </c>
      <c r="GB63" t="s">
        <v>842</v>
      </c>
      <c r="GC63" t="s">
        <v>842</v>
      </c>
      <c r="GD63" t="s">
        <v>842</v>
      </c>
      <c r="GG63" t="s">
        <v>842</v>
      </c>
      <c r="GI63" t="s">
        <v>849</v>
      </c>
      <c r="GJ63">
        <v>1</v>
      </c>
      <c r="GK63">
        <v>0</v>
      </c>
      <c r="GL63">
        <v>0</v>
      </c>
      <c r="GM63">
        <v>0</v>
      </c>
      <c r="GN63">
        <v>0</v>
      </c>
      <c r="GO63">
        <v>0</v>
      </c>
      <c r="GP63">
        <v>0</v>
      </c>
      <c r="GQ63">
        <v>0</v>
      </c>
      <c r="GR63">
        <v>0</v>
      </c>
      <c r="GS63">
        <v>0</v>
      </c>
      <c r="GT63">
        <v>0</v>
      </c>
      <c r="GU63">
        <v>0</v>
      </c>
      <c r="GV63">
        <v>0</v>
      </c>
      <c r="GW63">
        <v>0</v>
      </c>
      <c r="GX63">
        <v>0</v>
      </c>
      <c r="GY63">
        <v>0</v>
      </c>
      <c r="GZ63">
        <v>0</v>
      </c>
      <c r="HB63" t="s">
        <v>839</v>
      </c>
    </row>
    <row r="64" spans="1:211" x14ac:dyDescent="0.35">
      <c r="A64" t="s">
        <v>1275</v>
      </c>
      <c r="B64" s="151">
        <v>45104.699016203696</v>
      </c>
      <c r="C64" t="s">
        <v>1276</v>
      </c>
      <c r="D64" t="s">
        <v>1277</v>
      </c>
      <c r="E64" t="s">
        <v>875</v>
      </c>
      <c r="F64" t="s">
        <v>1278</v>
      </c>
      <c r="G64" t="s">
        <v>1278</v>
      </c>
      <c r="H64" t="s">
        <v>839</v>
      </c>
      <c r="I64" t="s">
        <v>896</v>
      </c>
      <c r="K64" t="s">
        <v>839</v>
      </c>
      <c r="L64" t="s">
        <v>887</v>
      </c>
      <c r="O64">
        <v>38</v>
      </c>
      <c r="P64">
        <v>41</v>
      </c>
      <c r="Q64">
        <v>79</v>
      </c>
      <c r="T64" t="s">
        <v>841</v>
      </c>
      <c r="U64" t="s">
        <v>841</v>
      </c>
      <c r="V64" t="s">
        <v>841</v>
      </c>
      <c r="W64" t="s">
        <v>841</v>
      </c>
      <c r="X64" t="s">
        <v>841</v>
      </c>
      <c r="Y64" t="s">
        <v>841</v>
      </c>
      <c r="Z64" t="s">
        <v>841</v>
      </c>
      <c r="AA64" t="s">
        <v>841</v>
      </c>
      <c r="AB64" t="s">
        <v>841</v>
      </c>
      <c r="AC64" t="s">
        <v>841</v>
      </c>
      <c r="AD64" t="s">
        <v>841</v>
      </c>
      <c r="AH64">
        <v>0</v>
      </c>
      <c r="AI64">
        <v>1</v>
      </c>
      <c r="AJ64">
        <v>1</v>
      </c>
      <c r="AK64">
        <v>1</v>
      </c>
      <c r="AL64">
        <v>1</v>
      </c>
      <c r="AM64">
        <v>1</v>
      </c>
      <c r="AN64">
        <v>1</v>
      </c>
      <c r="AO64">
        <v>1</v>
      </c>
      <c r="AP64">
        <v>1</v>
      </c>
      <c r="AQ64">
        <v>1</v>
      </c>
      <c r="AR64">
        <v>0</v>
      </c>
      <c r="AS64">
        <v>1</v>
      </c>
      <c r="AT64">
        <v>0</v>
      </c>
      <c r="AU64">
        <v>0</v>
      </c>
      <c r="AZ64" t="s">
        <v>841</v>
      </c>
      <c r="BJ64">
        <v>3</v>
      </c>
      <c r="BK64">
        <v>4</v>
      </c>
      <c r="BL64">
        <v>7</v>
      </c>
      <c r="BS64" t="s">
        <v>841</v>
      </c>
      <c r="BV64" t="s">
        <v>839</v>
      </c>
      <c r="BW64" t="s">
        <v>758</v>
      </c>
      <c r="BX64" t="s">
        <v>842</v>
      </c>
      <c r="BZ64" t="s">
        <v>839</v>
      </c>
      <c r="CA64" t="s">
        <v>839</v>
      </c>
      <c r="CC64" t="s">
        <v>839</v>
      </c>
      <c r="CD64" t="s">
        <v>855</v>
      </c>
      <c r="CG64">
        <v>8</v>
      </c>
      <c r="CH64">
        <v>4</v>
      </c>
      <c r="CI64">
        <v>4</v>
      </c>
      <c r="CJ64">
        <v>0</v>
      </c>
      <c r="CK64" t="s">
        <v>866</v>
      </c>
      <c r="CM64" t="s">
        <v>626</v>
      </c>
      <c r="CN64">
        <v>0</v>
      </c>
      <c r="CO64">
        <v>0</v>
      </c>
      <c r="CP64">
        <v>0</v>
      </c>
      <c r="CQ64">
        <v>0</v>
      </c>
      <c r="CR64">
        <v>0</v>
      </c>
      <c r="CS64">
        <v>1</v>
      </c>
      <c r="CT64" t="s">
        <v>1279</v>
      </c>
      <c r="CU64" t="s">
        <v>1280</v>
      </c>
      <c r="CV64">
        <v>0</v>
      </c>
      <c r="CW64">
        <v>0</v>
      </c>
      <c r="CX64">
        <v>1</v>
      </c>
      <c r="CY64">
        <v>0</v>
      </c>
      <c r="CZ64">
        <v>0</v>
      </c>
      <c r="DA64">
        <v>0</v>
      </c>
      <c r="DB64">
        <v>0</v>
      </c>
      <c r="DC64">
        <v>0</v>
      </c>
      <c r="DD64">
        <v>0</v>
      </c>
      <c r="DE64">
        <v>1</v>
      </c>
      <c r="DF64">
        <v>0</v>
      </c>
      <c r="DJ64">
        <v>6</v>
      </c>
      <c r="DK64">
        <v>4</v>
      </c>
      <c r="DL64">
        <v>10</v>
      </c>
      <c r="DN64">
        <v>185</v>
      </c>
      <c r="DP64">
        <v>265</v>
      </c>
      <c r="DQ64" t="s">
        <v>1007</v>
      </c>
      <c r="DR64">
        <v>1</v>
      </c>
      <c r="DS64">
        <v>0</v>
      </c>
      <c r="DT64">
        <v>0</v>
      </c>
      <c r="DU64">
        <v>0</v>
      </c>
      <c r="DV64">
        <v>0</v>
      </c>
      <c r="DW64">
        <v>1</v>
      </c>
      <c r="DX64">
        <v>0</v>
      </c>
      <c r="DY64">
        <v>0</v>
      </c>
      <c r="DZ64">
        <v>0</v>
      </c>
      <c r="EB64" t="s">
        <v>842</v>
      </c>
      <c r="EC64" t="s">
        <v>869</v>
      </c>
      <c r="ED64" t="s">
        <v>928</v>
      </c>
      <c r="EI64">
        <v>60</v>
      </c>
      <c r="EL64" t="s">
        <v>841</v>
      </c>
      <c r="EO64">
        <v>60</v>
      </c>
      <c r="ER64" t="s">
        <v>841</v>
      </c>
      <c r="ET64" t="s">
        <v>1281</v>
      </c>
      <c r="EZ64" t="s">
        <v>841</v>
      </c>
      <c r="FF64" t="s">
        <v>841</v>
      </c>
      <c r="FL64" t="s">
        <v>841</v>
      </c>
      <c r="FM64">
        <v>0</v>
      </c>
      <c r="FO64">
        <v>1</v>
      </c>
      <c r="FP64">
        <v>3</v>
      </c>
      <c r="FQ64">
        <v>4</v>
      </c>
      <c r="FS64" t="s">
        <v>842</v>
      </c>
      <c r="FT64" t="s">
        <v>842</v>
      </c>
      <c r="FU64" t="s">
        <v>842</v>
      </c>
      <c r="FV64" t="s">
        <v>839</v>
      </c>
      <c r="FW64" t="s">
        <v>842</v>
      </c>
      <c r="FY64" t="s">
        <v>842</v>
      </c>
      <c r="FZ64" t="s">
        <v>839</v>
      </c>
      <c r="GA64" t="s">
        <v>839</v>
      </c>
      <c r="GB64" t="s">
        <v>842</v>
      </c>
      <c r="GC64" t="s">
        <v>842</v>
      </c>
      <c r="GD64" t="s">
        <v>842</v>
      </c>
      <c r="GG64" t="s">
        <v>839</v>
      </c>
      <c r="GI64" t="s">
        <v>1282</v>
      </c>
      <c r="GJ64">
        <v>1</v>
      </c>
      <c r="GK64">
        <v>1</v>
      </c>
      <c r="GL64">
        <v>1</v>
      </c>
      <c r="GM64">
        <v>0</v>
      </c>
      <c r="GN64">
        <v>0</v>
      </c>
      <c r="GO64">
        <v>1</v>
      </c>
      <c r="GP64">
        <v>0</v>
      </c>
      <c r="GQ64">
        <v>0</v>
      </c>
      <c r="GR64">
        <v>0</v>
      </c>
      <c r="GS64">
        <v>0</v>
      </c>
      <c r="GT64">
        <v>1</v>
      </c>
      <c r="GU64">
        <v>0</v>
      </c>
      <c r="GV64">
        <v>1</v>
      </c>
      <c r="GW64">
        <v>1</v>
      </c>
      <c r="GX64">
        <v>1</v>
      </c>
      <c r="GY64">
        <v>0</v>
      </c>
      <c r="GZ64">
        <v>0</v>
      </c>
      <c r="HB64" t="s">
        <v>839</v>
      </c>
    </row>
    <row r="65" spans="1:211" ht="20.25" customHeight="1" x14ac:dyDescent="0.35">
      <c r="A65" t="s">
        <v>1283</v>
      </c>
      <c r="B65" s="151">
        <v>45104.713576388887</v>
      </c>
      <c r="C65" t="s">
        <v>1284</v>
      </c>
      <c r="D65" t="s">
        <v>1285</v>
      </c>
      <c r="E65" t="s">
        <v>875</v>
      </c>
      <c r="F65" t="s">
        <v>1286</v>
      </c>
      <c r="G65" t="s">
        <v>1286</v>
      </c>
      <c r="H65" t="s">
        <v>839</v>
      </c>
      <c r="I65" t="s">
        <v>838</v>
      </c>
      <c r="K65" t="s">
        <v>839</v>
      </c>
      <c r="L65" t="s">
        <v>626</v>
      </c>
      <c r="M65" s="155" t="s">
        <v>1287</v>
      </c>
      <c r="O65">
        <v>175</v>
      </c>
      <c r="P65">
        <v>155</v>
      </c>
      <c r="Q65">
        <v>330</v>
      </c>
      <c r="S65" t="s">
        <v>841</v>
      </c>
      <c r="T65" t="s">
        <v>841</v>
      </c>
      <c r="U65" t="s">
        <v>841</v>
      </c>
      <c r="V65" t="s">
        <v>841</v>
      </c>
      <c r="W65" t="s">
        <v>841</v>
      </c>
      <c r="X65" t="s">
        <v>841</v>
      </c>
      <c r="Y65" t="s">
        <v>841</v>
      </c>
      <c r="Z65" t="s">
        <v>841</v>
      </c>
      <c r="AA65" t="s">
        <v>841</v>
      </c>
      <c r="AB65" t="s">
        <v>841</v>
      </c>
      <c r="AC65" t="s">
        <v>841</v>
      </c>
      <c r="AH65">
        <v>1</v>
      </c>
      <c r="AI65">
        <v>1</v>
      </c>
      <c r="AJ65">
        <v>1</v>
      </c>
      <c r="AK65">
        <v>1</v>
      </c>
      <c r="AL65">
        <v>1</v>
      </c>
      <c r="AM65">
        <v>1</v>
      </c>
      <c r="AN65">
        <v>1</v>
      </c>
      <c r="AO65">
        <v>1</v>
      </c>
      <c r="AP65">
        <v>1</v>
      </c>
      <c r="AQ65">
        <v>1</v>
      </c>
      <c r="AR65">
        <v>1</v>
      </c>
      <c r="AS65">
        <v>0</v>
      </c>
      <c r="AT65">
        <v>0</v>
      </c>
      <c r="AU65">
        <v>0</v>
      </c>
      <c r="AZ65" t="s">
        <v>841</v>
      </c>
      <c r="BM65" t="s">
        <v>841</v>
      </c>
      <c r="BS65" t="s">
        <v>841</v>
      </c>
      <c r="BV65" t="s">
        <v>839</v>
      </c>
      <c r="BW65" t="s">
        <v>759</v>
      </c>
      <c r="BX65" t="s">
        <v>839</v>
      </c>
      <c r="BY65" t="s">
        <v>759</v>
      </c>
      <c r="BZ65" t="s">
        <v>839</v>
      </c>
      <c r="CA65" t="s">
        <v>842</v>
      </c>
      <c r="CC65" t="s">
        <v>839</v>
      </c>
      <c r="CD65" t="s">
        <v>855</v>
      </c>
      <c r="CG65">
        <v>10</v>
      </c>
      <c r="CH65">
        <v>3</v>
      </c>
      <c r="CI65">
        <v>3</v>
      </c>
      <c r="CJ65">
        <v>4</v>
      </c>
      <c r="CK65" t="s">
        <v>856</v>
      </c>
      <c r="CM65" t="s">
        <v>844</v>
      </c>
      <c r="CN65">
        <v>1</v>
      </c>
      <c r="CO65">
        <v>0</v>
      </c>
      <c r="CP65">
        <v>0</v>
      </c>
      <c r="CQ65">
        <v>0</v>
      </c>
      <c r="CR65">
        <v>0</v>
      </c>
      <c r="CS65">
        <v>0</v>
      </c>
      <c r="CU65" t="s">
        <v>868</v>
      </c>
      <c r="CV65">
        <v>1</v>
      </c>
      <c r="CW65">
        <v>0</v>
      </c>
      <c r="CX65">
        <v>1</v>
      </c>
      <c r="CY65">
        <v>0</v>
      </c>
      <c r="CZ65">
        <v>0</v>
      </c>
      <c r="DA65">
        <v>0</v>
      </c>
      <c r="DB65">
        <v>0</v>
      </c>
      <c r="DC65">
        <v>0</v>
      </c>
      <c r="DD65">
        <v>1</v>
      </c>
      <c r="DE65">
        <v>1</v>
      </c>
      <c r="DF65">
        <v>0</v>
      </c>
      <c r="DJ65">
        <v>5</v>
      </c>
      <c r="DK65">
        <v>5</v>
      </c>
      <c r="DL65">
        <v>10</v>
      </c>
      <c r="DN65">
        <v>400</v>
      </c>
      <c r="DP65">
        <v>850</v>
      </c>
      <c r="DQ65" t="s">
        <v>1288</v>
      </c>
      <c r="DR65">
        <v>1</v>
      </c>
      <c r="DS65">
        <v>1</v>
      </c>
      <c r="DT65">
        <v>0</v>
      </c>
      <c r="DU65">
        <v>0</v>
      </c>
      <c r="DV65">
        <v>0</v>
      </c>
      <c r="DW65">
        <v>1</v>
      </c>
      <c r="DX65">
        <v>1</v>
      </c>
      <c r="DY65">
        <v>0</v>
      </c>
      <c r="DZ65">
        <v>0</v>
      </c>
      <c r="EB65" t="s">
        <v>842</v>
      </c>
      <c r="EC65" t="s">
        <v>957</v>
      </c>
      <c r="ED65" t="s">
        <v>848</v>
      </c>
      <c r="EN65" t="s">
        <v>841</v>
      </c>
      <c r="ET65" t="s">
        <v>841</v>
      </c>
      <c r="EZ65" t="s">
        <v>841</v>
      </c>
      <c r="FA65">
        <v>7</v>
      </c>
      <c r="FB65" t="s">
        <v>841</v>
      </c>
      <c r="FG65">
        <v>7</v>
      </c>
      <c r="FH65" t="s">
        <v>841</v>
      </c>
      <c r="FM65">
        <v>565</v>
      </c>
      <c r="FO65">
        <v>4</v>
      </c>
      <c r="FP65">
        <v>4</v>
      </c>
      <c r="FQ65">
        <v>8</v>
      </c>
      <c r="FS65" t="s">
        <v>842</v>
      </c>
      <c r="FT65" t="s">
        <v>842</v>
      </c>
      <c r="FU65" t="s">
        <v>839</v>
      </c>
      <c r="FV65" t="s">
        <v>839</v>
      </c>
      <c r="FW65" t="s">
        <v>839</v>
      </c>
      <c r="FX65" t="s">
        <v>890</v>
      </c>
      <c r="FY65" t="s">
        <v>842</v>
      </c>
      <c r="FZ65" t="s">
        <v>842</v>
      </c>
      <c r="GA65" t="s">
        <v>839</v>
      </c>
      <c r="GB65" t="s">
        <v>839</v>
      </c>
      <c r="GC65" t="s">
        <v>842</v>
      </c>
      <c r="GD65" t="s">
        <v>842</v>
      </c>
      <c r="GG65" t="s">
        <v>842</v>
      </c>
      <c r="GI65" t="s">
        <v>1100</v>
      </c>
      <c r="GJ65">
        <v>1</v>
      </c>
      <c r="GK65">
        <v>0</v>
      </c>
      <c r="GL65">
        <v>0</v>
      </c>
      <c r="GM65">
        <v>0</v>
      </c>
      <c r="GN65">
        <v>0</v>
      </c>
      <c r="GO65">
        <v>0</v>
      </c>
      <c r="GP65">
        <v>0</v>
      </c>
      <c r="GQ65">
        <v>0</v>
      </c>
      <c r="GR65">
        <v>0</v>
      </c>
      <c r="GS65">
        <v>0</v>
      </c>
      <c r="GT65">
        <v>0</v>
      </c>
      <c r="GU65">
        <v>1</v>
      </c>
      <c r="GV65">
        <v>1</v>
      </c>
      <c r="GW65">
        <v>0</v>
      </c>
      <c r="GX65">
        <v>0</v>
      </c>
      <c r="GY65">
        <v>0</v>
      </c>
      <c r="GZ65">
        <v>0</v>
      </c>
      <c r="HB65" t="s">
        <v>839</v>
      </c>
    </row>
    <row r="66" spans="1:211" x14ac:dyDescent="0.35">
      <c r="A66" t="s">
        <v>1289</v>
      </c>
      <c r="B66" s="151">
        <v>45104.759212962963</v>
      </c>
      <c r="C66" t="s">
        <v>1290</v>
      </c>
      <c r="D66" t="s">
        <v>1291</v>
      </c>
      <c r="E66" t="s">
        <v>835</v>
      </c>
      <c r="F66" t="s">
        <v>1292</v>
      </c>
      <c r="G66" t="s">
        <v>1293</v>
      </c>
      <c r="H66" t="s">
        <v>839</v>
      </c>
      <c r="I66" t="s">
        <v>838</v>
      </c>
      <c r="K66" t="s">
        <v>839</v>
      </c>
      <c r="L66" t="s">
        <v>897</v>
      </c>
      <c r="O66">
        <v>84</v>
      </c>
      <c r="P66">
        <v>78</v>
      </c>
      <c r="Q66">
        <v>162</v>
      </c>
      <c r="T66" t="s">
        <v>841</v>
      </c>
      <c r="U66" t="s">
        <v>841</v>
      </c>
      <c r="V66" t="s">
        <v>841</v>
      </c>
      <c r="W66" t="s">
        <v>841</v>
      </c>
      <c r="X66" t="s">
        <v>841</v>
      </c>
      <c r="Y66" t="s">
        <v>841</v>
      </c>
      <c r="Z66" t="s">
        <v>841</v>
      </c>
      <c r="AA66" t="s">
        <v>841</v>
      </c>
      <c r="AB66" t="s">
        <v>841</v>
      </c>
      <c r="AC66" t="s">
        <v>841</v>
      </c>
      <c r="AD66" t="s">
        <v>841</v>
      </c>
      <c r="AE66" t="s">
        <v>841</v>
      </c>
      <c r="AW66">
        <v>3</v>
      </c>
      <c r="AX66">
        <v>6</v>
      </c>
      <c r="AY66">
        <v>9</v>
      </c>
      <c r="BB66">
        <v>1</v>
      </c>
      <c r="BC66">
        <v>2</v>
      </c>
      <c r="BD66">
        <v>3</v>
      </c>
      <c r="BF66">
        <v>2</v>
      </c>
      <c r="BG66">
        <v>4</v>
      </c>
      <c r="BH66">
        <v>6</v>
      </c>
      <c r="BJ66">
        <v>6</v>
      </c>
      <c r="BK66">
        <v>3</v>
      </c>
      <c r="BL66">
        <v>9</v>
      </c>
      <c r="BP66">
        <v>3</v>
      </c>
      <c r="BQ66">
        <v>6</v>
      </c>
      <c r="BR66">
        <v>9</v>
      </c>
      <c r="BV66" t="s">
        <v>842</v>
      </c>
      <c r="BX66" t="s">
        <v>839</v>
      </c>
      <c r="BY66" t="s">
        <v>759</v>
      </c>
      <c r="BZ66" t="s">
        <v>839</v>
      </c>
      <c r="CA66" t="s">
        <v>839</v>
      </c>
      <c r="CC66" t="s">
        <v>839</v>
      </c>
      <c r="CD66" t="s">
        <v>855</v>
      </c>
      <c r="CG66">
        <v>6</v>
      </c>
      <c r="CH66">
        <v>3</v>
      </c>
      <c r="CI66">
        <v>3</v>
      </c>
      <c r="CJ66">
        <v>0</v>
      </c>
      <c r="CK66" t="s">
        <v>866</v>
      </c>
      <c r="CM66" t="s">
        <v>844</v>
      </c>
      <c r="CN66">
        <v>1</v>
      </c>
      <c r="CO66">
        <v>0</v>
      </c>
      <c r="CP66">
        <v>0</v>
      </c>
      <c r="CQ66">
        <v>0</v>
      </c>
      <c r="CR66">
        <v>0</v>
      </c>
      <c r="CS66">
        <v>0</v>
      </c>
      <c r="CU66" t="s">
        <v>1294</v>
      </c>
      <c r="CV66">
        <v>1</v>
      </c>
      <c r="CW66">
        <v>0</v>
      </c>
      <c r="CX66">
        <v>1</v>
      </c>
      <c r="CY66">
        <v>0</v>
      </c>
      <c r="CZ66">
        <v>1</v>
      </c>
      <c r="DA66">
        <v>0</v>
      </c>
      <c r="DB66">
        <v>0</v>
      </c>
      <c r="DC66">
        <v>0</v>
      </c>
      <c r="DD66">
        <v>1</v>
      </c>
      <c r="DE66">
        <v>1</v>
      </c>
      <c r="DF66">
        <v>0</v>
      </c>
      <c r="DJ66">
        <v>5</v>
      </c>
      <c r="DK66">
        <v>7</v>
      </c>
      <c r="DL66">
        <v>12</v>
      </c>
      <c r="DN66">
        <v>300</v>
      </c>
      <c r="DP66">
        <v>600</v>
      </c>
      <c r="DQ66" t="s">
        <v>1007</v>
      </c>
      <c r="DR66">
        <v>1</v>
      </c>
      <c r="DS66">
        <v>0</v>
      </c>
      <c r="DT66">
        <v>0</v>
      </c>
      <c r="DU66">
        <v>0</v>
      </c>
      <c r="DV66">
        <v>0</v>
      </c>
      <c r="DW66">
        <v>1</v>
      </c>
      <c r="DX66">
        <v>0</v>
      </c>
      <c r="DY66">
        <v>0</v>
      </c>
      <c r="DZ66">
        <v>0</v>
      </c>
      <c r="EB66" t="s">
        <v>839</v>
      </c>
      <c r="EC66" t="s">
        <v>957</v>
      </c>
      <c r="ED66" t="s">
        <v>848</v>
      </c>
      <c r="EI66">
        <v>210</v>
      </c>
      <c r="EM66" t="s">
        <v>841</v>
      </c>
      <c r="EO66">
        <v>210</v>
      </c>
      <c r="ES66" t="s">
        <v>841</v>
      </c>
      <c r="EZ66" t="s">
        <v>841</v>
      </c>
      <c r="FA66">
        <v>5</v>
      </c>
      <c r="FB66" t="s">
        <v>841</v>
      </c>
      <c r="FL66" t="s">
        <v>841</v>
      </c>
      <c r="FM66">
        <v>725</v>
      </c>
      <c r="FO66">
        <v>1</v>
      </c>
      <c r="FP66">
        <v>1</v>
      </c>
      <c r="FQ66">
        <v>2</v>
      </c>
      <c r="FS66" t="s">
        <v>839</v>
      </c>
      <c r="FT66" t="s">
        <v>839</v>
      </c>
      <c r="FU66" t="s">
        <v>839</v>
      </c>
      <c r="FV66" t="s">
        <v>839</v>
      </c>
      <c r="FW66" t="s">
        <v>842</v>
      </c>
      <c r="FY66" t="s">
        <v>839</v>
      </c>
      <c r="FZ66" t="s">
        <v>839</v>
      </c>
      <c r="GA66" t="s">
        <v>839</v>
      </c>
      <c r="GB66" t="s">
        <v>839</v>
      </c>
      <c r="GC66" t="s">
        <v>839</v>
      </c>
      <c r="GD66" t="s">
        <v>842</v>
      </c>
      <c r="GG66" t="s">
        <v>668</v>
      </c>
      <c r="GI66" t="s">
        <v>1295</v>
      </c>
      <c r="GJ66">
        <v>1</v>
      </c>
      <c r="GK66">
        <v>1</v>
      </c>
      <c r="GL66">
        <v>1</v>
      </c>
      <c r="GM66">
        <v>0</v>
      </c>
      <c r="GN66">
        <v>0</v>
      </c>
      <c r="GO66">
        <v>1</v>
      </c>
      <c r="GP66">
        <v>0</v>
      </c>
      <c r="GQ66">
        <v>0</v>
      </c>
      <c r="GR66">
        <v>0</v>
      </c>
      <c r="GS66">
        <v>0</v>
      </c>
      <c r="GT66">
        <v>0</v>
      </c>
      <c r="GU66">
        <v>0</v>
      </c>
      <c r="GV66">
        <v>0</v>
      </c>
      <c r="GW66">
        <v>0</v>
      </c>
      <c r="GX66">
        <v>0</v>
      </c>
      <c r="GY66">
        <v>0</v>
      </c>
      <c r="GZ66">
        <v>0</v>
      </c>
      <c r="HB66" t="s">
        <v>839</v>
      </c>
    </row>
    <row r="67" spans="1:211" x14ac:dyDescent="0.35">
      <c r="A67" t="s">
        <v>1296</v>
      </c>
      <c r="B67" s="151">
        <v>45105.586284722223</v>
      </c>
      <c r="C67" t="s">
        <v>1297</v>
      </c>
      <c r="D67" t="s">
        <v>1298</v>
      </c>
      <c r="E67" t="s">
        <v>835</v>
      </c>
      <c r="F67" t="s">
        <v>1299</v>
      </c>
      <c r="G67" t="s">
        <v>1300</v>
      </c>
      <c r="H67" t="s">
        <v>839</v>
      </c>
      <c r="I67" t="s">
        <v>896</v>
      </c>
      <c r="K67" t="s">
        <v>839</v>
      </c>
      <c r="L67" t="s">
        <v>887</v>
      </c>
      <c r="O67">
        <v>73</v>
      </c>
      <c r="P67">
        <v>58</v>
      </c>
      <c r="Q67">
        <v>131</v>
      </c>
      <c r="S67" t="s">
        <v>841</v>
      </c>
      <c r="T67" t="s">
        <v>841</v>
      </c>
      <c r="U67" t="s">
        <v>841</v>
      </c>
      <c r="V67" t="s">
        <v>841</v>
      </c>
      <c r="W67" t="s">
        <v>841</v>
      </c>
      <c r="X67" t="s">
        <v>841</v>
      </c>
      <c r="Y67" t="s">
        <v>841</v>
      </c>
      <c r="Z67" t="s">
        <v>841</v>
      </c>
      <c r="AA67" t="s">
        <v>841</v>
      </c>
      <c r="AB67" t="s">
        <v>841</v>
      </c>
      <c r="AC67" t="s">
        <v>841</v>
      </c>
      <c r="AH67">
        <v>1</v>
      </c>
      <c r="AI67">
        <v>1</v>
      </c>
      <c r="AJ67">
        <v>1</v>
      </c>
      <c r="AK67">
        <v>1</v>
      </c>
      <c r="AL67">
        <v>1</v>
      </c>
      <c r="AM67">
        <v>1</v>
      </c>
      <c r="AN67">
        <v>1</v>
      </c>
      <c r="AO67">
        <v>1</v>
      </c>
      <c r="AP67">
        <v>1</v>
      </c>
      <c r="AQ67">
        <v>1</v>
      </c>
      <c r="AR67">
        <v>1</v>
      </c>
      <c r="AZ67" t="s">
        <v>841</v>
      </c>
      <c r="BM67" t="s">
        <v>841</v>
      </c>
      <c r="BV67" t="s">
        <v>839</v>
      </c>
      <c r="BW67" t="s">
        <v>950</v>
      </c>
      <c r="BX67" t="s">
        <v>839</v>
      </c>
      <c r="BY67" t="s">
        <v>759</v>
      </c>
      <c r="BZ67" t="s">
        <v>839</v>
      </c>
      <c r="CA67" t="s">
        <v>839</v>
      </c>
      <c r="CC67" t="s">
        <v>839</v>
      </c>
      <c r="CD67" t="s">
        <v>855</v>
      </c>
      <c r="CG67">
        <v>8</v>
      </c>
      <c r="CH67">
        <v>3</v>
      </c>
      <c r="CI67">
        <v>4</v>
      </c>
      <c r="CJ67">
        <v>1</v>
      </c>
      <c r="CK67" t="s">
        <v>877</v>
      </c>
      <c r="CM67" t="s">
        <v>867</v>
      </c>
      <c r="CN67">
        <v>0</v>
      </c>
      <c r="CO67">
        <v>1</v>
      </c>
      <c r="CP67">
        <v>0</v>
      </c>
      <c r="CQ67">
        <v>0</v>
      </c>
      <c r="CR67">
        <v>0</v>
      </c>
      <c r="CS67">
        <v>0</v>
      </c>
      <c r="CU67" t="s">
        <v>1301</v>
      </c>
      <c r="CV67">
        <v>1</v>
      </c>
      <c r="CW67">
        <v>0</v>
      </c>
      <c r="CX67">
        <v>1</v>
      </c>
      <c r="CY67">
        <v>0</v>
      </c>
      <c r="CZ67">
        <v>0</v>
      </c>
      <c r="DA67">
        <v>1</v>
      </c>
      <c r="DB67">
        <v>0</v>
      </c>
      <c r="DC67">
        <v>0</v>
      </c>
      <c r="DD67">
        <v>1</v>
      </c>
      <c r="DE67">
        <v>1</v>
      </c>
      <c r="DF67">
        <v>0</v>
      </c>
      <c r="DJ67">
        <v>7</v>
      </c>
      <c r="DK67">
        <v>4</v>
      </c>
      <c r="DL67">
        <v>11</v>
      </c>
      <c r="DN67">
        <v>400</v>
      </c>
      <c r="DP67">
        <v>600</v>
      </c>
      <c r="DQ67" t="s">
        <v>1125</v>
      </c>
      <c r="DR67">
        <v>1</v>
      </c>
      <c r="DS67">
        <v>1</v>
      </c>
      <c r="DT67">
        <v>1</v>
      </c>
      <c r="DU67">
        <v>0</v>
      </c>
      <c r="DV67">
        <v>0</v>
      </c>
      <c r="DW67">
        <v>1</v>
      </c>
      <c r="DX67">
        <v>0</v>
      </c>
      <c r="DY67">
        <v>0</v>
      </c>
      <c r="DZ67">
        <v>0</v>
      </c>
      <c r="EB67" t="s">
        <v>839</v>
      </c>
      <c r="EC67" t="s">
        <v>869</v>
      </c>
      <c r="ED67" t="s">
        <v>848</v>
      </c>
      <c r="EI67">
        <v>800</v>
      </c>
      <c r="EM67" t="s">
        <v>841</v>
      </c>
      <c r="EO67">
        <v>800</v>
      </c>
      <c r="ES67" t="s">
        <v>841</v>
      </c>
      <c r="FA67">
        <v>6</v>
      </c>
      <c r="FB67" t="s">
        <v>841</v>
      </c>
      <c r="FL67" t="s">
        <v>841</v>
      </c>
      <c r="FM67">
        <v>200</v>
      </c>
      <c r="FO67">
        <v>0</v>
      </c>
      <c r="FP67">
        <v>0</v>
      </c>
      <c r="FQ67">
        <v>0</v>
      </c>
      <c r="FS67" t="s">
        <v>839</v>
      </c>
      <c r="FT67" t="s">
        <v>839</v>
      </c>
      <c r="FU67" t="s">
        <v>839</v>
      </c>
      <c r="FV67" t="s">
        <v>839</v>
      </c>
      <c r="FW67" t="s">
        <v>839</v>
      </c>
      <c r="FX67" t="s">
        <v>880</v>
      </c>
      <c r="FY67" t="s">
        <v>839</v>
      </c>
      <c r="FZ67" t="s">
        <v>839</v>
      </c>
      <c r="GA67" t="s">
        <v>839</v>
      </c>
      <c r="GB67" t="s">
        <v>839</v>
      </c>
      <c r="GC67" t="s">
        <v>842</v>
      </c>
      <c r="GD67" t="s">
        <v>839</v>
      </c>
      <c r="GE67" t="s">
        <v>929</v>
      </c>
      <c r="GG67" t="s">
        <v>842</v>
      </c>
      <c r="GI67" t="s">
        <v>1302</v>
      </c>
      <c r="GJ67">
        <v>1</v>
      </c>
      <c r="GK67">
        <v>0</v>
      </c>
      <c r="GL67">
        <v>1</v>
      </c>
      <c r="GM67">
        <v>0</v>
      </c>
      <c r="GN67">
        <v>0</v>
      </c>
      <c r="GO67">
        <v>0</v>
      </c>
      <c r="GP67">
        <v>1</v>
      </c>
      <c r="GQ67">
        <v>0</v>
      </c>
      <c r="GR67">
        <v>0</v>
      </c>
      <c r="GS67">
        <v>0</v>
      </c>
      <c r="GT67">
        <v>0</v>
      </c>
      <c r="GU67">
        <v>0</v>
      </c>
      <c r="GV67">
        <v>0</v>
      </c>
      <c r="GW67">
        <v>1</v>
      </c>
      <c r="GX67">
        <v>0</v>
      </c>
      <c r="GY67">
        <v>1</v>
      </c>
      <c r="GZ67">
        <v>0</v>
      </c>
      <c r="HB67" t="s">
        <v>839</v>
      </c>
    </row>
    <row r="68" spans="1:211" x14ac:dyDescent="0.35">
      <c r="A68" t="s">
        <v>1303</v>
      </c>
      <c r="B68" s="151">
        <v>45105.667488425926</v>
      </c>
      <c r="C68" t="s">
        <v>1304</v>
      </c>
      <c r="D68" t="s">
        <v>1305</v>
      </c>
      <c r="E68" t="s">
        <v>835</v>
      </c>
      <c r="F68" t="s">
        <v>1306</v>
      </c>
      <c r="G68" t="s">
        <v>1306</v>
      </c>
      <c r="H68" t="s">
        <v>839</v>
      </c>
      <c r="I68" t="s">
        <v>838</v>
      </c>
      <c r="K68" t="s">
        <v>842</v>
      </c>
      <c r="O68">
        <v>70</v>
      </c>
      <c r="P68">
        <v>50</v>
      </c>
      <c r="Q68">
        <v>120</v>
      </c>
      <c r="S68" t="s">
        <v>841</v>
      </c>
      <c r="T68" t="s">
        <v>841</v>
      </c>
      <c r="U68" t="s">
        <v>841</v>
      </c>
      <c r="V68" t="s">
        <v>841</v>
      </c>
      <c r="W68" t="s">
        <v>841</v>
      </c>
      <c r="X68" t="s">
        <v>841</v>
      </c>
      <c r="Y68" t="s">
        <v>841</v>
      </c>
      <c r="Z68" t="s">
        <v>841</v>
      </c>
      <c r="BV68" t="s">
        <v>842</v>
      </c>
      <c r="BX68" t="s">
        <v>839</v>
      </c>
      <c r="BY68" t="s">
        <v>759</v>
      </c>
      <c r="BZ68" t="s">
        <v>839</v>
      </c>
      <c r="CA68" t="s">
        <v>839</v>
      </c>
      <c r="CC68" t="s">
        <v>839</v>
      </c>
      <c r="CD68" t="s">
        <v>855</v>
      </c>
      <c r="CG68">
        <v>6</v>
      </c>
      <c r="CH68">
        <v>2</v>
      </c>
      <c r="CI68">
        <v>2</v>
      </c>
      <c r="CJ68">
        <v>2</v>
      </c>
      <c r="CK68" t="s">
        <v>877</v>
      </c>
      <c r="CM68" t="s">
        <v>844</v>
      </c>
      <c r="CN68">
        <v>1</v>
      </c>
      <c r="CO68">
        <v>0</v>
      </c>
      <c r="CP68">
        <v>0</v>
      </c>
      <c r="CQ68">
        <v>0</v>
      </c>
      <c r="CR68">
        <v>0</v>
      </c>
      <c r="CS68">
        <v>0</v>
      </c>
      <c r="CU68" t="s">
        <v>1024</v>
      </c>
      <c r="CV68">
        <v>1</v>
      </c>
      <c r="CW68">
        <v>1</v>
      </c>
      <c r="CX68">
        <v>1</v>
      </c>
      <c r="CY68">
        <v>0</v>
      </c>
      <c r="CZ68">
        <v>0</v>
      </c>
      <c r="DA68">
        <v>0</v>
      </c>
      <c r="DB68">
        <v>0</v>
      </c>
      <c r="DC68">
        <v>0</v>
      </c>
      <c r="DD68">
        <v>1</v>
      </c>
      <c r="DE68">
        <v>1</v>
      </c>
      <c r="DF68">
        <v>0</v>
      </c>
      <c r="DJ68">
        <v>1</v>
      </c>
      <c r="DK68">
        <v>7</v>
      </c>
      <c r="DL68">
        <v>8</v>
      </c>
      <c r="DN68">
        <v>350</v>
      </c>
      <c r="DP68">
        <v>550</v>
      </c>
      <c r="DQ68" t="s">
        <v>927</v>
      </c>
      <c r="DR68">
        <v>1</v>
      </c>
      <c r="DS68">
        <v>0</v>
      </c>
      <c r="DT68">
        <v>1</v>
      </c>
      <c r="DU68">
        <v>0</v>
      </c>
      <c r="DV68">
        <v>0</v>
      </c>
      <c r="DW68">
        <v>0</v>
      </c>
      <c r="DX68">
        <v>0</v>
      </c>
      <c r="DY68">
        <v>0</v>
      </c>
      <c r="DZ68">
        <v>0</v>
      </c>
      <c r="EB68" t="s">
        <v>839</v>
      </c>
      <c r="EC68" t="s">
        <v>847</v>
      </c>
      <c r="ED68" t="s">
        <v>848</v>
      </c>
      <c r="EI68" s="157">
        <v>130</v>
      </c>
      <c r="EJ68" s="157"/>
      <c r="EK68" s="157"/>
      <c r="EL68" s="157"/>
      <c r="EM68" s="157" t="s">
        <v>841</v>
      </c>
      <c r="EN68" s="157"/>
      <c r="EO68" s="157">
        <v>173</v>
      </c>
      <c r="EP68" s="157"/>
      <c r="EQ68" s="157"/>
      <c r="ER68" s="157"/>
      <c r="ES68" s="157" t="s">
        <v>841</v>
      </c>
      <c r="ET68" s="157"/>
      <c r="EU68" s="157">
        <v>300</v>
      </c>
      <c r="EV68" s="157"/>
      <c r="EW68" s="157"/>
      <c r="EX68" s="157"/>
      <c r="EY68" s="157" t="s">
        <v>841</v>
      </c>
      <c r="EZ68" s="157"/>
      <c r="FA68" s="157">
        <v>5</v>
      </c>
      <c r="FB68" s="157" t="s">
        <v>841</v>
      </c>
      <c r="FC68" s="157"/>
      <c r="FD68" s="157"/>
      <c r="FE68" s="157"/>
      <c r="FF68" s="157"/>
      <c r="FG68" s="157">
        <v>2</v>
      </c>
      <c r="FH68" s="157" t="s">
        <v>841</v>
      </c>
      <c r="FI68" s="157"/>
      <c r="FJ68" s="157"/>
      <c r="FK68" s="157"/>
      <c r="FL68" s="157"/>
      <c r="FM68">
        <v>1200</v>
      </c>
      <c r="FO68">
        <v>0</v>
      </c>
      <c r="FP68">
        <v>0</v>
      </c>
      <c r="FQ68">
        <v>0</v>
      </c>
      <c r="FS68" t="s">
        <v>842</v>
      </c>
      <c r="FT68" t="s">
        <v>842</v>
      </c>
      <c r="FU68" t="s">
        <v>842</v>
      </c>
      <c r="FV68" t="s">
        <v>842</v>
      </c>
      <c r="FW68" t="s">
        <v>842</v>
      </c>
      <c r="FY68" t="s">
        <v>842</v>
      </c>
      <c r="FZ68" t="s">
        <v>839</v>
      </c>
      <c r="GA68" t="s">
        <v>842</v>
      </c>
      <c r="GB68" t="s">
        <v>842</v>
      </c>
      <c r="GC68" t="s">
        <v>842</v>
      </c>
      <c r="GD68" t="s">
        <v>842</v>
      </c>
      <c r="GG68" t="s">
        <v>842</v>
      </c>
      <c r="GI68" t="s">
        <v>1025</v>
      </c>
      <c r="GJ68">
        <v>1</v>
      </c>
      <c r="GK68">
        <v>0</v>
      </c>
      <c r="GL68">
        <v>0</v>
      </c>
      <c r="GM68">
        <v>0</v>
      </c>
      <c r="GN68">
        <v>0</v>
      </c>
      <c r="GO68">
        <v>1</v>
      </c>
      <c r="GP68">
        <v>0</v>
      </c>
      <c r="GQ68">
        <v>0</v>
      </c>
      <c r="GR68">
        <v>0</v>
      </c>
      <c r="GS68">
        <v>0</v>
      </c>
      <c r="GT68">
        <v>0</v>
      </c>
      <c r="GU68">
        <v>0</v>
      </c>
      <c r="GV68">
        <v>0</v>
      </c>
      <c r="GW68">
        <v>0</v>
      </c>
      <c r="GX68">
        <v>0</v>
      </c>
      <c r="GY68">
        <v>0</v>
      </c>
      <c r="GZ68">
        <v>0</v>
      </c>
      <c r="HB68" t="s">
        <v>839</v>
      </c>
    </row>
    <row r="69" spans="1:211" x14ac:dyDescent="0.35">
      <c r="A69" t="s">
        <v>1307</v>
      </c>
      <c r="B69" s="151">
        <v>45105.775347222218</v>
      </c>
      <c r="C69" t="s">
        <v>1308</v>
      </c>
      <c r="D69" t="s">
        <v>1309</v>
      </c>
      <c r="E69" t="s">
        <v>835</v>
      </c>
      <c r="F69" t="s">
        <v>1310</v>
      </c>
      <c r="G69" t="s">
        <v>1310</v>
      </c>
      <c r="H69" t="s">
        <v>837</v>
      </c>
      <c r="I69" t="s">
        <v>838</v>
      </c>
      <c r="K69" t="s">
        <v>842</v>
      </c>
      <c r="O69">
        <v>170</v>
      </c>
      <c r="P69">
        <v>110</v>
      </c>
      <c r="Q69">
        <v>170</v>
      </c>
      <c r="T69" t="s">
        <v>841</v>
      </c>
      <c r="U69" t="s">
        <v>841</v>
      </c>
      <c r="V69" t="s">
        <v>841</v>
      </c>
      <c r="W69" t="s">
        <v>841</v>
      </c>
      <c r="X69" t="s">
        <v>841</v>
      </c>
      <c r="Y69" t="s">
        <v>841</v>
      </c>
      <c r="Z69" t="s">
        <v>841</v>
      </c>
      <c r="AA69" t="s">
        <v>841</v>
      </c>
      <c r="AB69" t="s">
        <v>841</v>
      </c>
      <c r="AC69" t="s">
        <v>841</v>
      </c>
      <c r="AI69">
        <v>1</v>
      </c>
      <c r="AJ69">
        <v>1</v>
      </c>
      <c r="AK69">
        <v>1</v>
      </c>
      <c r="AL69">
        <v>1</v>
      </c>
      <c r="AM69">
        <v>1</v>
      </c>
      <c r="AN69">
        <v>1</v>
      </c>
      <c r="AO69">
        <v>1</v>
      </c>
      <c r="AP69">
        <v>1</v>
      </c>
      <c r="AQ69">
        <v>1</v>
      </c>
      <c r="AR69">
        <v>1</v>
      </c>
      <c r="BV69" t="s">
        <v>842</v>
      </c>
      <c r="BX69" t="s">
        <v>839</v>
      </c>
      <c r="BY69" t="s">
        <v>950</v>
      </c>
      <c r="BZ69" t="s">
        <v>839</v>
      </c>
      <c r="CA69" t="s">
        <v>839</v>
      </c>
      <c r="CC69" t="s">
        <v>839</v>
      </c>
      <c r="CD69" t="s">
        <v>855</v>
      </c>
      <c r="CG69">
        <v>2</v>
      </c>
      <c r="CH69">
        <v>1</v>
      </c>
      <c r="CI69">
        <v>1</v>
      </c>
      <c r="CJ69">
        <v>0</v>
      </c>
      <c r="CK69" t="s">
        <v>681</v>
      </c>
      <c r="CM69" t="s">
        <v>867</v>
      </c>
      <c r="CN69">
        <v>0</v>
      </c>
      <c r="CO69">
        <v>1</v>
      </c>
      <c r="CP69">
        <v>0</v>
      </c>
      <c r="CQ69">
        <v>0</v>
      </c>
      <c r="CR69">
        <v>0</v>
      </c>
      <c r="CS69">
        <v>0</v>
      </c>
      <c r="CU69" t="s">
        <v>1311</v>
      </c>
      <c r="CV69">
        <v>1</v>
      </c>
      <c r="CW69">
        <v>0</v>
      </c>
      <c r="CX69">
        <v>1</v>
      </c>
      <c r="CY69">
        <v>1</v>
      </c>
      <c r="CZ69">
        <v>0</v>
      </c>
      <c r="DA69">
        <v>0</v>
      </c>
      <c r="DB69">
        <v>0</v>
      </c>
      <c r="DC69">
        <v>0</v>
      </c>
      <c r="DD69">
        <v>1</v>
      </c>
      <c r="DE69">
        <v>0</v>
      </c>
      <c r="DF69">
        <v>0</v>
      </c>
      <c r="DJ69">
        <v>1</v>
      </c>
      <c r="DK69">
        <v>7</v>
      </c>
      <c r="DL69">
        <v>8</v>
      </c>
      <c r="DN69">
        <v>400</v>
      </c>
      <c r="DP69">
        <v>700</v>
      </c>
      <c r="DQ69" t="s">
        <v>937</v>
      </c>
      <c r="DR69">
        <v>1</v>
      </c>
      <c r="DS69">
        <v>0</v>
      </c>
      <c r="DT69">
        <v>0</v>
      </c>
      <c r="DU69">
        <v>0</v>
      </c>
      <c r="DV69">
        <v>0</v>
      </c>
      <c r="DW69">
        <v>0</v>
      </c>
      <c r="DX69">
        <v>0</v>
      </c>
      <c r="DY69">
        <v>0</v>
      </c>
      <c r="DZ69">
        <v>0</v>
      </c>
      <c r="EB69" t="s">
        <v>842</v>
      </c>
      <c r="EC69" t="s">
        <v>909</v>
      </c>
      <c r="ED69" t="s">
        <v>848</v>
      </c>
      <c r="EI69">
        <v>250</v>
      </c>
      <c r="EM69" t="s">
        <v>841</v>
      </c>
      <c r="EO69">
        <v>250</v>
      </c>
      <c r="ES69" t="s">
        <v>841</v>
      </c>
      <c r="EZ69" t="s">
        <v>841</v>
      </c>
      <c r="FA69">
        <v>4</v>
      </c>
      <c r="FB69" t="s">
        <v>841</v>
      </c>
      <c r="FL69" t="s">
        <v>841</v>
      </c>
      <c r="FM69">
        <v>800</v>
      </c>
      <c r="FO69">
        <v>0</v>
      </c>
      <c r="FP69">
        <v>0</v>
      </c>
      <c r="FQ69">
        <v>0</v>
      </c>
      <c r="FS69" t="s">
        <v>839</v>
      </c>
      <c r="FT69" t="s">
        <v>839</v>
      </c>
      <c r="FU69" t="s">
        <v>842</v>
      </c>
      <c r="FV69" t="s">
        <v>842</v>
      </c>
      <c r="FW69" t="s">
        <v>839</v>
      </c>
      <c r="FX69" t="s">
        <v>890</v>
      </c>
      <c r="FY69" t="s">
        <v>842</v>
      </c>
      <c r="FZ69" t="s">
        <v>839</v>
      </c>
      <c r="GA69" t="s">
        <v>839</v>
      </c>
      <c r="GB69" t="s">
        <v>842</v>
      </c>
      <c r="GC69" t="s">
        <v>842</v>
      </c>
      <c r="GD69" t="s">
        <v>842</v>
      </c>
      <c r="GG69" t="s">
        <v>842</v>
      </c>
      <c r="GI69" t="s">
        <v>1312</v>
      </c>
      <c r="GJ69">
        <v>0</v>
      </c>
      <c r="GK69">
        <v>0</v>
      </c>
      <c r="GL69">
        <v>1</v>
      </c>
      <c r="GM69">
        <v>0</v>
      </c>
      <c r="GN69">
        <v>0</v>
      </c>
      <c r="GO69">
        <v>0</v>
      </c>
      <c r="GP69">
        <v>0</v>
      </c>
      <c r="GQ69">
        <v>0</v>
      </c>
      <c r="GR69">
        <v>0</v>
      </c>
      <c r="GS69">
        <v>1</v>
      </c>
      <c r="GT69">
        <v>0</v>
      </c>
      <c r="GU69">
        <v>0</v>
      </c>
      <c r="GV69">
        <v>0</v>
      </c>
      <c r="GW69">
        <v>0</v>
      </c>
      <c r="GX69">
        <v>0</v>
      </c>
      <c r="GY69">
        <v>0</v>
      </c>
      <c r="GZ69">
        <v>1</v>
      </c>
      <c r="HB69" t="s">
        <v>839</v>
      </c>
    </row>
    <row r="70" spans="1:211" x14ac:dyDescent="0.35">
      <c r="A70" t="s">
        <v>1313</v>
      </c>
      <c r="B70" s="151">
        <v>45105.871944444443</v>
      </c>
      <c r="C70" t="s">
        <v>1314</v>
      </c>
      <c r="D70" t="s">
        <v>1315</v>
      </c>
      <c r="E70" t="s">
        <v>875</v>
      </c>
      <c r="F70" t="s">
        <v>1316</v>
      </c>
      <c r="G70" t="s">
        <v>1316</v>
      </c>
      <c r="H70" t="s">
        <v>839</v>
      </c>
      <c r="I70" t="s">
        <v>838</v>
      </c>
      <c r="K70" t="s">
        <v>839</v>
      </c>
      <c r="L70" t="s">
        <v>897</v>
      </c>
      <c r="O70">
        <v>129</v>
      </c>
      <c r="P70">
        <v>141</v>
      </c>
      <c r="Q70">
        <v>270</v>
      </c>
      <c r="T70" t="s">
        <v>841</v>
      </c>
      <c r="U70" t="s">
        <v>841</v>
      </c>
      <c r="V70" t="s">
        <v>841</v>
      </c>
      <c r="W70" t="s">
        <v>841</v>
      </c>
      <c r="X70" t="s">
        <v>841</v>
      </c>
      <c r="Y70" t="s">
        <v>841</v>
      </c>
      <c r="Z70" t="s">
        <v>841</v>
      </c>
      <c r="AA70" t="s">
        <v>841</v>
      </c>
      <c r="AB70" t="s">
        <v>841</v>
      </c>
      <c r="AC70" t="s">
        <v>841</v>
      </c>
      <c r="AI70">
        <v>1</v>
      </c>
      <c r="AJ70">
        <v>1</v>
      </c>
      <c r="AK70">
        <v>1</v>
      </c>
      <c r="AL70">
        <v>1</v>
      </c>
      <c r="AM70">
        <v>1</v>
      </c>
      <c r="AN70">
        <v>1</v>
      </c>
      <c r="AO70">
        <v>1</v>
      </c>
      <c r="AP70">
        <v>1</v>
      </c>
      <c r="AQ70">
        <v>1</v>
      </c>
      <c r="AR70">
        <v>1</v>
      </c>
      <c r="BB70">
        <v>0</v>
      </c>
      <c r="BC70">
        <v>0</v>
      </c>
      <c r="BD70">
        <v>0</v>
      </c>
      <c r="BF70">
        <v>0</v>
      </c>
      <c r="BG70">
        <v>0</v>
      </c>
      <c r="BH70">
        <v>0</v>
      </c>
      <c r="BJ70">
        <v>0</v>
      </c>
      <c r="BK70">
        <v>0</v>
      </c>
      <c r="BL70">
        <v>0</v>
      </c>
      <c r="BM70" t="s">
        <v>841</v>
      </c>
      <c r="BP70">
        <v>0</v>
      </c>
      <c r="BQ70">
        <v>0</v>
      </c>
      <c r="BR70">
        <v>0</v>
      </c>
      <c r="BS70" t="s">
        <v>841</v>
      </c>
      <c r="BV70" t="s">
        <v>842</v>
      </c>
      <c r="BX70" t="s">
        <v>839</v>
      </c>
      <c r="BY70" t="s">
        <v>950</v>
      </c>
      <c r="BZ70" t="s">
        <v>839</v>
      </c>
      <c r="CA70" t="s">
        <v>839</v>
      </c>
      <c r="CC70" t="s">
        <v>839</v>
      </c>
      <c r="CD70" t="s">
        <v>855</v>
      </c>
      <c r="CG70">
        <v>4</v>
      </c>
      <c r="CH70">
        <v>2</v>
      </c>
      <c r="CI70">
        <v>2</v>
      </c>
      <c r="CJ70">
        <v>0</v>
      </c>
      <c r="CK70" t="s">
        <v>681</v>
      </c>
      <c r="CM70" t="s">
        <v>626</v>
      </c>
      <c r="CN70">
        <v>0</v>
      </c>
      <c r="CO70">
        <v>0</v>
      </c>
      <c r="CP70">
        <v>0</v>
      </c>
      <c r="CQ70">
        <v>0</v>
      </c>
      <c r="CR70">
        <v>0</v>
      </c>
      <c r="CS70">
        <v>1</v>
      </c>
      <c r="CT70" t="s">
        <v>1317</v>
      </c>
      <c r="CU70" t="s">
        <v>868</v>
      </c>
      <c r="CV70">
        <v>1</v>
      </c>
      <c r="CW70">
        <v>0</v>
      </c>
      <c r="CX70">
        <v>1</v>
      </c>
      <c r="CY70">
        <v>0</v>
      </c>
      <c r="CZ70">
        <v>0</v>
      </c>
      <c r="DA70">
        <v>0</v>
      </c>
      <c r="DB70">
        <v>0</v>
      </c>
      <c r="DC70">
        <v>0</v>
      </c>
      <c r="DD70">
        <v>1</v>
      </c>
      <c r="DE70">
        <v>1</v>
      </c>
      <c r="DF70">
        <v>0</v>
      </c>
      <c r="DJ70">
        <v>6</v>
      </c>
      <c r="DK70">
        <v>5</v>
      </c>
      <c r="DL70">
        <v>11</v>
      </c>
      <c r="DN70">
        <v>400</v>
      </c>
      <c r="DP70">
        <v>800</v>
      </c>
      <c r="DQ70" t="s">
        <v>858</v>
      </c>
      <c r="DR70">
        <v>0</v>
      </c>
      <c r="DS70">
        <v>0</v>
      </c>
      <c r="DT70">
        <v>1</v>
      </c>
      <c r="DU70">
        <v>0</v>
      </c>
      <c r="DV70">
        <v>1</v>
      </c>
      <c r="DW70">
        <v>0</v>
      </c>
      <c r="DX70">
        <v>0</v>
      </c>
      <c r="DY70">
        <v>0</v>
      </c>
      <c r="DZ70">
        <v>0</v>
      </c>
      <c r="EB70" t="s">
        <v>842</v>
      </c>
      <c r="EC70" t="s">
        <v>847</v>
      </c>
      <c r="ED70" t="s">
        <v>848</v>
      </c>
      <c r="EI70">
        <v>5</v>
      </c>
      <c r="EJ70" t="s">
        <v>841</v>
      </c>
      <c r="EM70" t="s">
        <v>841</v>
      </c>
      <c r="EO70">
        <v>5</v>
      </c>
      <c r="EP70" t="s">
        <v>841</v>
      </c>
      <c r="EU70">
        <v>10</v>
      </c>
      <c r="EV70" t="s">
        <v>841</v>
      </c>
      <c r="FA70">
        <v>5</v>
      </c>
      <c r="FB70" t="s">
        <v>841</v>
      </c>
      <c r="FG70">
        <v>5</v>
      </c>
      <c r="FH70" t="s">
        <v>841</v>
      </c>
      <c r="FM70">
        <v>525</v>
      </c>
      <c r="FO70">
        <v>0</v>
      </c>
      <c r="FP70">
        <v>0</v>
      </c>
      <c r="FQ70">
        <v>0</v>
      </c>
      <c r="FS70" t="s">
        <v>842</v>
      </c>
      <c r="FT70" t="s">
        <v>839</v>
      </c>
      <c r="FU70" t="s">
        <v>839</v>
      </c>
      <c r="FV70" t="s">
        <v>842</v>
      </c>
      <c r="FW70" t="s">
        <v>839</v>
      </c>
      <c r="FX70" t="s">
        <v>910</v>
      </c>
      <c r="FY70" t="s">
        <v>842</v>
      </c>
      <c r="FZ70" t="s">
        <v>839</v>
      </c>
      <c r="GA70" t="s">
        <v>839</v>
      </c>
      <c r="GB70" t="s">
        <v>839</v>
      </c>
      <c r="GC70" t="s">
        <v>842</v>
      </c>
      <c r="GD70" t="s">
        <v>842</v>
      </c>
      <c r="GG70" t="s">
        <v>842</v>
      </c>
      <c r="GI70" t="s">
        <v>1318</v>
      </c>
      <c r="GJ70">
        <v>1</v>
      </c>
      <c r="GK70">
        <v>0</v>
      </c>
      <c r="GL70">
        <v>0</v>
      </c>
      <c r="GM70">
        <v>0</v>
      </c>
      <c r="GN70">
        <v>0</v>
      </c>
      <c r="GO70">
        <v>0</v>
      </c>
      <c r="GP70">
        <v>0</v>
      </c>
      <c r="GQ70">
        <v>0</v>
      </c>
      <c r="GR70">
        <v>1</v>
      </c>
      <c r="GS70">
        <v>0</v>
      </c>
      <c r="GT70">
        <v>0</v>
      </c>
      <c r="GU70">
        <v>0</v>
      </c>
      <c r="GV70">
        <v>0</v>
      </c>
      <c r="GW70">
        <v>0</v>
      </c>
      <c r="GX70">
        <v>0</v>
      </c>
      <c r="GY70">
        <v>0</v>
      </c>
      <c r="GZ70">
        <v>0</v>
      </c>
      <c r="HB70" t="s">
        <v>842</v>
      </c>
      <c r="HC70" t="s">
        <v>1059</v>
      </c>
    </row>
    <row r="71" spans="1:211" ht="17.25" customHeight="1" x14ac:dyDescent="0.35">
      <c r="A71" t="s">
        <v>1319</v>
      </c>
      <c r="B71" s="151">
        <v>45106.39</v>
      </c>
      <c r="C71" t="s">
        <v>1320</v>
      </c>
      <c r="D71" s="155" t="s">
        <v>1321</v>
      </c>
      <c r="E71" t="s">
        <v>835</v>
      </c>
      <c r="F71" t="s">
        <v>1322</v>
      </c>
      <c r="G71" t="s">
        <v>1323</v>
      </c>
      <c r="H71" t="s">
        <v>839</v>
      </c>
      <c r="I71" t="s">
        <v>838</v>
      </c>
      <c r="K71" t="s">
        <v>839</v>
      </c>
      <c r="L71" t="s">
        <v>887</v>
      </c>
      <c r="O71">
        <v>57</v>
      </c>
      <c r="P71">
        <v>80</v>
      </c>
      <c r="Q71">
        <v>137</v>
      </c>
      <c r="S71" t="s">
        <v>841</v>
      </c>
      <c r="T71" t="s">
        <v>841</v>
      </c>
      <c r="U71" t="s">
        <v>841</v>
      </c>
      <c r="V71" t="s">
        <v>841</v>
      </c>
      <c r="W71" t="s">
        <v>841</v>
      </c>
      <c r="X71" t="s">
        <v>841</v>
      </c>
      <c r="Y71" t="s">
        <v>841</v>
      </c>
      <c r="Z71" t="s">
        <v>841</v>
      </c>
      <c r="AA71" t="s">
        <v>841</v>
      </c>
      <c r="AB71" t="s">
        <v>841</v>
      </c>
      <c r="AC71" t="s">
        <v>841</v>
      </c>
      <c r="AH71">
        <v>1</v>
      </c>
      <c r="AI71">
        <v>1</v>
      </c>
      <c r="AJ71">
        <v>1</v>
      </c>
      <c r="AK71">
        <v>1</v>
      </c>
      <c r="AL71">
        <v>1</v>
      </c>
      <c r="AM71">
        <v>1</v>
      </c>
      <c r="AN71">
        <v>1</v>
      </c>
      <c r="AO71">
        <v>1</v>
      </c>
      <c r="AP71">
        <v>1</v>
      </c>
      <c r="AQ71">
        <v>1</v>
      </c>
      <c r="AR71">
        <v>1</v>
      </c>
      <c r="AS71">
        <v>0</v>
      </c>
      <c r="AT71">
        <v>0</v>
      </c>
      <c r="AU71">
        <v>0</v>
      </c>
      <c r="BB71">
        <v>0</v>
      </c>
      <c r="BC71">
        <v>0</v>
      </c>
      <c r="BD71">
        <v>0</v>
      </c>
      <c r="BF71">
        <v>0</v>
      </c>
      <c r="BG71">
        <v>0</v>
      </c>
      <c r="BH71">
        <v>0</v>
      </c>
      <c r="BJ71">
        <v>0</v>
      </c>
      <c r="BK71">
        <v>0</v>
      </c>
      <c r="BL71">
        <v>0</v>
      </c>
      <c r="BP71">
        <v>0</v>
      </c>
      <c r="BQ71">
        <v>0</v>
      </c>
      <c r="BR71">
        <v>0</v>
      </c>
      <c r="BV71" t="s">
        <v>839</v>
      </c>
      <c r="BW71" t="s">
        <v>758</v>
      </c>
      <c r="BX71" t="s">
        <v>839</v>
      </c>
      <c r="BY71" t="s">
        <v>759</v>
      </c>
      <c r="BZ71" t="s">
        <v>839</v>
      </c>
      <c r="CA71" t="s">
        <v>839</v>
      </c>
      <c r="CC71" t="s">
        <v>842</v>
      </c>
      <c r="CD71" t="s">
        <v>626</v>
      </c>
      <c r="CE71" s="155" t="s">
        <v>1324</v>
      </c>
      <c r="CG71">
        <v>3</v>
      </c>
      <c r="CH71">
        <v>1</v>
      </c>
      <c r="CI71">
        <v>1</v>
      </c>
      <c r="CJ71">
        <v>1</v>
      </c>
      <c r="CK71" t="s">
        <v>866</v>
      </c>
      <c r="CM71" t="s">
        <v>1023</v>
      </c>
      <c r="CN71">
        <v>0</v>
      </c>
      <c r="CO71">
        <v>0</v>
      </c>
      <c r="CP71">
        <v>0</v>
      </c>
      <c r="CQ71">
        <v>1</v>
      </c>
      <c r="CR71">
        <v>0</v>
      </c>
      <c r="CS71">
        <v>0</v>
      </c>
      <c r="CU71" t="s">
        <v>1325</v>
      </c>
      <c r="CV71">
        <v>1</v>
      </c>
      <c r="CW71">
        <v>0</v>
      </c>
      <c r="CX71">
        <v>1</v>
      </c>
      <c r="CY71">
        <v>0</v>
      </c>
      <c r="CZ71">
        <v>0</v>
      </c>
      <c r="DA71">
        <v>0</v>
      </c>
      <c r="DB71">
        <v>0</v>
      </c>
      <c r="DC71">
        <v>0</v>
      </c>
      <c r="DD71">
        <v>0</v>
      </c>
      <c r="DE71">
        <v>0</v>
      </c>
      <c r="DF71">
        <v>1</v>
      </c>
      <c r="DG71" t="s">
        <v>1326</v>
      </c>
      <c r="DJ71">
        <v>4</v>
      </c>
      <c r="DK71">
        <v>5</v>
      </c>
      <c r="DL71">
        <v>9</v>
      </c>
      <c r="DN71">
        <v>280</v>
      </c>
      <c r="DP71">
        <v>1200</v>
      </c>
      <c r="DQ71" t="s">
        <v>1048</v>
      </c>
      <c r="DR71">
        <v>1</v>
      </c>
      <c r="DS71">
        <v>0</v>
      </c>
      <c r="DT71">
        <v>1</v>
      </c>
      <c r="DU71">
        <v>0</v>
      </c>
      <c r="DV71">
        <v>1</v>
      </c>
      <c r="DW71">
        <v>1</v>
      </c>
      <c r="DX71">
        <v>0</v>
      </c>
      <c r="DY71">
        <v>0</v>
      </c>
      <c r="DZ71">
        <v>0</v>
      </c>
      <c r="EB71" t="s">
        <v>839</v>
      </c>
      <c r="EC71" t="s">
        <v>847</v>
      </c>
      <c r="ED71" t="s">
        <v>626</v>
      </c>
      <c r="EE71" s="155" t="s">
        <v>1327</v>
      </c>
      <c r="EI71">
        <v>80</v>
      </c>
      <c r="EM71" t="s">
        <v>841</v>
      </c>
      <c r="EO71">
        <v>150</v>
      </c>
      <c r="ES71" t="s">
        <v>841</v>
      </c>
      <c r="EU71">
        <v>200</v>
      </c>
      <c r="EY71" t="s">
        <v>841</v>
      </c>
      <c r="FA71">
        <v>5</v>
      </c>
      <c r="FB71" t="s">
        <v>841</v>
      </c>
      <c r="FL71" t="s">
        <v>841</v>
      </c>
      <c r="FM71">
        <v>370</v>
      </c>
      <c r="FO71">
        <v>5</v>
      </c>
      <c r="FP71">
        <v>9</v>
      </c>
      <c r="FQ71">
        <v>14</v>
      </c>
      <c r="FS71" t="s">
        <v>839</v>
      </c>
      <c r="FT71" t="s">
        <v>842</v>
      </c>
      <c r="FU71" t="s">
        <v>839</v>
      </c>
      <c r="FV71" t="s">
        <v>839</v>
      </c>
      <c r="FW71" t="s">
        <v>682</v>
      </c>
      <c r="FY71" t="s">
        <v>839</v>
      </c>
      <c r="FZ71" t="s">
        <v>839</v>
      </c>
      <c r="GA71" t="s">
        <v>839</v>
      </c>
      <c r="GB71" t="s">
        <v>839</v>
      </c>
      <c r="GC71" t="s">
        <v>839</v>
      </c>
      <c r="GD71" t="s">
        <v>839</v>
      </c>
      <c r="GE71" t="s">
        <v>881</v>
      </c>
      <c r="GG71" t="s">
        <v>839</v>
      </c>
      <c r="GI71" t="s">
        <v>1328</v>
      </c>
      <c r="GJ71">
        <v>1</v>
      </c>
      <c r="GK71">
        <v>1</v>
      </c>
      <c r="GL71">
        <v>1</v>
      </c>
      <c r="GM71">
        <v>1</v>
      </c>
      <c r="GN71">
        <v>1</v>
      </c>
      <c r="GO71">
        <v>1</v>
      </c>
      <c r="GP71">
        <v>1</v>
      </c>
      <c r="GQ71">
        <v>0</v>
      </c>
      <c r="GR71">
        <v>1</v>
      </c>
      <c r="GS71">
        <v>1</v>
      </c>
      <c r="GT71">
        <v>1</v>
      </c>
      <c r="GU71">
        <v>1</v>
      </c>
      <c r="GV71">
        <v>1</v>
      </c>
      <c r="GW71">
        <v>1</v>
      </c>
      <c r="GX71">
        <v>1</v>
      </c>
      <c r="GY71">
        <v>1</v>
      </c>
      <c r="GZ71">
        <v>0</v>
      </c>
      <c r="HA71" t="s">
        <v>1329</v>
      </c>
      <c r="HB71" t="s">
        <v>839</v>
      </c>
    </row>
    <row r="72" spans="1:211" x14ac:dyDescent="0.35">
      <c r="A72" t="s">
        <v>1330</v>
      </c>
      <c r="B72" s="151">
        <v>45106.397928240738</v>
      </c>
      <c r="C72" t="s">
        <v>1331</v>
      </c>
      <c r="D72" t="s">
        <v>1332</v>
      </c>
      <c r="E72" t="s">
        <v>835</v>
      </c>
      <c r="F72" t="s">
        <v>1333</v>
      </c>
      <c r="G72" t="s">
        <v>1333</v>
      </c>
      <c r="H72" t="s">
        <v>842</v>
      </c>
      <c r="K72" t="s">
        <v>839</v>
      </c>
      <c r="L72" t="s">
        <v>887</v>
      </c>
      <c r="O72">
        <v>73</v>
      </c>
      <c r="P72">
        <v>79</v>
      </c>
      <c r="Q72">
        <v>152</v>
      </c>
      <c r="T72" t="s">
        <v>841</v>
      </c>
      <c r="U72" t="s">
        <v>841</v>
      </c>
      <c r="V72" t="s">
        <v>841</v>
      </c>
      <c r="W72" t="s">
        <v>841</v>
      </c>
      <c r="X72" t="s">
        <v>841</v>
      </c>
      <c r="Y72" t="s">
        <v>841</v>
      </c>
      <c r="Z72" t="s">
        <v>841</v>
      </c>
      <c r="AA72" t="s">
        <v>841</v>
      </c>
      <c r="AB72" t="s">
        <v>841</v>
      </c>
      <c r="AI72">
        <v>1</v>
      </c>
      <c r="AJ72">
        <v>1</v>
      </c>
      <c r="AK72">
        <v>1</v>
      </c>
      <c r="AL72">
        <v>1</v>
      </c>
      <c r="AM72">
        <v>1</v>
      </c>
      <c r="AN72">
        <v>1</v>
      </c>
      <c r="AO72">
        <v>1</v>
      </c>
      <c r="AP72">
        <v>1</v>
      </c>
      <c r="AQ72">
        <v>1</v>
      </c>
      <c r="BV72" t="s">
        <v>842</v>
      </c>
      <c r="BX72" t="s">
        <v>839</v>
      </c>
      <c r="BY72" t="s">
        <v>759</v>
      </c>
      <c r="BZ72" t="s">
        <v>839</v>
      </c>
      <c r="CA72" t="s">
        <v>839</v>
      </c>
      <c r="CC72" t="s">
        <v>839</v>
      </c>
      <c r="CD72" t="s">
        <v>855</v>
      </c>
      <c r="CG72">
        <v>2</v>
      </c>
      <c r="CH72">
        <v>1</v>
      </c>
      <c r="CI72">
        <v>1</v>
      </c>
      <c r="CJ72">
        <v>0</v>
      </c>
      <c r="CK72" t="s">
        <v>681</v>
      </c>
      <c r="CM72" t="s">
        <v>867</v>
      </c>
      <c r="CN72">
        <v>0</v>
      </c>
      <c r="CO72">
        <v>1</v>
      </c>
      <c r="CP72">
        <v>0</v>
      </c>
      <c r="CQ72">
        <v>0</v>
      </c>
      <c r="CR72">
        <v>0</v>
      </c>
      <c r="CS72">
        <v>0</v>
      </c>
      <c r="CU72" t="s">
        <v>1311</v>
      </c>
      <c r="CV72">
        <v>1</v>
      </c>
      <c r="CW72">
        <v>0</v>
      </c>
      <c r="CX72">
        <v>1</v>
      </c>
      <c r="CY72">
        <v>1</v>
      </c>
      <c r="CZ72">
        <v>0</v>
      </c>
      <c r="DA72">
        <v>0</v>
      </c>
      <c r="DB72">
        <v>0</v>
      </c>
      <c r="DC72">
        <v>0</v>
      </c>
      <c r="DD72">
        <v>1</v>
      </c>
      <c r="DE72">
        <v>0</v>
      </c>
      <c r="DF72">
        <v>0</v>
      </c>
      <c r="DJ72">
        <v>3</v>
      </c>
      <c r="DK72">
        <v>6</v>
      </c>
      <c r="DL72">
        <v>9</v>
      </c>
      <c r="DN72">
        <v>330</v>
      </c>
      <c r="DP72">
        <v>450</v>
      </c>
      <c r="DQ72" t="s">
        <v>1334</v>
      </c>
      <c r="DR72">
        <v>0</v>
      </c>
      <c r="DS72">
        <v>0</v>
      </c>
      <c r="DT72">
        <v>1</v>
      </c>
      <c r="DU72">
        <v>0</v>
      </c>
      <c r="DV72">
        <v>0</v>
      </c>
      <c r="DW72">
        <v>0</v>
      </c>
      <c r="DX72">
        <v>1</v>
      </c>
      <c r="DY72">
        <v>0</v>
      </c>
      <c r="DZ72">
        <v>0</v>
      </c>
      <c r="EB72" t="s">
        <v>842</v>
      </c>
      <c r="EC72" t="s">
        <v>909</v>
      </c>
      <c r="ED72" t="s">
        <v>848</v>
      </c>
      <c r="EI72">
        <v>480</v>
      </c>
      <c r="EM72" t="s">
        <v>841</v>
      </c>
      <c r="EO72">
        <v>500</v>
      </c>
      <c r="ES72" t="s">
        <v>841</v>
      </c>
      <c r="EU72">
        <v>600</v>
      </c>
      <c r="EY72" t="s">
        <v>841</v>
      </c>
      <c r="FA72">
        <v>10</v>
      </c>
      <c r="FB72" t="s">
        <v>841</v>
      </c>
      <c r="FL72" t="s">
        <v>841</v>
      </c>
      <c r="FM72">
        <v>700</v>
      </c>
      <c r="FO72">
        <v>6</v>
      </c>
      <c r="FP72">
        <v>9</v>
      </c>
      <c r="FQ72">
        <v>15</v>
      </c>
      <c r="FS72" t="s">
        <v>839</v>
      </c>
      <c r="FT72" t="s">
        <v>839</v>
      </c>
      <c r="FU72" t="s">
        <v>842</v>
      </c>
      <c r="FV72" t="s">
        <v>842</v>
      </c>
      <c r="FW72" t="s">
        <v>839</v>
      </c>
      <c r="FX72" t="s">
        <v>890</v>
      </c>
      <c r="FY72" t="s">
        <v>842</v>
      </c>
      <c r="FZ72" t="s">
        <v>839</v>
      </c>
      <c r="GA72" t="s">
        <v>839</v>
      </c>
      <c r="GB72" t="s">
        <v>839</v>
      </c>
      <c r="GC72" t="s">
        <v>842</v>
      </c>
      <c r="GD72" t="s">
        <v>842</v>
      </c>
      <c r="GG72" t="s">
        <v>668</v>
      </c>
      <c r="GI72" t="s">
        <v>849</v>
      </c>
      <c r="GJ72">
        <v>1</v>
      </c>
      <c r="GK72">
        <v>0</v>
      </c>
      <c r="GL72">
        <v>0</v>
      </c>
      <c r="GM72">
        <v>0</v>
      </c>
      <c r="GN72">
        <v>0</v>
      </c>
      <c r="GO72">
        <v>0</v>
      </c>
      <c r="GP72">
        <v>0</v>
      </c>
      <c r="GQ72">
        <v>0</v>
      </c>
      <c r="GR72">
        <v>0</v>
      </c>
      <c r="GS72">
        <v>0</v>
      </c>
      <c r="GT72">
        <v>0</v>
      </c>
      <c r="GU72">
        <v>0</v>
      </c>
      <c r="GV72">
        <v>0</v>
      </c>
      <c r="GW72">
        <v>0</v>
      </c>
      <c r="GX72">
        <v>0</v>
      </c>
      <c r="GY72">
        <v>0</v>
      </c>
      <c r="GZ72">
        <v>0</v>
      </c>
      <c r="HB72" t="s">
        <v>839</v>
      </c>
    </row>
    <row r="73" spans="1:211" x14ac:dyDescent="0.35">
      <c r="A73" t="s">
        <v>1335</v>
      </c>
      <c r="B73" s="151">
        <v>45107.674421296288</v>
      </c>
      <c r="C73" t="s">
        <v>1336</v>
      </c>
      <c r="D73" t="s">
        <v>1337</v>
      </c>
      <c r="E73" t="s">
        <v>835</v>
      </c>
      <c r="F73" t="s">
        <v>1338</v>
      </c>
      <c r="G73" t="s">
        <v>1339</v>
      </c>
      <c r="H73" t="s">
        <v>839</v>
      </c>
      <c r="I73" t="s">
        <v>838</v>
      </c>
      <c r="K73" t="s">
        <v>839</v>
      </c>
      <c r="L73" t="s">
        <v>897</v>
      </c>
      <c r="O73">
        <v>88</v>
      </c>
      <c r="P73">
        <v>82</v>
      </c>
      <c r="Q73">
        <v>170</v>
      </c>
      <c r="S73" t="s">
        <v>841</v>
      </c>
      <c r="T73" t="s">
        <v>841</v>
      </c>
      <c r="U73" t="s">
        <v>841</v>
      </c>
      <c r="V73" t="s">
        <v>841</v>
      </c>
      <c r="W73" t="s">
        <v>841</v>
      </c>
      <c r="X73" t="s">
        <v>841</v>
      </c>
      <c r="AH73">
        <v>1</v>
      </c>
      <c r="AI73">
        <v>1</v>
      </c>
      <c r="AJ73">
        <v>1</v>
      </c>
      <c r="AK73">
        <v>1</v>
      </c>
      <c r="AL73">
        <v>1</v>
      </c>
      <c r="AM73">
        <v>1</v>
      </c>
      <c r="BM73" t="s">
        <v>841</v>
      </c>
      <c r="BS73" t="s">
        <v>841</v>
      </c>
      <c r="BV73" t="s">
        <v>839</v>
      </c>
      <c r="BW73" t="s">
        <v>682</v>
      </c>
      <c r="BX73" t="s">
        <v>839</v>
      </c>
      <c r="BY73" t="s">
        <v>759</v>
      </c>
      <c r="BZ73" t="s">
        <v>839</v>
      </c>
      <c r="CA73" t="s">
        <v>839</v>
      </c>
      <c r="CC73" t="s">
        <v>842</v>
      </c>
      <c r="CD73" t="s">
        <v>855</v>
      </c>
      <c r="CG73">
        <v>5</v>
      </c>
      <c r="CH73">
        <v>0</v>
      </c>
      <c r="CI73">
        <v>0</v>
      </c>
      <c r="CJ73">
        <v>5</v>
      </c>
      <c r="CK73" t="s">
        <v>877</v>
      </c>
      <c r="CM73" t="s">
        <v>844</v>
      </c>
      <c r="CN73">
        <v>1</v>
      </c>
      <c r="CO73">
        <v>0</v>
      </c>
      <c r="CP73">
        <v>0</v>
      </c>
      <c r="CQ73">
        <v>0</v>
      </c>
      <c r="CR73">
        <v>0</v>
      </c>
      <c r="CS73">
        <v>0</v>
      </c>
      <c r="CU73" t="s">
        <v>1340</v>
      </c>
      <c r="CV73">
        <v>1</v>
      </c>
      <c r="CW73">
        <v>0</v>
      </c>
      <c r="CX73">
        <v>1</v>
      </c>
      <c r="CY73">
        <v>0</v>
      </c>
      <c r="CZ73">
        <v>0</v>
      </c>
      <c r="DA73">
        <v>0</v>
      </c>
      <c r="DB73">
        <v>0</v>
      </c>
      <c r="DC73">
        <v>1</v>
      </c>
      <c r="DD73">
        <v>1</v>
      </c>
      <c r="DE73">
        <v>1</v>
      </c>
      <c r="DF73">
        <v>0</v>
      </c>
      <c r="DJ73">
        <v>0</v>
      </c>
      <c r="DK73">
        <v>15</v>
      </c>
      <c r="DL73">
        <v>15</v>
      </c>
      <c r="DN73">
        <v>580</v>
      </c>
      <c r="DP73">
        <v>1100</v>
      </c>
      <c r="DQ73" t="s">
        <v>1181</v>
      </c>
      <c r="DR73">
        <v>1</v>
      </c>
      <c r="DS73">
        <v>0</v>
      </c>
      <c r="DT73">
        <v>1</v>
      </c>
      <c r="DU73">
        <v>0</v>
      </c>
      <c r="DV73">
        <v>1</v>
      </c>
      <c r="DW73">
        <v>0</v>
      </c>
      <c r="DX73">
        <v>0</v>
      </c>
      <c r="DY73">
        <v>0</v>
      </c>
      <c r="DZ73">
        <v>0</v>
      </c>
      <c r="EB73" t="s">
        <v>839</v>
      </c>
      <c r="EC73" t="s">
        <v>869</v>
      </c>
      <c r="ED73" t="s">
        <v>928</v>
      </c>
      <c r="EI73">
        <v>7</v>
      </c>
      <c r="EJ73" t="s">
        <v>841</v>
      </c>
      <c r="EO73">
        <v>7</v>
      </c>
      <c r="EP73" t="s">
        <v>841</v>
      </c>
      <c r="EZ73" t="s">
        <v>841</v>
      </c>
      <c r="FA73">
        <v>7</v>
      </c>
      <c r="FB73" t="s">
        <v>841</v>
      </c>
      <c r="FG73">
        <v>5</v>
      </c>
      <c r="FH73" t="s">
        <v>841</v>
      </c>
      <c r="FM73">
        <v>500</v>
      </c>
      <c r="FO73">
        <v>7</v>
      </c>
      <c r="FP73">
        <v>5</v>
      </c>
      <c r="FQ73">
        <v>12</v>
      </c>
      <c r="FS73" t="s">
        <v>842</v>
      </c>
      <c r="FT73" t="s">
        <v>839</v>
      </c>
      <c r="FU73" t="s">
        <v>839</v>
      </c>
      <c r="FV73" t="s">
        <v>839</v>
      </c>
      <c r="FW73" t="s">
        <v>839</v>
      </c>
      <c r="FX73" t="s">
        <v>910</v>
      </c>
      <c r="FY73" t="s">
        <v>839</v>
      </c>
      <c r="FZ73" t="s">
        <v>839</v>
      </c>
      <c r="GA73" t="s">
        <v>839</v>
      </c>
      <c r="GB73" t="s">
        <v>842</v>
      </c>
      <c r="GC73" t="s">
        <v>842</v>
      </c>
      <c r="GD73" t="s">
        <v>842</v>
      </c>
      <c r="GG73" t="s">
        <v>842</v>
      </c>
      <c r="GI73" t="s">
        <v>1341</v>
      </c>
      <c r="GJ73">
        <v>0</v>
      </c>
      <c r="GK73">
        <v>0</v>
      </c>
      <c r="GL73">
        <v>0</v>
      </c>
      <c r="GM73">
        <v>0</v>
      </c>
      <c r="GN73">
        <v>0</v>
      </c>
      <c r="GO73">
        <v>0</v>
      </c>
      <c r="GP73">
        <v>0</v>
      </c>
      <c r="GQ73">
        <v>0</v>
      </c>
      <c r="GR73">
        <v>0</v>
      </c>
      <c r="GS73">
        <v>0</v>
      </c>
      <c r="GT73">
        <v>1</v>
      </c>
      <c r="GU73">
        <v>0</v>
      </c>
      <c r="GV73">
        <v>0</v>
      </c>
      <c r="GW73">
        <v>0</v>
      </c>
      <c r="GX73">
        <v>0</v>
      </c>
      <c r="GY73">
        <v>0</v>
      </c>
      <c r="GZ73">
        <v>0</v>
      </c>
      <c r="HB73" t="s">
        <v>842</v>
      </c>
      <c r="HC73" t="s">
        <v>1342</v>
      </c>
    </row>
    <row r="74" spans="1:211" x14ac:dyDescent="0.35">
      <c r="A74" t="s">
        <v>1343</v>
      </c>
      <c r="B74" s="151">
        <v>45107.927337962959</v>
      </c>
      <c r="C74" t="s">
        <v>1344</v>
      </c>
      <c r="D74" t="s">
        <v>1345</v>
      </c>
      <c r="E74" t="s">
        <v>875</v>
      </c>
      <c r="F74" t="s">
        <v>1346</v>
      </c>
      <c r="G74" t="s">
        <v>1346</v>
      </c>
      <c r="H74" t="s">
        <v>839</v>
      </c>
      <c r="I74" t="s">
        <v>838</v>
      </c>
      <c r="K74" t="s">
        <v>839</v>
      </c>
      <c r="L74" t="s">
        <v>887</v>
      </c>
      <c r="O74">
        <v>54</v>
      </c>
      <c r="P74">
        <v>44</v>
      </c>
      <c r="Q74">
        <v>98</v>
      </c>
      <c r="S74" t="s">
        <v>841</v>
      </c>
      <c r="T74" t="s">
        <v>841</v>
      </c>
      <c r="U74" t="s">
        <v>841</v>
      </c>
      <c r="V74" t="s">
        <v>841</v>
      </c>
      <c r="W74" t="s">
        <v>841</v>
      </c>
      <c r="X74" t="s">
        <v>841</v>
      </c>
      <c r="Y74" t="s">
        <v>841</v>
      </c>
      <c r="Z74" t="s">
        <v>841</v>
      </c>
      <c r="AA74" t="s">
        <v>841</v>
      </c>
      <c r="AB74" t="s">
        <v>841</v>
      </c>
      <c r="AC74" t="s">
        <v>841</v>
      </c>
      <c r="AH74">
        <v>1</v>
      </c>
      <c r="AI74">
        <v>1</v>
      </c>
      <c r="AJ74">
        <v>1</v>
      </c>
      <c r="AK74">
        <v>1</v>
      </c>
      <c r="AL74">
        <v>1</v>
      </c>
      <c r="AM74">
        <v>1</v>
      </c>
      <c r="AN74">
        <v>1</v>
      </c>
      <c r="AO74">
        <v>1</v>
      </c>
      <c r="AP74">
        <v>1</v>
      </c>
      <c r="AQ74">
        <v>1</v>
      </c>
      <c r="AR74">
        <v>1</v>
      </c>
      <c r="AS74">
        <v>0</v>
      </c>
      <c r="AT74">
        <v>0</v>
      </c>
      <c r="AU74">
        <v>0</v>
      </c>
      <c r="AZ74" t="s">
        <v>841</v>
      </c>
      <c r="BM74" t="s">
        <v>841</v>
      </c>
      <c r="BS74" t="s">
        <v>841</v>
      </c>
      <c r="BV74" t="s">
        <v>842</v>
      </c>
      <c r="BX74" t="s">
        <v>842</v>
      </c>
      <c r="BZ74" t="s">
        <v>839</v>
      </c>
      <c r="CA74" t="s">
        <v>839</v>
      </c>
      <c r="CC74" t="s">
        <v>839</v>
      </c>
      <c r="CD74" t="s">
        <v>855</v>
      </c>
      <c r="CG74">
        <v>5</v>
      </c>
      <c r="CH74">
        <v>3</v>
      </c>
      <c r="CI74">
        <v>1</v>
      </c>
      <c r="CJ74">
        <v>1</v>
      </c>
      <c r="CK74" t="s">
        <v>866</v>
      </c>
      <c r="CM74" t="s">
        <v>844</v>
      </c>
      <c r="CN74">
        <v>1</v>
      </c>
      <c r="CO74">
        <v>0</v>
      </c>
      <c r="CP74">
        <v>0</v>
      </c>
      <c r="CQ74">
        <v>0</v>
      </c>
      <c r="CR74">
        <v>0</v>
      </c>
      <c r="CS74">
        <v>0</v>
      </c>
      <c r="CU74" t="s">
        <v>1347</v>
      </c>
      <c r="CV74">
        <v>1</v>
      </c>
      <c r="CW74">
        <v>0</v>
      </c>
      <c r="CX74">
        <v>0</v>
      </c>
      <c r="CY74">
        <v>0</v>
      </c>
      <c r="CZ74">
        <v>0</v>
      </c>
      <c r="DA74">
        <v>0</v>
      </c>
      <c r="DB74">
        <v>0</v>
      </c>
      <c r="DC74">
        <v>0</v>
      </c>
      <c r="DD74">
        <v>1</v>
      </c>
      <c r="DE74">
        <v>0</v>
      </c>
      <c r="DF74">
        <v>0</v>
      </c>
      <c r="DJ74">
        <v>4</v>
      </c>
      <c r="DK74">
        <v>6</v>
      </c>
      <c r="DL74">
        <v>10</v>
      </c>
      <c r="DN74">
        <v>250</v>
      </c>
      <c r="DP74">
        <v>380</v>
      </c>
      <c r="DQ74" t="s">
        <v>1181</v>
      </c>
      <c r="DR74">
        <v>1</v>
      </c>
      <c r="DS74">
        <v>0</v>
      </c>
      <c r="DT74">
        <v>1</v>
      </c>
      <c r="DU74">
        <v>0</v>
      </c>
      <c r="DV74">
        <v>1</v>
      </c>
      <c r="DW74">
        <v>0</v>
      </c>
      <c r="DX74">
        <v>0</v>
      </c>
      <c r="DY74">
        <v>0</v>
      </c>
      <c r="DZ74">
        <v>0</v>
      </c>
      <c r="EB74" t="s">
        <v>839</v>
      </c>
      <c r="EC74" t="s">
        <v>869</v>
      </c>
      <c r="ED74" t="s">
        <v>848</v>
      </c>
      <c r="EI74">
        <v>200</v>
      </c>
      <c r="EM74" t="s">
        <v>841</v>
      </c>
      <c r="EO74">
        <v>250</v>
      </c>
      <c r="ES74" t="s">
        <v>841</v>
      </c>
      <c r="FB74" t="s">
        <v>841</v>
      </c>
      <c r="FG74">
        <v>3</v>
      </c>
      <c r="FH74" t="s">
        <v>841</v>
      </c>
      <c r="FM74">
        <v>85</v>
      </c>
      <c r="FO74">
        <v>3</v>
      </c>
      <c r="FP74">
        <v>3</v>
      </c>
      <c r="FQ74">
        <v>6</v>
      </c>
      <c r="FS74" t="s">
        <v>842</v>
      </c>
      <c r="FT74" t="s">
        <v>839</v>
      </c>
      <c r="FU74" t="s">
        <v>842</v>
      </c>
      <c r="FV74" t="s">
        <v>842</v>
      </c>
      <c r="FW74" t="s">
        <v>842</v>
      </c>
      <c r="FY74" t="s">
        <v>842</v>
      </c>
      <c r="FZ74" t="s">
        <v>839</v>
      </c>
      <c r="GA74" t="s">
        <v>842</v>
      </c>
      <c r="GB74" t="s">
        <v>842</v>
      </c>
      <c r="GC74" t="s">
        <v>842</v>
      </c>
      <c r="GD74" t="s">
        <v>842</v>
      </c>
      <c r="GG74" t="s">
        <v>839</v>
      </c>
      <c r="GI74" t="s">
        <v>1348</v>
      </c>
      <c r="GJ74">
        <v>1</v>
      </c>
      <c r="GK74">
        <v>0</v>
      </c>
      <c r="GL74">
        <v>0</v>
      </c>
      <c r="GM74">
        <v>1</v>
      </c>
      <c r="GN74">
        <v>1</v>
      </c>
      <c r="GO74">
        <v>0</v>
      </c>
      <c r="GP74">
        <v>1</v>
      </c>
      <c r="GQ74">
        <v>0</v>
      </c>
      <c r="GR74">
        <v>1</v>
      </c>
      <c r="GS74">
        <v>0</v>
      </c>
      <c r="GT74">
        <v>0</v>
      </c>
      <c r="GU74">
        <v>1</v>
      </c>
      <c r="GV74">
        <v>0</v>
      </c>
      <c r="GW74">
        <v>1</v>
      </c>
      <c r="GX74">
        <v>0</v>
      </c>
      <c r="GY74">
        <v>0</v>
      </c>
      <c r="GZ74">
        <v>0</v>
      </c>
      <c r="HB74" t="s">
        <v>839</v>
      </c>
    </row>
    <row r="75" spans="1:211" x14ac:dyDescent="0.35">
      <c r="A75" t="s">
        <v>1349</v>
      </c>
      <c r="B75" s="151">
        <v>45110.422164351847</v>
      </c>
      <c r="C75" t="s">
        <v>1350</v>
      </c>
      <c r="D75" t="s">
        <v>1351</v>
      </c>
      <c r="E75" t="s">
        <v>875</v>
      </c>
      <c r="F75" t="s">
        <v>1352</v>
      </c>
      <c r="G75" t="s">
        <v>1352</v>
      </c>
      <c r="H75" t="s">
        <v>839</v>
      </c>
      <c r="I75" t="s">
        <v>838</v>
      </c>
      <c r="K75" t="s">
        <v>839</v>
      </c>
      <c r="L75" t="s">
        <v>897</v>
      </c>
      <c r="O75">
        <v>166</v>
      </c>
      <c r="P75">
        <v>162</v>
      </c>
      <c r="Q75">
        <v>328</v>
      </c>
      <c r="T75" t="s">
        <v>841</v>
      </c>
      <c r="U75" t="s">
        <v>841</v>
      </c>
      <c r="V75" t="s">
        <v>841</v>
      </c>
      <c r="W75" t="s">
        <v>841</v>
      </c>
      <c r="X75" t="s">
        <v>841</v>
      </c>
      <c r="Y75" t="s">
        <v>841</v>
      </c>
      <c r="Z75" t="s">
        <v>841</v>
      </c>
      <c r="AA75" t="s">
        <v>841</v>
      </c>
      <c r="AB75" t="s">
        <v>841</v>
      </c>
      <c r="AC75" t="s">
        <v>841</v>
      </c>
      <c r="AD75" t="s">
        <v>841</v>
      </c>
      <c r="AE75" t="s">
        <v>841</v>
      </c>
      <c r="AF75" t="s">
        <v>841</v>
      </c>
      <c r="AH75">
        <v>0</v>
      </c>
      <c r="AI75">
        <v>1</v>
      </c>
      <c r="AJ75">
        <v>1</v>
      </c>
      <c r="AK75">
        <v>1</v>
      </c>
      <c r="AL75">
        <v>1</v>
      </c>
      <c r="AM75">
        <v>1</v>
      </c>
      <c r="AN75">
        <v>1</v>
      </c>
      <c r="AO75">
        <v>1</v>
      </c>
      <c r="AP75">
        <v>1</v>
      </c>
      <c r="AQ75">
        <v>1</v>
      </c>
      <c r="AR75">
        <v>1</v>
      </c>
      <c r="AS75">
        <v>1</v>
      </c>
      <c r="AT75">
        <v>1</v>
      </c>
      <c r="AU75">
        <v>1</v>
      </c>
      <c r="AW75">
        <v>10</v>
      </c>
      <c r="AX75">
        <v>5</v>
      </c>
      <c r="AY75">
        <v>15</v>
      </c>
      <c r="BB75">
        <v>0</v>
      </c>
      <c r="BC75">
        <v>0</v>
      </c>
      <c r="BD75">
        <v>0</v>
      </c>
      <c r="BF75">
        <v>1</v>
      </c>
      <c r="BG75">
        <v>1</v>
      </c>
      <c r="BH75">
        <v>2</v>
      </c>
      <c r="BJ75">
        <v>16</v>
      </c>
      <c r="BK75">
        <v>19</v>
      </c>
      <c r="BL75">
        <v>35</v>
      </c>
      <c r="BP75">
        <v>10</v>
      </c>
      <c r="BQ75">
        <v>5</v>
      </c>
      <c r="BR75">
        <v>15</v>
      </c>
      <c r="BV75" t="s">
        <v>839</v>
      </c>
      <c r="BW75" t="s">
        <v>758</v>
      </c>
      <c r="BX75" t="s">
        <v>839</v>
      </c>
      <c r="BY75" t="s">
        <v>759</v>
      </c>
      <c r="BZ75" t="s">
        <v>839</v>
      </c>
      <c r="CA75" t="s">
        <v>839</v>
      </c>
      <c r="CC75" t="s">
        <v>839</v>
      </c>
      <c r="CD75" t="s">
        <v>855</v>
      </c>
      <c r="CG75">
        <v>4</v>
      </c>
      <c r="CH75">
        <v>2</v>
      </c>
      <c r="CI75">
        <v>2</v>
      </c>
      <c r="CJ75">
        <v>0</v>
      </c>
      <c r="CK75" t="s">
        <v>877</v>
      </c>
      <c r="CM75" t="s">
        <v>844</v>
      </c>
      <c r="CN75">
        <v>1</v>
      </c>
      <c r="CO75">
        <v>0</v>
      </c>
      <c r="CP75">
        <v>0</v>
      </c>
      <c r="CQ75">
        <v>0</v>
      </c>
      <c r="CR75">
        <v>0</v>
      </c>
      <c r="CS75">
        <v>0</v>
      </c>
      <c r="CU75" t="s">
        <v>1353</v>
      </c>
      <c r="CV75">
        <v>1</v>
      </c>
      <c r="CW75">
        <v>0</v>
      </c>
      <c r="CX75">
        <v>1</v>
      </c>
      <c r="CY75">
        <v>1</v>
      </c>
      <c r="CZ75">
        <v>0</v>
      </c>
      <c r="DA75">
        <v>0</v>
      </c>
      <c r="DB75">
        <v>0</v>
      </c>
      <c r="DC75">
        <v>1</v>
      </c>
      <c r="DD75">
        <v>0</v>
      </c>
      <c r="DE75">
        <v>1</v>
      </c>
      <c r="DF75">
        <v>0</v>
      </c>
      <c r="DJ75">
        <v>10</v>
      </c>
      <c r="DK75">
        <v>9</v>
      </c>
      <c r="DL75">
        <v>19</v>
      </c>
      <c r="DN75">
        <v>300</v>
      </c>
      <c r="DP75">
        <v>500</v>
      </c>
      <c r="DQ75" t="s">
        <v>937</v>
      </c>
      <c r="DR75">
        <v>1</v>
      </c>
      <c r="DS75">
        <v>0</v>
      </c>
      <c r="DT75">
        <v>0</v>
      </c>
      <c r="DU75">
        <v>0</v>
      </c>
      <c r="DV75">
        <v>0</v>
      </c>
      <c r="DW75">
        <v>0</v>
      </c>
      <c r="DX75">
        <v>0</v>
      </c>
      <c r="DY75">
        <v>0</v>
      </c>
      <c r="DZ75">
        <v>0</v>
      </c>
      <c r="EB75" t="s">
        <v>839</v>
      </c>
      <c r="EC75" t="s">
        <v>1354</v>
      </c>
      <c r="ED75" t="s">
        <v>848</v>
      </c>
      <c r="EI75" s="157">
        <v>250</v>
      </c>
      <c r="EJ75" s="157"/>
      <c r="EK75" s="157"/>
      <c r="EL75" s="157"/>
      <c r="EM75" s="157" t="s">
        <v>841</v>
      </c>
      <c r="EN75" s="157"/>
      <c r="EO75" s="157">
        <v>250</v>
      </c>
      <c r="EP75" s="157"/>
      <c r="EQ75" s="157"/>
      <c r="ER75" s="157"/>
      <c r="ES75" s="157" t="s">
        <v>841</v>
      </c>
      <c r="ET75" s="157"/>
      <c r="EU75" s="157"/>
      <c r="EV75" s="157"/>
      <c r="EW75" s="157"/>
      <c r="EX75" s="157"/>
      <c r="EY75" s="157"/>
      <c r="EZ75" s="157" t="s">
        <v>841</v>
      </c>
      <c r="FA75" s="157">
        <v>7</v>
      </c>
      <c r="FB75" s="157" t="s">
        <v>841</v>
      </c>
      <c r="FC75" s="157"/>
      <c r="FD75" s="157"/>
      <c r="FE75" s="157"/>
      <c r="FF75" s="157"/>
      <c r="FG75" s="157"/>
      <c r="FH75" s="157"/>
      <c r="FI75" s="157"/>
      <c r="FJ75" s="157"/>
      <c r="FK75" s="157"/>
      <c r="FL75" s="157" t="s">
        <v>841</v>
      </c>
      <c r="FM75">
        <v>520</v>
      </c>
      <c r="FO75">
        <v>0</v>
      </c>
      <c r="FP75">
        <v>0</v>
      </c>
      <c r="FQ75">
        <v>0</v>
      </c>
      <c r="FS75" t="s">
        <v>839</v>
      </c>
      <c r="FT75" t="s">
        <v>839</v>
      </c>
      <c r="FU75" t="s">
        <v>839</v>
      </c>
      <c r="FV75" t="s">
        <v>839</v>
      </c>
      <c r="FW75" t="s">
        <v>839</v>
      </c>
      <c r="FX75" t="s">
        <v>890</v>
      </c>
      <c r="FY75" t="s">
        <v>839</v>
      </c>
      <c r="FZ75" t="s">
        <v>839</v>
      </c>
      <c r="GA75" t="s">
        <v>839</v>
      </c>
      <c r="GB75" t="s">
        <v>839</v>
      </c>
      <c r="GC75" t="s">
        <v>839</v>
      </c>
      <c r="GD75" t="s">
        <v>839</v>
      </c>
      <c r="GE75" t="s">
        <v>881</v>
      </c>
      <c r="GG75" t="s">
        <v>839</v>
      </c>
      <c r="GI75" t="s">
        <v>1355</v>
      </c>
      <c r="GJ75">
        <v>1</v>
      </c>
      <c r="GK75">
        <v>1</v>
      </c>
      <c r="GL75">
        <v>0</v>
      </c>
      <c r="GM75">
        <v>0</v>
      </c>
      <c r="GN75">
        <v>0</v>
      </c>
      <c r="GO75">
        <v>1</v>
      </c>
      <c r="GP75">
        <v>1</v>
      </c>
      <c r="GQ75">
        <v>0</v>
      </c>
      <c r="GR75">
        <v>0</v>
      </c>
      <c r="GS75">
        <v>0</v>
      </c>
      <c r="GT75">
        <v>1</v>
      </c>
      <c r="GU75">
        <v>1</v>
      </c>
      <c r="GV75">
        <v>0</v>
      </c>
      <c r="GW75">
        <v>1</v>
      </c>
      <c r="GX75">
        <v>1</v>
      </c>
      <c r="GY75">
        <v>0</v>
      </c>
      <c r="GZ75">
        <v>0</v>
      </c>
      <c r="HB75" t="s">
        <v>839</v>
      </c>
    </row>
    <row r="76" spans="1:211" x14ac:dyDescent="0.35">
      <c r="A76" t="s">
        <v>1356</v>
      </c>
      <c r="B76" s="151">
        <v>45110.440821759257</v>
      </c>
      <c r="C76" t="s">
        <v>1357</v>
      </c>
      <c r="D76" t="s">
        <v>1358</v>
      </c>
      <c r="E76" t="s">
        <v>875</v>
      </c>
      <c r="F76" t="s">
        <v>1359</v>
      </c>
      <c r="H76" t="s">
        <v>839</v>
      </c>
      <c r="I76" t="s">
        <v>896</v>
      </c>
      <c r="K76" t="s">
        <v>839</v>
      </c>
      <c r="L76" t="s">
        <v>887</v>
      </c>
      <c r="O76">
        <v>195</v>
      </c>
      <c r="P76">
        <v>207</v>
      </c>
      <c r="Q76">
        <v>402</v>
      </c>
      <c r="S76" t="s">
        <v>841</v>
      </c>
      <c r="T76" t="s">
        <v>841</v>
      </c>
      <c r="U76" t="s">
        <v>841</v>
      </c>
      <c r="V76" t="s">
        <v>841</v>
      </c>
      <c r="W76" t="s">
        <v>841</v>
      </c>
      <c r="X76" t="s">
        <v>841</v>
      </c>
      <c r="Y76" t="s">
        <v>841</v>
      </c>
      <c r="Z76" t="s">
        <v>841</v>
      </c>
      <c r="AA76" t="s">
        <v>841</v>
      </c>
      <c r="AB76" t="s">
        <v>841</v>
      </c>
      <c r="AC76" t="s">
        <v>841</v>
      </c>
      <c r="AH76">
        <v>1</v>
      </c>
      <c r="AI76">
        <v>1</v>
      </c>
      <c r="AJ76">
        <v>1</v>
      </c>
      <c r="AK76">
        <v>1</v>
      </c>
      <c r="AL76">
        <v>1</v>
      </c>
      <c r="AM76">
        <v>1</v>
      </c>
      <c r="AN76">
        <v>2</v>
      </c>
      <c r="AO76">
        <v>2</v>
      </c>
      <c r="AP76">
        <v>1</v>
      </c>
      <c r="AQ76">
        <v>1</v>
      </c>
      <c r="AR76">
        <v>1</v>
      </c>
      <c r="BV76" t="s">
        <v>842</v>
      </c>
      <c r="BX76" t="s">
        <v>839</v>
      </c>
      <c r="BY76" t="s">
        <v>759</v>
      </c>
      <c r="BZ76" t="s">
        <v>839</v>
      </c>
      <c r="CA76" t="s">
        <v>839</v>
      </c>
      <c r="CC76" t="s">
        <v>839</v>
      </c>
      <c r="CD76" t="s">
        <v>855</v>
      </c>
      <c r="CG76">
        <v>10</v>
      </c>
      <c r="CH76">
        <v>5</v>
      </c>
      <c r="CI76">
        <v>5</v>
      </c>
      <c r="CJ76">
        <v>0</v>
      </c>
      <c r="CK76" t="s">
        <v>877</v>
      </c>
      <c r="CM76" t="s">
        <v>867</v>
      </c>
      <c r="CN76">
        <v>0</v>
      </c>
      <c r="CO76">
        <v>1</v>
      </c>
      <c r="CP76">
        <v>0</v>
      </c>
      <c r="CQ76">
        <v>0</v>
      </c>
      <c r="CR76">
        <v>0</v>
      </c>
      <c r="CS76">
        <v>0</v>
      </c>
      <c r="CU76" t="s">
        <v>1340</v>
      </c>
      <c r="CV76">
        <v>1</v>
      </c>
      <c r="CW76">
        <v>0</v>
      </c>
      <c r="CX76">
        <v>1</v>
      </c>
      <c r="CY76">
        <v>0</v>
      </c>
      <c r="CZ76">
        <v>0</v>
      </c>
      <c r="DA76">
        <v>0</v>
      </c>
      <c r="DB76">
        <v>0</v>
      </c>
      <c r="DC76">
        <v>1</v>
      </c>
      <c r="DD76">
        <v>1</v>
      </c>
      <c r="DE76">
        <v>1</v>
      </c>
      <c r="DF76">
        <v>0</v>
      </c>
      <c r="DJ76">
        <v>9</v>
      </c>
      <c r="DK76">
        <v>8</v>
      </c>
      <c r="DL76">
        <v>17</v>
      </c>
      <c r="DN76">
        <v>350</v>
      </c>
      <c r="DP76">
        <v>600</v>
      </c>
      <c r="DQ76" t="s">
        <v>964</v>
      </c>
      <c r="DR76">
        <v>1</v>
      </c>
      <c r="DS76">
        <v>1</v>
      </c>
      <c r="DT76">
        <v>1</v>
      </c>
      <c r="DU76">
        <v>0</v>
      </c>
      <c r="DV76">
        <v>1</v>
      </c>
      <c r="DW76">
        <v>1</v>
      </c>
      <c r="DX76">
        <v>1</v>
      </c>
      <c r="DY76">
        <v>0</v>
      </c>
      <c r="DZ76">
        <v>0</v>
      </c>
      <c r="EB76" t="s">
        <v>839</v>
      </c>
      <c r="EC76" t="s">
        <v>847</v>
      </c>
      <c r="ED76" t="s">
        <v>928</v>
      </c>
      <c r="EI76">
        <v>250</v>
      </c>
      <c r="EM76" t="s">
        <v>841</v>
      </c>
      <c r="EO76">
        <v>250</v>
      </c>
      <c r="ES76" t="s">
        <v>841</v>
      </c>
      <c r="EU76">
        <v>300</v>
      </c>
      <c r="EY76" t="s">
        <v>841</v>
      </c>
      <c r="FA76">
        <v>5</v>
      </c>
      <c r="FB76" t="s">
        <v>841</v>
      </c>
      <c r="FG76">
        <v>5</v>
      </c>
      <c r="FH76" t="s">
        <v>841</v>
      </c>
      <c r="FM76">
        <v>1150</v>
      </c>
      <c r="FO76">
        <v>30</v>
      </c>
      <c r="FP76">
        <v>14</v>
      </c>
      <c r="FQ76">
        <v>16</v>
      </c>
      <c r="FS76" t="s">
        <v>839</v>
      </c>
      <c r="FT76" t="s">
        <v>839</v>
      </c>
      <c r="FU76" t="s">
        <v>839</v>
      </c>
      <c r="FV76" t="s">
        <v>839</v>
      </c>
      <c r="FW76" t="s">
        <v>839</v>
      </c>
      <c r="FX76" t="s">
        <v>880</v>
      </c>
      <c r="FY76" t="s">
        <v>842</v>
      </c>
      <c r="FZ76" t="s">
        <v>839</v>
      </c>
      <c r="GA76" t="s">
        <v>839</v>
      </c>
      <c r="GB76" t="s">
        <v>839</v>
      </c>
      <c r="GC76" t="s">
        <v>842</v>
      </c>
      <c r="GD76" t="s">
        <v>839</v>
      </c>
      <c r="GE76" t="s">
        <v>929</v>
      </c>
      <c r="GG76" t="s">
        <v>668</v>
      </c>
      <c r="GI76" t="s">
        <v>1360</v>
      </c>
      <c r="GJ76">
        <v>1</v>
      </c>
      <c r="GK76">
        <v>0</v>
      </c>
      <c r="GL76">
        <v>0</v>
      </c>
      <c r="GM76">
        <v>0</v>
      </c>
      <c r="GN76">
        <v>0</v>
      </c>
      <c r="GO76">
        <v>1</v>
      </c>
      <c r="GP76">
        <v>0</v>
      </c>
      <c r="GQ76">
        <v>0</v>
      </c>
      <c r="GR76">
        <v>0</v>
      </c>
      <c r="GS76">
        <v>0</v>
      </c>
      <c r="GT76">
        <v>0</v>
      </c>
      <c r="GU76">
        <v>0</v>
      </c>
      <c r="GV76">
        <v>0</v>
      </c>
      <c r="GW76">
        <v>1</v>
      </c>
      <c r="GX76">
        <v>1</v>
      </c>
      <c r="GY76">
        <v>0</v>
      </c>
      <c r="GZ76">
        <v>0</v>
      </c>
      <c r="HB76" t="s">
        <v>842</v>
      </c>
      <c r="HC76" t="s">
        <v>1361</v>
      </c>
    </row>
    <row r="77" spans="1:211" x14ac:dyDescent="0.35">
      <c r="A77" t="s">
        <v>1362</v>
      </c>
      <c r="B77" s="151">
        <v>45110.558564814812</v>
      </c>
      <c r="C77" t="s">
        <v>1363</v>
      </c>
      <c r="D77" t="s">
        <v>1364</v>
      </c>
      <c r="E77" t="s">
        <v>835</v>
      </c>
      <c r="F77" t="s">
        <v>1365</v>
      </c>
      <c r="G77" t="s">
        <v>1365</v>
      </c>
      <c r="H77" t="s">
        <v>839</v>
      </c>
      <c r="I77" t="s">
        <v>838</v>
      </c>
      <c r="K77" t="s">
        <v>839</v>
      </c>
      <c r="L77" t="s">
        <v>887</v>
      </c>
      <c r="O77">
        <v>31</v>
      </c>
      <c r="P77">
        <v>37</v>
      </c>
      <c r="Q77">
        <v>68</v>
      </c>
      <c r="S77" t="s">
        <v>841</v>
      </c>
      <c r="T77" t="s">
        <v>841</v>
      </c>
      <c r="U77" t="s">
        <v>841</v>
      </c>
      <c r="V77" t="s">
        <v>841</v>
      </c>
      <c r="W77" t="s">
        <v>841</v>
      </c>
      <c r="X77" t="s">
        <v>841</v>
      </c>
      <c r="Y77" t="s">
        <v>841</v>
      </c>
      <c r="Z77" t="s">
        <v>841</v>
      </c>
      <c r="AA77" t="s">
        <v>841</v>
      </c>
      <c r="AB77" t="s">
        <v>841</v>
      </c>
      <c r="AH77">
        <v>1</v>
      </c>
      <c r="AI77">
        <v>1</v>
      </c>
      <c r="AJ77">
        <v>1</v>
      </c>
      <c r="AK77">
        <v>1</v>
      </c>
      <c r="AL77">
        <v>1</v>
      </c>
      <c r="AM77">
        <v>1</v>
      </c>
      <c r="AN77">
        <v>1</v>
      </c>
      <c r="AO77">
        <v>1</v>
      </c>
      <c r="AP77">
        <v>1</v>
      </c>
      <c r="AQ77">
        <v>1</v>
      </c>
      <c r="AZ77" t="s">
        <v>841</v>
      </c>
      <c r="BM77" t="s">
        <v>841</v>
      </c>
      <c r="BS77" t="s">
        <v>841</v>
      </c>
      <c r="BV77" t="s">
        <v>842</v>
      </c>
      <c r="BX77" t="s">
        <v>839</v>
      </c>
      <c r="BY77" t="s">
        <v>759</v>
      </c>
      <c r="BZ77" t="s">
        <v>839</v>
      </c>
      <c r="CA77" t="s">
        <v>839</v>
      </c>
      <c r="CC77" t="s">
        <v>839</v>
      </c>
      <c r="CD77" t="s">
        <v>855</v>
      </c>
      <c r="CG77">
        <v>3</v>
      </c>
      <c r="CH77">
        <v>1</v>
      </c>
      <c r="CI77">
        <v>1</v>
      </c>
      <c r="CJ77">
        <v>1</v>
      </c>
      <c r="CK77" t="s">
        <v>866</v>
      </c>
      <c r="CM77" t="s">
        <v>867</v>
      </c>
      <c r="CN77">
        <v>0</v>
      </c>
      <c r="CO77">
        <v>1</v>
      </c>
      <c r="CP77">
        <v>0</v>
      </c>
      <c r="CQ77">
        <v>0</v>
      </c>
      <c r="CR77">
        <v>0</v>
      </c>
      <c r="CS77">
        <v>0</v>
      </c>
      <c r="CU77" t="s">
        <v>1024</v>
      </c>
      <c r="CV77">
        <v>1</v>
      </c>
      <c r="CW77">
        <v>1</v>
      </c>
      <c r="CX77">
        <v>1</v>
      </c>
      <c r="CY77">
        <v>0</v>
      </c>
      <c r="CZ77">
        <v>0</v>
      </c>
      <c r="DA77">
        <v>0</v>
      </c>
      <c r="DB77">
        <v>0</v>
      </c>
      <c r="DC77">
        <v>0</v>
      </c>
      <c r="DD77">
        <v>1</v>
      </c>
      <c r="DE77">
        <v>1</v>
      </c>
      <c r="DF77">
        <v>0</v>
      </c>
      <c r="DJ77">
        <v>6</v>
      </c>
      <c r="DK77">
        <v>7</v>
      </c>
      <c r="DL77">
        <v>13</v>
      </c>
      <c r="DN77">
        <v>300</v>
      </c>
      <c r="DP77">
        <v>1000</v>
      </c>
      <c r="DQ77" t="s">
        <v>937</v>
      </c>
      <c r="DR77">
        <v>1</v>
      </c>
      <c r="DS77">
        <v>0</v>
      </c>
      <c r="DT77">
        <v>0</v>
      </c>
      <c r="DU77">
        <v>0</v>
      </c>
      <c r="DV77">
        <v>0</v>
      </c>
      <c r="DW77">
        <v>0</v>
      </c>
      <c r="DX77">
        <v>0</v>
      </c>
      <c r="DY77">
        <v>0</v>
      </c>
      <c r="DZ77">
        <v>0</v>
      </c>
      <c r="EB77" t="s">
        <v>839</v>
      </c>
      <c r="EC77" t="s">
        <v>869</v>
      </c>
      <c r="ED77" t="s">
        <v>848</v>
      </c>
      <c r="EI77">
        <v>60</v>
      </c>
      <c r="EM77" t="s">
        <v>841</v>
      </c>
      <c r="EO77">
        <v>90</v>
      </c>
      <c r="ES77" t="s">
        <v>841</v>
      </c>
      <c r="EU77">
        <v>130</v>
      </c>
      <c r="EY77" t="s">
        <v>841</v>
      </c>
      <c r="FA77">
        <v>4</v>
      </c>
      <c r="FB77" t="s">
        <v>841</v>
      </c>
      <c r="FG77">
        <v>4</v>
      </c>
      <c r="FH77" t="s">
        <v>841</v>
      </c>
      <c r="FM77">
        <v>195</v>
      </c>
      <c r="FO77">
        <v>1</v>
      </c>
      <c r="FP77">
        <v>3</v>
      </c>
      <c r="FQ77">
        <v>4</v>
      </c>
      <c r="FS77" t="s">
        <v>842</v>
      </c>
      <c r="FT77" t="s">
        <v>839</v>
      </c>
      <c r="FU77" t="s">
        <v>842</v>
      </c>
      <c r="FV77" t="s">
        <v>839</v>
      </c>
      <c r="FW77" t="s">
        <v>682</v>
      </c>
      <c r="FY77" t="s">
        <v>842</v>
      </c>
      <c r="FZ77" t="s">
        <v>839</v>
      </c>
      <c r="GA77" t="s">
        <v>839</v>
      </c>
      <c r="GB77" t="s">
        <v>839</v>
      </c>
      <c r="GC77" t="s">
        <v>842</v>
      </c>
      <c r="GD77" t="s">
        <v>842</v>
      </c>
      <c r="GG77" t="s">
        <v>668</v>
      </c>
      <c r="GI77" t="s">
        <v>1366</v>
      </c>
      <c r="GJ77">
        <v>0</v>
      </c>
      <c r="GK77">
        <v>0</v>
      </c>
      <c r="GL77">
        <v>0</v>
      </c>
      <c r="GM77">
        <v>0</v>
      </c>
      <c r="GN77">
        <v>0</v>
      </c>
      <c r="GO77">
        <v>1</v>
      </c>
      <c r="GP77">
        <v>0</v>
      </c>
      <c r="GQ77">
        <v>0</v>
      </c>
      <c r="GR77">
        <v>0</v>
      </c>
      <c r="GS77">
        <v>1</v>
      </c>
      <c r="GT77">
        <v>0</v>
      </c>
      <c r="GU77">
        <v>0</v>
      </c>
      <c r="GV77">
        <v>0</v>
      </c>
      <c r="GW77">
        <v>0</v>
      </c>
      <c r="GX77">
        <v>1</v>
      </c>
      <c r="GY77">
        <v>0</v>
      </c>
      <c r="GZ77">
        <v>0</v>
      </c>
      <c r="HB77" t="s">
        <v>839</v>
      </c>
    </row>
    <row r="78" spans="1:211" x14ac:dyDescent="0.35">
      <c r="A78" t="s">
        <v>1367</v>
      </c>
      <c r="B78" s="151">
        <v>45110.690636574072</v>
      </c>
      <c r="C78" t="s">
        <v>1368</v>
      </c>
      <c r="D78" t="s">
        <v>1369</v>
      </c>
      <c r="E78" t="s">
        <v>875</v>
      </c>
      <c r="F78" t="s">
        <v>1370</v>
      </c>
      <c r="G78" t="s">
        <v>1370</v>
      </c>
      <c r="H78" t="s">
        <v>839</v>
      </c>
      <c r="I78" t="s">
        <v>896</v>
      </c>
      <c r="K78" t="s">
        <v>842</v>
      </c>
      <c r="O78">
        <v>12</v>
      </c>
      <c r="P78">
        <v>20</v>
      </c>
      <c r="Q78">
        <v>32</v>
      </c>
      <c r="S78" t="s">
        <v>841</v>
      </c>
      <c r="T78" t="s">
        <v>841</v>
      </c>
      <c r="U78" t="s">
        <v>841</v>
      </c>
      <c r="V78" t="s">
        <v>841</v>
      </c>
      <c r="W78" t="s">
        <v>841</v>
      </c>
      <c r="AH78">
        <v>1</v>
      </c>
      <c r="AI78">
        <v>1</v>
      </c>
      <c r="AJ78">
        <v>1</v>
      </c>
      <c r="AK78">
        <v>1</v>
      </c>
      <c r="AL78">
        <v>1</v>
      </c>
      <c r="BV78" t="s">
        <v>842</v>
      </c>
      <c r="BX78" t="s">
        <v>842</v>
      </c>
      <c r="BZ78" t="s">
        <v>839</v>
      </c>
      <c r="CA78" t="s">
        <v>839</v>
      </c>
      <c r="CC78" t="s">
        <v>839</v>
      </c>
      <c r="CD78" t="s">
        <v>855</v>
      </c>
      <c r="CG78">
        <v>2</v>
      </c>
      <c r="CH78">
        <v>1</v>
      </c>
      <c r="CI78">
        <v>1</v>
      </c>
      <c r="CJ78">
        <v>32</v>
      </c>
      <c r="CK78" t="s">
        <v>681</v>
      </c>
      <c r="CM78" t="s">
        <v>844</v>
      </c>
      <c r="CN78">
        <v>1</v>
      </c>
      <c r="CO78">
        <v>0</v>
      </c>
      <c r="CP78">
        <v>0</v>
      </c>
      <c r="CQ78">
        <v>0</v>
      </c>
      <c r="CR78">
        <v>0</v>
      </c>
      <c r="CS78">
        <v>0</v>
      </c>
      <c r="CU78" t="s">
        <v>1024</v>
      </c>
      <c r="CV78">
        <v>1</v>
      </c>
      <c r="CW78">
        <v>1</v>
      </c>
      <c r="CX78">
        <v>1</v>
      </c>
      <c r="CY78">
        <v>0</v>
      </c>
      <c r="CZ78">
        <v>0</v>
      </c>
      <c r="DA78">
        <v>0</v>
      </c>
      <c r="DB78">
        <v>0</v>
      </c>
      <c r="DC78">
        <v>0</v>
      </c>
      <c r="DD78">
        <v>1</v>
      </c>
      <c r="DE78">
        <v>1</v>
      </c>
      <c r="DF78">
        <v>0</v>
      </c>
      <c r="DJ78">
        <v>1</v>
      </c>
      <c r="DK78">
        <v>5</v>
      </c>
      <c r="DL78">
        <v>6</v>
      </c>
      <c r="DN78">
        <v>300</v>
      </c>
      <c r="DP78">
        <v>500</v>
      </c>
      <c r="DQ78" t="s">
        <v>927</v>
      </c>
      <c r="DR78">
        <v>1</v>
      </c>
      <c r="DS78">
        <v>0</v>
      </c>
      <c r="DT78">
        <v>1</v>
      </c>
      <c r="DU78">
        <v>0</v>
      </c>
      <c r="DV78">
        <v>0</v>
      </c>
      <c r="DW78">
        <v>0</v>
      </c>
      <c r="DX78">
        <v>0</v>
      </c>
      <c r="DY78">
        <v>0</v>
      </c>
      <c r="DZ78">
        <v>0</v>
      </c>
      <c r="EB78" t="s">
        <v>839</v>
      </c>
      <c r="EC78" t="s">
        <v>847</v>
      </c>
      <c r="ED78" t="s">
        <v>928</v>
      </c>
      <c r="EI78">
        <v>5</v>
      </c>
      <c r="EJ78" t="s">
        <v>841</v>
      </c>
      <c r="EO78">
        <v>5</v>
      </c>
      <c r="EP78" t="s">
        <v>841</v>
      </c>
      <c r="EU78">
        <v>5</v>
      </c>
      <c r="EV78" t="s">
        <v>841</v>
      </c>
      <c r="FA78">
        <v>5</v>
      </c>
      <c r="FB78" t="s">
        <v>841</v>
      </c>
      <c r="FG78">
        <v>3</v>
      </c>
      <c r="FH78" t="s">
        <v>841</v>
      </c>
      <c r="FM78">
        <v>35</v>
      </c>
      <c r="FO78">
        <v>0</v>
      </c>
      <c r="FP78">
        <v>0</v>
      </c>
      <c r="FQ78">
        <v>0</v>
      </c>
      <c r="FS78" t="s">
        <v>839</v>
      </c>
      <c r="FT78" t="s">
        <v>839</v>
      </c>
      <c r="FU78" t="s">
        <v>839</v>
      </c>
      <c r="FV78" t="s">
        <v>839</v>
      </c>
      <c r="FW78" t="s">
        <v>842</v>
      </c>
      <c r="FY78" t="s">
        <v>839</v>
      </c>
      <c r="FZ78" t="s">
        <v>839</v>
      </c>
      <c r="GA78" t="s">
        <v>839</v>
      </c>
      <c r="GB78" t="s">
        <v>842</v>
      </c>
      <c r="GC78" t="s">
        <v>842</v>
      </c>
      <c r="GD78" t="s">
        <v>842</v>
      </c>
      <c r="GG78" t="s">
        <v>842</v>
      </c>
      <c r="GI78" t="s">
        <v>1196</v>
      </c>
      <c r="GJ78">
        <v>0</v>
      </c>
      <c r="GK78">
        <v>0</v>
      </c>
      <c r="GL78">
        <v>0</v>
      </c>
      <c r="GM78">
        <v>0</v>
      </c>
      <c r="GN78">
        <v>0</v>
      </c>
      <c r="GO78">
        <v>1</v>
      </c>
      <c r="GP78">
        <v>0</v>
      </c>
      <c r="GQ78">
        <v>0</v>
      </c>
      <c r="GR78">
        <v>0</v>
      </c>
      <c r="GS78">
        <v>0</v>
      </c>
      <c r="GT78">
        <v>0</v>
      </c>
      <c r="GU78">
        <v>0</v>
      </c>
      <c r="GV78">
        <v>0</v>
      </c>
      <c r="GW78">
        <v>0</v>
      </c>
      <c r="GX78">
        <v>0</v>
      </c>
      <c r="GY78">
        <v>0</v>
      </c>
      <c r="GZ78">
        <v>0</v>
      </c>
      <c r="HB78" t="s">
        <v>839</v>
      </c>
    </row>
    <row r="79" spans="1:211" x14ac:dyDescent="0.35">
      <c r="A79" t="s">
        <v>1371</v>
      </c>
      <c r="B79" s="151">
        <v>45110.880277777767</v>
      </c>
      <c r="C79" t="s">
        <v>1372</v>
      </c>
      <c r="D79" t="s">
        <v>1373</v>
      </c>
      <c r="E79" t="s">
        <v>835</v>
      </c>
      <c r="F79" t="s">
        <v>1374</v>
      </c>
      <c r="G79" t="s">
        <v>1374</v>
      </c>
      <c r="H79" t="s">
        <v>839</v>
      </c>
      <c r="I79" t="s">
        <v>1046</v>
      </c>
      <c r="K79" t="s">
        <v>839</v>
      </c>
      <c r="L79" t="s">
        <v>887</v>
      </c>
      <c r="O79">
        <v>45</v>
      </c>
      <c r="P79">
        <v>53</v>
      </c>
      <c r="Q79">
        <v>98</v>
      </c>
      <c r="S79" t="s">
        <v>841</v>
      </c>
      <c r="T79" t="s">
        <v>841</v>
      </c>
      <c r="U79" t="s">
        <v>841</v>
      </c>
      <c r="V79" t="s">
        <v>841</v>
      </c>
      <c r="W79" t="s">
        <v>841</v>
      </c>
      <c r="X79" t="s">
        <v>841</v>
      </c>
      <c r="Y79" t="s">
        <v>841</v>
      </c>
      <c r="Z79" t="s">
        <v>841</v>
      </c>
      <c r="AA79" t="s">
        <v>841</v>
      </c>
      <c r="AB79" t="s">
        <v>841</v>
      </c>
      <c r="AH79">
        <v>1</v>
      </c>
      <c r="AI79">
        <v>1</v>
      </c>
      <c r="AJ79">
        <v>1</v>
      </c>
      <c r="AK79">
        <v>1</v>
      </c>
      <c r="AL79">
        <v>1</v>
      </c>
      <c r="AM79">
        <v>1</v>
      </c>
      <c r="AN79">
        <v>1</v>
      </c>
      <c r="AO79">
        <v>1</v>
      </c>
      <c r="AP79">
        <v>1</v>
      </c>
      <c r="AQ79">
        <v>1</v>
      </c>
      <c r="AR79">
        <v>0</v>
      </c>
      <c r="AS79">
        <v>0</v>
      </c>
      <c r="AT79">
        <v>0</v>
      </c>
      <c r="AU79">
        <v>0</v>
      </c>
      <c r="AZ79" t="s">
        <v>841</v>
      </c>
      <c r="BJ79">
        <v>0</v>
      </c>
      <c r="BK79">
        <v>0</v>
      </c>
      <c r="BL79">
        <v>0</v>
      </c>
      <c r="BM79" t="s">
        <v>841</v>
      </c>
      <c r="BP79">
        <v>0</v>
      </c>
      <c r="BQ79">
        <v>0</v>
      </c>
      <c r="BR79">
        <v>0</v>
      </c>
      <c r="BS79" t="s">
        <v>841</v>
      </c>
      <c r="BV79" t="s">
        <v>842</v>
      </c>
      <c r="BX79" t="s">
        <v>839</v>
      </c>
      <c r="BY79" t="s">
        <v>759</v>
      </c>
      <c r="BZ79" t="s">
        <v>839</v>
      </c>
      <c r="CA79" t="s">
        <v>839</v>
      </c>
      <c r="CC79" t="s">
        <v>839</v>
      </c>
      <c r="CD79" t="s">
        <v>855</v>
      </c>
      <c r="CG79">
        <v>5</v>
      </c>
      <c r="CH79">
        <v>0</v>
      </c>
      <c r="CI79">
        <v>0</v>
      </c>
      <c r="CJ79">
        <v>5</v>
      </c>
      <c r="CK79" t="s">
        <v>877</v>
      </c>
      <c r="CM79" t="s">
        <v>844</v>
      </c>
      <c r="CN79">
        <v>1</v>
      </c>
      <c r="CO79">
        <v>0</v>
      </c>
      <c r="CP79">
        <v>0</v>
      </c>
      <c r="CQ79">
        <v>0</v>
      </c>
      <c r="CR79">
        <v>0</v>
      </c>
      <c r="CS79">
        <v>0</v>
      </c>
      <c r="CU79" t="s">
        <v>1375</v>
      </c>
      <c r="CV79">
        <v>1</v>
      </c>
      <c r="CW79">
        <v>0</v>
      </c>
      <c r="CX79">
        <v>1</v>
      </c>
      <c r="CY79">
        <v>0</v>
      </c>
      <c r="CZ79">
        <v>0</v>
      </c>
      <c r="DA79">
        <v>0</v>
      </c>
      <c r="DB79">
        <v>0</v>
      </c>
      <c r="DC79">
        <v>1</v>
      </c>
      <c r="DD79">
        <v>1</v>
      </c>
      <c r="DE79">
        <v>0</v>
      </c>
      <c r="DF79">
        <v>0</v>
      </c>
      <c r="DJ79">
        <v>2</v>
      </c>
      <c r="DK79">
        <v>10</v>
      </c>
      <c r="DL79">
        <v>13</v>
      </c>
      <c r="DN79">
        <v>300</v>
      </c>
      <c r="DP79">
        <v>700</v>
      </c>
      <c r="DQ79" t="s">
        <v>995</v>
      </c>
      <c r="DR79">
        <v>1</v>
      </c>
      <c r="DS79">
        <v>1</v>
      </c>
      <c r="DT79">
        <v>1</v>
      </c>
      <c r="DU79">
        <v>0</v>
      </c>
      <c r="DV79">
        <v>0</v>
      </c>
      <c r="DW79">
        <v>0</v>
      </c>
      <c r="DX79">
        <v>0</v>
      </c>
      <c r="DY79">
        <v>0</v>
      </c>
      <c r="DZ79">
        <v>0</v>
      </c>
      <c r="EB79" t="s">
        <v>839</v>
      </c>
      <c r="EC79" t="s">
        <v>957</v>
      </c>
      <c r="ED79" t="s">
        <v>848</v>
      </c>
      <c r="EI79">
        <v>550</v>
      </c>
      <c r="EL79" t="s">
        <v>841</v>
      </c>
      <c r="EO79">
        <v>0</v>
      </c>
      <c r="ET79" t="s">
        <v>841</v>
      </c>
      <c r="EZ79" t="s">
        <v>841</v>
      </c>
      <c r="FA79">
        <v>5</v>
      </c>
      <c r="FB79" t="s">
        <v>841</v>
      </c>
      <c r="FG79">
        <v>5</v>
      </c>
      <c r="FH79" t="s">
        <v>841</v>
      </c>
      <c r="FM79">
        <v>680</v>
      </c>
      <c r="FO79">
        <v>6</v>
      </c>
      <c r="FP79">
        <v>5</v>
      </c>
      <c r="FQ79">
        <v>11</v>
      </c>
      <c r="FS79" t="s">
        <v>842</v>
      </c>
      <c r="FT79" t="s">
        <v>842</v>
      </c>
      <c r="FU79" t="s">
        <v>842</v>
      </c>
      <c r="FV79" t="s">
        <v>839</v>
      </c>
      <c r="FW79" t="s">
        <v>682</v>
      </c>
      <c r="FY79" t="s">
        <v>842</v>
      </c>
      <c r="FZ79" t="s">
        <v>842</v>
      </c>
      <c r="GA79" t="s">
        <v>842</v>
      </c>
      <c r="GB79" t="s">
        <v>842</v>
      </c>
      <c r="GC79" t="s">
        <v>842</v>
      </c>
      <c r="GD79" t="s">
        <v>839</v>
      </c>
      <c r="GE79" t="s">
        <v>929</v>
      </c>
      <c r="GG79" t="s">
        <v>668</v>
      </c>
      <c r="GI79" t="s">
        <v>1376</v>
      </c>
      <c r="GJ79">
        <v>0</v>
      </c>
      <c r="GK79">
        <v>1</v>
      </c>
      <c r="GL79">
        <v>0</v>
      </c>
      <c r="GM79">
        <v>1</v>
      </c>
      <c r="GN79">
        <v>0</v>
      </c>
      <c r="GO79">
        <v>0</v>
      </c>
      <c r="GP79">
        <v>0</v>
      </c>
      <c r="GQ79">
        <v>0</v>
      </c>
      <c r="GR79">
        <v>0</v>
      </c>
      <c r="GS79">
        <v>0</v>
      </c>
      <c r="GT79">
        <v>0</v>
      </c>
      <c r="GU79">
        <v>1</v>
      </c>
      <c r="GV79">
        <v>0</v>
      </c>
      <c r="GW79">
        <v>0</v>
      </c>
      <c r="GX79">
        <v>0</v>
      </c>
      <c r="GY79">
        <v>0</v>
      </c>
      <c r="GZ79">
        <v>0</v>
      </c>
      <c r="HB79" t="s">
        <v>839</v>
      </c>
    </row>
    <row r="80" spans="1:211" x14ac:dyDescent="0.35">
      <c r="A80" t="s">
        <v>1377</v>
      </c>
      <c r="B80" s="151">
        <v>45110.991041666668</v>
      </c>
      <c r="C80" t="s">
        <v>1378</v>
      </c>
      <c r="D80" t="s">
        <v>485</v>
      </c>
      <c r="E80" t="s">
        <v>875</v>
      </c>
      <c r="F80" t="s">
        <v>1379</v>
      </c>
      <c r="G80" t="s">
        <v>1379</v>
      </c>
      <c r="H80" t="s">
        <v>839</v>
      </c>
      <c r="I80" t="s">
        <v>838</v>
      </c>
      <c r="K80" t="s">
        <v>842</v>
      </c>
      <c r="O80">
        <v>231</v>
      </c>
      <c r="P80">
        <v>233</v>
      </c>
      <c r="Q80">
        <v>464</v>
      </c>
      <c r="T80" t="s">
        <v>841</v>
      </c>
      <c r="U80" t="s">
        <v>841</v>
      </c>
      <c r="V80" t="s">
        <v>841</v>
      </c>
      <c r="W80" t="s">
        <v>841</v>
      </c>
      <c r="X80" t="s">
        <v>841</v>
      </c>
      <c r="Y80" t="s">
        <v>841</v>
      </c>
      <c r="Z80" t="s">
        <v>841</v>
      </c>
      <c r="AA80" t="s">
        <v>841</v>
      </c>
      <c r="AB80" t="s">
        <v>841</v>
      </c>
      <c r="AC80" t="s">
        <v>841</v>
      </c>
      <c r="AD80" t="s">
        <v>841</v>
      </c>
      <c r="AE80" t="s">
        <v>841</v>
      </c>
      <c r="AF80" t="s">
        <v>841</v>
      </c>
      <c r="AH80">
        <v>0</v>
      </c>
      <c r="AI80">
        <v>1</v>
      </c>
      <c r="AJ80">
        <v>1</v>
      </c>
      <c r="AK80">
        <v>1</v>
      </c>
      <c r="AL80">
        <v>1</v>
      </c>
      <c r="AM80">
        <v>1</v>
      </c>
      <c r="AN80">
        <v>1</v>
      </c>
      <c r="AO80">
        <v>1</v>
      </c>
      <c r="AP80">
        <v>1</v>
      </c>
      <c r="AQ80">
        <v>1</v>
      </c>
      <c r="AR80">
        <v>1</v>
      </c>
      <c r="AS80">
        <v>1</v>
      </c>
      <c r="AT80">
        <v>1</v>
      </c>
      <c r="AU80">
        <v>1</v>
      </c>
      <c r="AW80">
        <v>7</v>
      </c>
      <c r="AX80">
        <v>9</v>
      </c>
      <c r="AY80">
        <v>16</v>
      </c>
      <c r="BB80">
        <v>4</v>
      </c>
      <c r="BC80">
        <v>7</v>
      </c>
      <c r="BD80">
        <v>11</v>
      </c>
      <c r="BF80">
        <v>2</v>
      </c>
      <c r="BG80">
        <v>3</v>
      </c>
      <c r="BH80">
        <v>5</v>
      </c>
      <c r="BJ80">
        <v>15</v>
      </c>
      <c r="BK80">
        <v>13</v>
      </c>
      <c r="BL80">
        <v>28</v>
      </c>
      <c r="BP80">
        <v>7</v>
      </c>
      <c r="BQ80">
        <v>9</v>
      </c>
      <c r="BR80">
        <v>16</v>
      </c>
      <c r="BV80" t="s">
        <v>842</v>
      </c>
      <c r="BX80" t="s">
        <v>839</v>
      </c>
      <c r="BY80" t="s">
        <v>759</v>
      </c>
      <c r="BZ80" t="s">
        <v>839</v>
      </c>
      <c r="CA80" t="s">
        <v>839</v>
      </c>
      <c r="CC80" t="s">
        <v>839</v>
      </c>
      <c r="CD80" t="s">
        <v>855</v>
      </c>
      <c r="CG80">
        <v>8</v>
      </c>
      <c r="CH80">
        <v>3</v>
      </c>
      <c r="CI80">
        <v>3</v>
      </c>
      <c r="CJ80">
        <v>2</v>
      </c>
      <c r="CK80" t="s">
        <v>877</v>
      </c>
      <c r="CM80" t="s">
        <v>626</v>
      </c>
      <c r="CN80">
        <v>0</v>
      </c>
      <c r="CO80">
        <v>0</v>
      </c>
      <c r="CP80">
        <v>0</v>
      </c>
      <c r="CQ80">
        <v>0</v>
      </c>
      <c r="CR80">
        <v>0</v>
      </c>
      <c r="CS80">
        <v>1</v>
      </c>
      <c r="CT80" t="s">
        <v>1380</v>
      </c>
      <c r="CU80" t="s">
        <v>1014</v>
      </c>
      <c r="CV80">
        <v>1</v>
      </c>
      <c r="CW80">
        <v>1</v>
      </c>
      <c r="CX80">
        <v>1</v>
      </c>
      <c r="CY80">
        <v>1</v>
      </c>
      <c r="CZ80">
        <v>0</v>
      </c>
      <c r="DA80">
        <v>1</v>
      </c>
      <c r="DB80">
        <v>0</v>
      </c>
      <c r="DC80">
        <v>1</v>
      </c>
      <c r="DD80">
        <v>1</v>
      </c>
      <c r="DE80">
        <v>1</v>
      </c>
      <c r="DF80">
        <v>0</v>
      </c>
      <c r="DJ80">
        <v>10</v>
      </c>
      <c r="DK80">
        <v>7</v>
      </c>
      <c r="DL80">
        <v>17</v>
      </c>
      <c r="DN80">
        <v>800</v>
      </c>
      <c r="DP80">
        <v>1200</v>
      </c>
      <c r="DQ80" t="s">
        <v>1381</v>
      </c>
      <c r="DR80">
        <v>1</v>
      </c>
      <c r="DS80">
        <v>0</v>
      </c>
      <c r="DT80">
        <v>1</v>
      </c>
      <c r="DU80">
        <v>0</v>
      </c>
      <c r="DV80">
        <v>1</v>
      </c>
      <c r="DW80">
        <v>1</v>
      </c>
      <c r="DX80">
        <v>1</v>
      </c>
      <c r="DY80">
        <v>0</v>
      </c>
      <c r="DZ80">
        <v>0</v>
      </c>
      <c r="EB80" t="s">
        <v>839</v>
      </c>
      <c r="EC80" t="s">
        <v>869</v>
      </c>
      <c r="ED80" t="s">
        <v>848</v>
      </c>
      <c r="EI80">
        <v>300</v>
      </c>
      <c r="EL80" t="s">
        <v>841</v>
      </c>
      <c r="EO80">
        <v>1000</v>
      </c>
      <c r="ES80" t="s">
        <v>841</v>
      </c>
      <c r="EZ80" t="s">
        <v>841</v>
      </c>
      <c r="FA80">
        <v>50</v>
      </c>
      <c r="FC80" t="s">
        <v>841</v>
      </c>
      <c r="FL80" t="s">
        <v>841</v>
      </c>
      <c r="FM80">
        <v>695</v>
      </c>
      <c r="FO80">
        <v>28</v>
      </c>
      <c r="FP80">
        <v>32</v>
      </c>
      <c r="FQ80">
        <v>60</v>
      </c>
      <c r="FS80" t="s">
        <v>839</v>
      </c>
      <c r="FT80" t="s">
        <v>839</v>
      </c>
      <c r="FU80" t="s">
        <v>839</v>
      </c>
      <c r="FV80" t="s">
        <v>842</v>
      </c>
      <c r="FW80" t="s">
        <v>839</v>
      </c>
      <c r="FX80" t="s">
        <v>910</v>
      </c>
      <c r="FY80" t="s">
        <v>839</v>
      </c>
      <c r="FZ80" t="s">
        <v>839</v>
      </c>
      <c r="GA80" t="s">
        <v>842</v>
      </c>
      <c r="GB80" t="s">
        <v>842</v>
      </c>
      <c r="GC80" t="s">
        <v>842</v>
      </c>
      <c r="GD80" t="s">
        <v>839</v>
      </c>
      <c r="GE80" t="s">
        <v>929</v>
      </c>
      <c r="GG80" t="s">
        <v>668</v>
      </c>
      <c r="GI80" t="s">
        <v>1382</v>
      </c>
      <c r="GJ80">
        <v>1</v>
      </c>
      <c r="GK80">
        <v>1</v>
      </c>
      <c r="GL80">
        <v>1</v>
      </c>
      <c r="GM80">
        <v>0</v>
      </c>
      <c r="GN80">
        <v>1</v>
      </c>
      <c r="GO80">
        <v>1</v>
      </c>
      <c r="GP80">
        <v>1</v>
      </c>
      <c r="GQ80">
        <v>0</v>
      </c>
      <c r="GR80">
        <v>1</v>
      </c>
      <c r="GS80">
        <v>1</v>
      </c>
      <c r="GT80">
        <v>1</v>
      </c>
      <c r="GU80">
        <v>1</v>
      </c>
      <c r="GV80">
        <v>1</v>
      </c>
      <c r="GW80">
        <v>1</v>
      </c>
      <c r="GX80">
        <v>1</v>
      </c>
      <c r="GY80">
        <v>0</v>
      </c>
      <c r="GZ80">
        <v>0</v>
      </c>
      <c r="HB80" t="s">
        <v>842</v>
      </c>
      <c r="HC80" t="s">
        <v>1383</v>
      </c>
    </row>
    <row r="81" spans="1:211" x14ac:dyDescent="0.35">
      <c r="A81" t="s">
        <v>1384</v>
      </c>
      <c r="B81" s="151">
        <v>45111.265451388892</v>
      </c>
      <c r="C81" t="s">
        <v>1385</v>
      </c>
      <c r="D81" t="s">
        <v>1386</v>
      </c>
      <c r="E81" t="s">
        <v>875</v>
      </c>
      <c r="F81" t="s">
        <v>1387</v>
      </c>
      <c r="G81" t="s">
        <v>1387</v>
      </c>
      <c r="H81" t="s">
        <v>839</v>
      </c>
      <c r="I81" t="s">
        <v>838</v>
      </c>
      <c r="K81" t="s">
        <v>842</v>
      </c>
      <c r="O81">
        <v>101</v>
      </c>
      <c r="P81">
        <v>110</v>
      </c>
      <c r="Q81">
        <v>211</v>
      </c>
      <c r="S81" t="s">
        <v>841</v>
      </c>
      <c r="T81" t="s">
        <v>841</v>
      </c>
      <c r="U81" t="s">
        <v>841</v>
      </c>
      <c r="V81" t="s">
        <v>841</v>
      </c>
      <c r="W81" t="s">
        <v>841</v>
      </c>
      <c r="X81" t="s">
        <v>841</v>
      </c>
      <c r="Y81" t="s">
        <v>841</v>
      </c>
      <c r="Z81" t="s">
        <v>841</v>
      </c>
      <c r="AA81" t="s">
        <v>841</v>
      </c>
      <c r="AB81" t="s">
        <v>841</v>
      </c>
      <c r="AC81" t="s">
        <v>841</v>
      </c>
      <c r="AH81">
        <v>1</v>
      </c>
      <c r="AI81">
        <v>1</v>
      </c>
      <c r="AJ81">
        <v>1</v>
      </c>
      <c r="AK81">
        <v>1</v>
      </c>
      <c r="AL81">
        <v>1</v>
      </c>
      <c r="AM81">
        <v>1</v>
      </c>
      <c r="AN81">
        <v>1</v>
      </c>
      <c r="AO81">
        <v>1</v>
      </c>
      <c r="AP81">
        <v>1</v>
      </c>
      <c r="AQ81">
        <v>1</v>
      </c>
      <c r="AR81">
        <v>1</v>
      </c>
      <c r="AZ81" t="s">
        <v>841</v>
      </c>
      <c r="BM81" t="s">
        <v>841</v>
      </c>
      <c r="BS81" t="s">
        <v>841</v>
      </c>
      <c r="BV81" t="s">
        <v>839</v>
      </c>
      <c r="BW81" t="s">
        <v>759</v>
      </c>
      <c r="BX81" t="s">
        <v>839</v>
      </c>
      <c r="BY81" t="s">
        <v>759</v>
      </c>
      <c r="BZ81" t="s">
        <v>839</v>
      </c>
      <c r="CA81" t="s">
        <v>839</v>
      </c>
      <c r="CC81" t="s">
        <v>839</v>
      </c>
      <c r="CD81" t="s">
        <v>855</v>
      </c>
      <c r="CG81">
        <v>6</v>
      </c>
      <c r="CH81">
        <v>3</v>
      </c>
      <c r="CI81">
        <v>3</v>
      </c>
      <c r="CJ81">
        <v>0</v>
      </c>
      <c r="CK81" t="s">
        <v>877</v>
      </c>
      <c r="CM81" t="s">
        <v>867</v>
      </c>
      <c r="CN81">
        <v>0</v>
      </c>
      <c r="CO81">
        <v>1</v>
      </c>
      <c r="CP81">
        <v>0</v>
      </c>
      <c r="CQ81">
        <v>0</v>
      </c>
      <c r="CR81">
        <v>0</v>
      </c>
      <c r="CS81">
        <v>0</v>
      </c>
      <c r="CU81" t="s">
        <v>1388</v>
      </c>
      <c r="CV81">
        <v>1</v>
      </c>
      <c r="CW81">
        <v>0</v>
      </c>
      <c r="CX81">
        <v>1</v>
      </c>
      <c r="CY81">
        <v>0</v>
      </c>
      <c r="CZ81">
        <v>0</v>
      </c>
      <c r="DA81">
        <v>0</v>
      </c>
      <c r="DB81">
        <v>1</v>
      </c>
      <c r="DC81">
        <v>0</v>
      </c>
      <c r="DD81">
        <v>1</v>
      </c>
      <c r="DE81">
        <v>0</v>
      </c>
      <c r="DF81">
        <v>0</v>
      </c>
      <c r="DJ81">
        <v>2</v>
      </c>
      <c r="DK81">
        <v>12</v>
      </c>
      <c r="DL81">
        <v>14</v>
      </c>
      <c r="DN81">
        <v>400</v>
      </c>
      <c r="DP81">
        <v>600</v>
      </c>
      <c r="DQ81" t="s">
        <v>1389</v>
      </c>
      <c r="DR81">
        <v>0</v>
      </c>
      <c r="DS81">
        <v>1</v>
      </c>
      <c r="DT81">
        <v>1</v>
      </c>
      <c r="DU81">
        <v>0</v>
      </c>
      <c r="DV81">
        <v>1</v>
      </c>
      <c r="DW81">
        <v>1</v>
      </c>
      <c r="DX81">
        <v>1</v>
      </c>
      <c r="DY81">
        <v>0</v>
      </c>
      <c r="DZ81">
        <v>0</v>
      </c>
      <c r="EB81" t="s">
        <v>842</v>
      </c>
      <c r="EC81" t="s">
        <v>847</v>
      </c>
      <c r="ED81" t="s">
        <v>848</v>
      </c>
      <c r="EI81">
        <v>280</v>
      </c>
      <c r="EM81" t="s">
        <v>841</v>
      </c>
      <c r="EO81">
        <v>280</v>
      </c>
      <c r="ES81" t="s">
        <v>841</v>
      </c>
      <c r="EZ81" t="s">
        <v>841</v>
      </c>
      <c r="FA81">
        <v>5</v>
      </c>
      <c r="FB81" t="s">
        <v>841</v>
      </c>
      <c r="FG81">
        <v>4</v>
      </c>
      <c r="FH81" t="s">
        <v>841</v>
      </c>
      <c r="FM81">
        <v>160</v>
      </c>
      <c r="FO81">
        <v>0</v>
      </c>
      <c r="FP81">
        <v>1</v>
      </c>
      <c r="FQ81">
        <v>1</v>
      </c>
      <c r="FS81" t="s">
        <v>839</v>
      </c>
      <c r="FT81" t="s">
        <v>842</v>
      </c>
      <c r="FU81" t="s">
        <v>839</v>
      </c>
      <c r="FV81" t="s">
        <v>839</v>
      </c>
      <c r="FW81" t="s">
        <v>839</v>
      </c>
      <c r="FX81" t="s">
        <v>880</v>
      </c>
      <c r="FY81" t="s">
        <v>842</v>
      </c>
      <c r="FZ81" t="s">
        <v>839</v>
      </c>
      <c r="GA81" t="s">
        <v>839</v>
      </c>
      <c r="GB81" t="s">
        <v>842</v>
      </c>
      <c r="GC81" t="s">
        <v>842</v>
      </c>
      <c r="GD81" t="s">
        <v>839</v>
      </c>
      <c r="GE81" t="s">
        <v>881</v>
      </c>
      <c r="GG81" t="s">
        <v>842</v>
      </c>
      <c r="GI81" t="s">
        <v>1390</v>
      </c>
      <c r="GJ81">
        <v>1</v>
      </c>
      <c r="GK81">
        <v>0</v>
      </c>
      <c r="GL81">
        <v>0</v>
      </c>
      <c r="GM81">
        <v>0</v>
      </c>
      <c r="GN81">
        <v>0</v>
      </c>
      <c r="GO81">
        <v>1</v>
      </c>
      <c r="GP81">
        <v>0</v>
      </c>
      <c r="GQ81">
        <v>0</v>
      </c>
      <c r="GR81">
        <v>0</v>
      </c>
      <c r="GS81">
        <v>0</v>
      </c>
      <c r="GT81">
        <v>0</v>
      </c>
      <c r="GU81">
        <v>1</v>
      </c>
      <c r="GV81">
        <v>1</v>
      </c>
      <c r="GW81">
        <v>1</v>
      </c>
      <c r="GX81">
        <v>0</v>
      </c>
      <c r="GY81">
        <v>0</v>
      </c>
      <c r="GZ81">
        <v>0</v>
      </c>
      <c r="HB81" t="s">
        <v>839</v>
      </c>
    </row>
    <row r="82" spans="1:211" x14ac:dyDescent="0.35">
      <c r="A82" t="s">
        <v>1391</v>
      </c>
      <c r="B82" s="151">
        <v>45111.337210648147</v>
      </c>
      <c r="C82" t="s">
        <v>1392</v>
      </c>
      <c r="D82" t="s">
        <v>1393</v>
      </c>
      <c r="E82" t="s">
        <v>835</v>
      </c>
      <c r="F82" t="s">
        <v>1394</v>
      </c>
      <c r="H82" t="s">
        <v>839</v>
      </c>
      <c r="I82" t="s">
        <v>838</v>
      </c>
      <c r="K82" t="s">
        <v>839</v>
      </c>
      <c r="L82" t="s">
        <v>887</v>
      </c>
      <c r="O82">
        <v>128</v>
      </c>
      <c r="P82">
        <v>74</v>
      </c>
      <c r="Q82">
        <v>74</v>
      </c>
      <c r="T82" t="s">
        <v>841</v>
      </c>
      <c r="U82" t="s">
        <v>841</v>
      </c>
      <c r="V82" t="s">
        <v>841</v>
      </c>
      <c r="W82" t="s">
        <v>841</v>
      </c>
      <c r="X82" t="s">
        <v>841</v>
      </c>
      <c r="Y82" t="s">
        <v>841</v>
      </c>
      <c r="Z82" t="s">
        <v>841</v>
      </c>
      <c r="AA82" t="s">
        <v>841</v>
      </c>
      <c r="AB82" t="s">
        <v>841</v>
      </c>
      <c r="AC82" t="s">
        <v>841</v>
      </c>
      <c r="AD82" t="s">
        <v>841</v>
      </c>
      <c r="AF82" t="s">
        <v>841</v>
      </c>
      <c r="AI82">
        <v>1</v>
      </c>
      <c r="AJ82">
        <v>1</v>
      </c>
      <c r="AK82">
        <v>1</v>
      </c>
      <c r="AL82">
        <v>1</v>
      </c>
      <c r="AM82">
        <v>1</v>
      </c>
      <c r="AN82">
        <v>1</v>
      </c>
      <c r="AO82">
        <v>1</v>
      </c>
      <c r="AP82">
        <v>1</v>
      </c>
      <c r="AQ82">
        <v>1</v>
      </c>
      <c r="AR82">
        <v>1</v>
      </c>
      <c r="AS82">
        <v>1</v>
      </c>
      <c r="AU82">
        <v>10</v>
      </c>
      <c r="AW82">
        <v>10</v>
      </c>
      <c r="AX82">
        <v>2</v>
      </c>
      <c r="AY82">
        <v>122</v>
      </c>
      <c r="BB82">
        <v>2</v>
      </c>
      <c r="BC82">
        <v>1</v>
      </c>
      <c r="BD82">
        <v>3</v>
      </c>
      <c r="BF82">
        <v>7</v>
      </c>
      <c r="BG82">
        <v>7</v>
      </c>
      <c r="BH82">
        <v>14</v>
      </c>
      <c r="BJ82">
        <v>2</v>
      </c>
      <c r="BK82">
        <v>8</v>
      </c>
      <c r="BL82">
        <v>10</v>
      </c>
      <c r="BP82">
        <v>2</v>
      </c>
      <c r="BQ82">
        <v>8</v>
      </c>
      <c r="BR82">
        <v>10</v>
      </c>
      <c r="BV82" t="s">
        <v>839</v>
      </c>
      <c r="BW82" t="s">
        <v>759</v>
      </c>
      <c r="BX82" t="s">
        <v>839</v>
      </c>
      <c r="BY82" t="s">
        <v>759</v>
      </c>
      <c r="BZ82" t="s">
        <v>839</v>
      </c>
      <c r="CA82" t="s">
        <v>839</v>
      </c>
      <c r="CC82" t="s">
        <v>839</v>
      </c>
      <c r="CD82" t="s">
        <v>855</v>
      </c>
      <c r="CG82">
        <v>6</v>
      </c>
      <c r="CH82">
        <v>3</v>
      </c>
      <c r="CI82">
        <v>3</v>
      </c>
      <c r="CJ82">
        <v>0</v>
      </c>
      <c r="CK82" t="s">
        <v>877</v>
      </c>
      <c r="CM82" t="s">
        <v>844</v>
      </c>
      <c r="CN82">
        <v>1</v>
      </c>
      <c r="CO82">
        <v>0</v>
      </c>
      <c r="CP82">
        <v>0</v>
      </c>
      <c r="CQ82">
        <v>0</v>
      </c>
      <c r="CR82">
        <v>0</v>
      </c>
      <c r="CS82">
        <v>0</v>
      </c>
      <c r="CU82" t="s">
        <v>1249</v>
      </c>
      <c r="CV82">
        <v>1</v>
      </c>
      <c r="CW82">
        <v>0</v>
      </c>
      <c r="CX82">
        <v>1</v>
      </c>
      <c r="CY82">
        <v>1</v>
      </c>
      <c r="CZ82">
        <v>0</v>
      </c>
      <c r="DA82">
        <v>0</v>
      </c>
      <c r="DB82">
        <v>0</v>
      </c>
      <c r="DC82">
        <v>0</v>
      </c>
      <c r="DD82">
        <v>0</v>
      </c>
      <c r="DE82">
        <v>0</v>
      </c>
      <c r="DF82">
        <v>0</v>
      </c>
      <c r="DJ82">
        <v>6</v>
      </c>
      <c r="DK82">
        <v>7</v>
      </c>
      <c r="DL82">
        <v>13</v>
      </c>
      <c r="DN82">
        <v>300</v>
      </c>
      <c r="DP82">
        <v>350</v>
      </c>
      <c r="DQ82" t="s">
        <v>927</v>
      </c>
      <c r="DR82">
        <v>1</v>
      </c>
      <c r="DS82">
        <v>0</v>
      </c>
      <c r="DT82">
        <v>1</v>
      </c>
      <c r="DU82">
        <v>0</v>
      </c>
      <c r="DV82">
        <v>0</v>
      </c>
      <c r="DW82">
        <v>0</v>
      </c>
      <c r="DX82">
        <v>0</v>
      </c>
      <c r="DY82">
        <v>0</v>
      </c>
      <c r="DZ82">
        <v>0</v>
      </c>
      <c r="EB82" t="s">
        <v>839</v>
      </c>
      <c r="EC82" t="s">
        <v>869</v>
      </c>
      <c r="ED82" t="s">
        <v>900</v>
      </c>
      <c r="EI82">
        <v>8</v>
      </c>
      <c r="EJ82" t="s">
        <v>841</v>
      </c>
      <c r="EO82">
        <v>10</v>
      </c>
      <c r="EP82" t="s">
        <v>841</v>
      </c>
      <c r="EZ82" t="s">
        <v>841</v>
      </c>
      <c r="FA82">
        <v>4</v>
      </c>
      <c r="FB82" t="s">
        <v>841</v>
      </c>
      <c r="FG82">
        <v>4</v>
      </c>
      <c r="FH82" t="s">
        <v>841</v>
      </c>
      <c r="FM82">
        <v>450</v>
      </c>
      <c r="FO82">
        <v>4</v>
      </c>
      <c r="FP82">
        <v>4</v>
      </c>
      <c r="FQ82">
        <v>8</v>
      </c>
      <c r="FS82" t="s">
        <v>839</v>
      </c>
      <c r="FT82" t="s">
        <v>839</v>
      </c>
      <c r="FU82" t="s">
        <v>839</v>
      </c>
      <c r="FV82" t="s">
        <v>839</v>
      </c>
      <c r="FW82" t="s">
        <v>842</v>
      </c>
      <c r="FY82" t="s">
        <v>842</v>
      </c>
      <c r="FZ82" t="s">
        <v>839</v>
      </c>
      <c r="GA82" t="s">
        <v>839</v>
      </c>
      <c r="GB82" t="s">
        <v>842</v>
      </c>
      <c r="GC82" t="s">
        <v>842</v>
      </c>
      <c r="GD82" t="s">
        <v>842</v>
      </c>
      <c r="GG82" t="s">
        <v>839</v>
      </c>
      <c r="GI82" t="s">
        <v>1395</v>
      </c>
      <c r="GJ82">
        <v>1</v>
      </c>
      <c r="GK82">
        <v>1</v>
      </c>
      <c r="GL82">
        <v>1</v>
      </c>
      <c r="GM82">
        <v>1</v>
      </c>
      <c r="GN82">
        <v>1</v>
      </c>
      <c r="GO82">
        <v>0</v>
      </c>
      <c r="GP82">
        <v>0</v>
      </c>
      <c r="GQ82">
        <v>0</v>
      </c>
      <c r="GR82">
        <v>0</v>
      </c>
      <c r="GS82">
        <v>1</v>
      </c>
      <c r="GT82">
        <v>1</v>
      </c>
      <c r="GU82">
        <v>0</v>
      </c>
      <c r="GV82">
        <v>1</v>
      </c>
      <c r="GW82">
        <v>1</v>
      </c>
      <c r="GX82">
        <v>1</v>
      </c>
      <c r="GY82">
        <v>0</v>
      </c>
      <c r="GZ82">
        <v>0</v>
      </c>
      <c r="HB82" t="s">
        <v>839</v>
      </c>
    </row>
    <row r="83" spans="1:211" ht="18.75" customHeight="1" x14ac:dyDescent="0.35">
      <c r="A83" t="s">
        <v>1396</v>
      </c>
      <c r="B83" s="151">
        <v>45111.429027777784</v>
      </c>
      <c r="C83" t="s">
        <v>1397</v>
      </c>
      <c r="D83" t="s">
        <v>1398</v>
      </c>
      <c r="E83" t="s">
        <v>835</v>
      </c>
      <c r="F83" t="s">
        <v>1399</v>
      </c>
      <c r="G83" t="s">
        <v>1399</v>
      </c>
      <c r="H83" t="s">
        <v>839</v>
      </c>
      <c r="I83" t="s">
        <v>838</v>
      </c>
      <c r="K83" t="s">
        <v>842</v>
      </c>
      <c r="O83">
        <v>80</v>
      </c>
      <c r="P83">
        <v>40</v>
      </c>
      <c r="Q83">
        <v>120</v>
      </c>
      <c r="S83" t="s">
        <v>841</v>
      </c>
      <c r="T83" t="s">
        <v>841</v>
      </c>
      <c r="U83" t="s">
        <v>841</v>
      </c>
      <c r="V83" t="s">
        <v>841</v>
      </c>
      <c r="W83" t="s">
        <v>841</v>
      </c>
      <c r="X83" t="s">
        <v>841</v>
      </c>
      <c r="Y83" t="s">
        <v>841</v>
      </c>
      <c r="Z83" t="s">
        <v>841</v>
      </c>
      <c r="AA83" t="s">
        <v>841</v>
      </c>
      <c r="AH83">
        <v>1</v>
      </c>
      <c r="AI83">
        <v>1</v>
      </c>
      <c r="AJ83">
        <v>1</v>
      </c>
      <c r="AK83">
        <v>1</v>
      </c>
      <c r="AL83">
        <v>1</v>
      </c>
      <c r="AM83">
        <v>1</v>
      </c>
      <c r="AN83">
        <v>1</v>
      </c>
      <c r="AO83">
        <v>1</v>
      </c>
      <c r="AP83">
        <v>1</v>
      </c>
      <c r="BV83" t="s">
        <v>839</v>
      </c>
      <c r="BW83" t="s">
        <v>758</v>
      </c>
      <c r="BX83" t="s">
        <v>839</v>
      </c>
      <c r="BY83" t="s">
        <v>759</v>
      </c>
      <c r="BZ83" t="s">
        <v>839</v>
      </c>
      <c r="CA83" t="s">
        <v>839</v>
      </c>
      <c r="CC83" t="s">
        <v>839</v>
      </c>
      <c r="CD83" t="s">
        <v>855</v>
      </c>
      <c r="CG83">
        <v>2</v>
      </c>
      <c r="CH83">
        <v>1</v>
      </c>
      <c r="CI83">
        <v>1</v>
      </c>
      <c r="CJ83">
        <v>0</v>
      </c>
      <c r="CK83" t="s">
        <v>856</v>
      </c>
      <c r="CM83" t="s">
        <v>844</v>
      </c>
      <c r="CN83">
        <v>1</v>
      </c>
      <c r="CO83">
        <v>0</v>
      </c>
      <c r="CP83">
        <v>0</v>
      </c>
      <c r="CQ83">
        <v>0</v>
      </c>
      <c r="CR83">
        <v>0</v>
      </c>
      <c r="CS83">
        <v>0</v>
      </c>
      <c r="CU83" t="s">
        <v>1150</v>
      </c>
      <c r="CV83">
        <v>1</v>
      </c>
      <c r="CW83">
        <v>1</v>
      </c>
      <c r="CX83">
        <v>1</v>
      </c>
      <c r="CY83">
        <v>0</v>
      </c>
      <c r="CZ83">
        <v>0</v>
      </c>
      <c r="DA83">
        <v>1</v>
      </c>
      <c r="DB83">
        <v>0</v>
      </c>
      <c r="DC83">
        <v>0</v>
      </c>
      <c r="DD83">
        <v>1</v>
      </c>
      <c r="DE83">
        <v>1</v>
      </c>
      <c r="DF83">
        <v>0</v>
      </c>
      <c r="DJ83">
        <v>4</v>
      </c>
      <c r="DK83">
        <v>6</v>
      </c>
      <c r="DL83">
        <v>10</v>
      </c>
      <c r="DN83">
        <v>450</v>
      </c>
      <c r="DP83">
        <v>750</v>
      </c>
      <c r="DQ83" t="s">
        <v>1400</v>
      </c>
      <c r="DR83">
        <v>1</v>
      </c>
      <c r="DS83">
        <v>0</v>
      </c>
      <c r="DT83">
        <v>0</v>
      </c>
      <c r="DU83">
        <v>0</v>
      </c>
      <c r="DV83">
        <v>1</v>
      </c>
      <c r="DW83">
        <v>0</v>
      </c>
      <c r="DX83">
        <v>1</v>
      </c>
      <c r="DY83">
        <v>1</v>
      </c>
      <c r="DZ83">
        <v>0</v>
      </c>
      <c r="EA83" s="155" t="s">
        <v>1401</v>
      </c>
      <c r="EB83" t="s">
        <v>839</v>
      </c>
      <c r="EC83" t="s">
        <v>869</v>
      </c>
      <c r="ED83" t="s">
        <v>848</v>
      </c>
      <c r="EI83">
        <v>400</v>
      </c>
      <c r="EM83" t="s">
        <v>841</v>
      </c>
      <c r="EO83">
        <v>450</v>
      </c>
      <c r="ES83" t="s">
        <v>841</v>
      </c>
      <c r="EU83">
        <v>500</v>
      </c>
      <c r="EY83" t="s">
        <v>841</v>
      </c>
      <c r="FB83" t="s">
        <v>841</v>
      </c>
      <c r="FC83" t="s">
        <v>841</v>
      </c>
      <c r="FD83" t="s">
        <v>841</v>
      </c>
      <c r="FG83">
        <v>30</v>
      </c>
      <c r="FI83" t="s">
        <v>841</v>
      </c>
      <c r="FM83">
        <v>2200</v>
      </c>
      <c r="FO83">
        <v>4</v>
      </c>
      <c r="FP83">
        <v>5</v>
      </c>
      <c r="FQ83">
        <v>9</v>
      </c>
      <c r="FS83" t="s">
        <v>839</v>
      </c>
      <c r="FT83" t="s">
        <v>839</v>
      </c>
      <c r="FU83" t="s">
        <v>839</v>
      </c>
      <c r="FV83" t="s">
        <v>839</v>
      </c>
      <c r="FW83" t="s">
        <v>839</v>
      </c>
      <c r="FX83" t="s">
        <v>965</v>
      </c>
      <c r="FY83" t="s">
        <v>839</v>
      </c>
      <c r="FZ83" t="s">
        <v>839</v>
      </c>
      <c r="GA83" t="s">
        <v>839</v>
      </c>
      <c r="GB83" t="s">
        <v>839</v>
      </c>
      <c r="GC83" t="s">
        <v>842</v>
      </c>
      <c r="GD83" t="s">
        <v>839</v>
      </c>
      <c r="GE83" t="s">
        <v>626</v>
      </c>
      <c r="GF83" t="s">
        <v>1402</v>
      </c>
      <c r="GG83" t="s">
        <v>842</v>
      </c>
      <c r="GI83" t="s">
        <v>1403</v>
      </c>
      <c r="GJ83">
        <v>1</v>
      </c>
      <c r="GK83">
        <v>1</v>
      </c>
      <c r="GL83">
        <v>1</v>
      </c>
      <c r="GM83">
        <v>1</v>
      </c>
      <c r="GN83">
        <v>1</v>
      </c>
      <c r="GO83">
        <v>0</v>
      </c>
      <c r="GP83">
        <v>1</v>
      </c>
      <c r="GQ83">
        <v>1</v>
      </c>
      <c r="GR83">
        <v>1</v>
      </c>
      <c r="GS83">
        <v>1</v>
      </c>
      <c r="GT83">
        <v>1</v>
      </c>
      <c r="GU83">
        <v>1</v>
      </c>
      <c r="GV83">
        <v>1</v>
      </c>
      <c r="GW83">
        <v>1</v>
      </c>
      <c r="GX83">
        <v>1</v>
      </c>
      <c r="GY83">
        <v>0</v>
      </c>
      <c r="GZ83">
        <v>0</v>
      </c>
      <c r="HB83" t="s">
        <v>842</v>
      </c>
      <c r="HC83" t="s">
        <v>1404</v>
      </c>
    </row>
    <row r="84" spans="1:211" x14ac:dyDescent="0.35">
      <c r="A84" t="s">
        <v>1405</v>
      </c>
      <c r="B84" s="151">
        <v>45111.435370370367</v>
      </c>
      <c r="C84" t="s">
        <v>1406</v>
      </c>
      <c r="D84" t="s">
        <v>1407</v>
      </c>
      <c r="E84" t="s">
        <v>875</v>
      </c>
      <c r="F84" t="s">
        <v>1408</v>
      </c>
      <c r="G84" t="s">
        <v>1408</v>
      </c>
      <c r="H84" t="s">
        <v>839</v>
      </c>
      <c r="I84" t="s">
        <v>838</v>
      </c>
      <c r="K84" t="s">
        <v>842</v>
      </c>
      <c r="O84">
        <v>113</v>
      </c>
      <c r="P84">
        <v>123</v>
      </c>
      <c r="Q84">
        <v>236</v>
      </c>
      <c r="T84" t="s">
        <v>841</v>
      </c>
      <c r="U84" t="s">
        <v>841</v>
      </c>
      <c r="V84" t="s">
        <v>841</v>
      </c>
      <c r="W84" t="s">
        <v>841</v>
      </c>
      <c r="X84" t="s">
        <v>841</v>
      </c>
      <c r="Y84" t="s">
        <v>841</v>
      </c>
      <c r="Z84" t="s">
        <v>841</v>
      </c>
      <c r="AA84" t="s">
        <v>841</v>
      </c>
      <c r="AB84" t="s">
        <v>841</v>
      </c>
      <c r="AC84" t="s">
        <v>841</v>
      </c>
      <c r="AD84" t="s">
        <v>841</v>
      </c>
      <c r="AE84" t="s">
        <v>841</v>
      </c>
      <c r="AF84" t="s">
        <v>841</v>
      </c>
      <c r="AH84">
        <v>0</v>
      </c>
      <c r="AI84">
        <v>1</v>
      </c>
      <c r="AJ84">
        <v>1</v>
      </c>
      <c r="AK84">
        <v>1</v>
      </c>
      <c r="AL84">
        <v>1</v>
      </c>
      <c r="AM84">
        <v>1</v>
      </c>
      <c r="AN84">
        <v>1</v>
      </c>
      <c r="AO84">
        <v>1</v>
      </c>
      <c r="AP84">
        <v>1</v>
      </c>
      <c r="AQ84">
        <v>1</v>
      </c>
      <c r="AR84">
        <v>1</v>
      </c>
      <c r="AS84">
        <v>1</v>
      </c>
      <c r="AT84">
        <v>1</v>
      </c>
      <c r="AU84">
        <v>1</v>
      </c>
      <c r="AW84">
        <v>7</v>
      </c>
      <c r="AX84">
        <v>7</v>
      </c>
      <c r="AY84">
        <v>14</v>
      </c>
      <c r="BB84">
        <v>6</v>
      </c>
      <c r="BC84">
        <v>4</v>
      </c>
      <c r="BD84">
        <v>10</v>
      </c>
      <c r="BF84">
        <v>3</v>
      </c>
      <c r="BG84">
        <v>1</v>
      </c>
      <c r="BH84">
        <v>4</v>
      </c>
      <c r="BN84" t="s">
        <v>841</v>
      </c>
      <c r="BT84" t="s">
        <v>841</v>
      </c>
      <c r="BV84" t="s">
        <v>839</v>
      </c>
      <c r="BW84" t="s">
        <v>758</v>
      </c>
      <c r="BX84" t="s">
        <v>839</v>
      </c>
      <c r="BY84" t="s">
        <v>950</v>
      </c>
      <c r="BZ84" t="s">
        <v>839</v>
      </c>
      <c r="CA84" t="s">
        <v>839</v>
      </c>
      <c r="CC84" t="s">
        <v>839</v>
      </c>
      <c r="CD84" t="s">
        <v>855</v>
      </c>
      <c r="CG84">
        <v>12</v>
      </c>
      <c r="CH84">
        <v>6</v>
      </c>
      <c r="CI84">
        <v>6</v>
      </c>
      <c r="CJ84">
        <v>0</v>
      </c>
      <c r="CK84" t="s">
        <v>877</v>
      </c>
      <c r="CM84" t="s">
        <v>867</v>
      </c>
      <c r="CN84">
        <v>0</v>
      </c>
      <c r="CO84">
        <v>1</v>
      </c>
      <c r="CP84">
        <v>0</v>
      </c>
      <c r="CQ84">
        <v>0</v>
      </c>
      <c r="CR84">
        <v>0</v>
      </c>
      <c r="CS84">
        <v>0</v>
      </c>
      <c r="CU84" t="s">
        <v>878</v>
      </c>
      <c r="CV84">
        <v>1</v>
      </c>
      <c r="CW84">
        <v>0</v>
      </c>
      <c r="CX84">
        <v>1</v>
      </c>
      <c r="CY84">
        <v>1</v>
      </c>
      <c r="CZ84">
        <v>1</v>
      </c>
      <c r="DA84">
        <v>0</v>
      </c>
      <c r="DB84">
        <v>0</v>
      </c>
      <c r="DC84">
        <v>0</v>
      </c>
      <c r="DD84">
        <v>1</v>
      </c>
      <c r="DE84">
        <v>0</v>
      </c>
      <c r="DF84">
        <v>0</v>
      </c>
      <c r="DJ84">
        <v>9</v>
      </c>
      <c r="DK84">
        <v>8</v>
      </c>
      <c r="DL84">
        <v>17</v>
      </c>
      <c r="DN84">
        <v>400</v>
      </c>
      <c r="DP84">
        <v>900</v>
      </c>
      <c r="DQ84" t="s">
        <v>1381</v>
      </c>
      <c r="DR84">
        <v>1</v>
      </c>
      <c r="DS84">
        <v>0</v>
      </c>
      <c r="DT84">
        <v>1</v>
      </c>
      <c r="DU84">
        <v>0</v>
      </c>
      <c r="DV84">
        <v>1</v>
      </c>
      <c r="DW84">
        <v>1</v>
      </c>
      <c r="DX84">
        <v>1</v>
      </c>
      <c r="DY84">
        <v>0</v>
      </c>
      <c r="DZ84">
        <v>0</v>
      </c>
      <c r="EB84" t="s">
        <v>839</v>
      </c>
      <c r="EC84" t="s">
        <v>869</v>
      </c>
      <c r="ED84" t="s">
        <v>848</v>
      </c>
      <c r="EI84">
        <v>6</v>
      </c>
      <c r="EJ84" t="s">
        <v>841</v>
      </c>
      <c r="EO84">
        <v>6</v>
      </c>
      <c r="EP84" t="s">
        <v>841</v>
      </c>
      <c r="EZ84" t="s">
        <v>841</v>
      </c>
      <c r="FA84">
        <v>7</v>
      </c>
      <c r="FB84" t="s">
        <v>841</v>
      </c>
      <c r="FG84">
        <v>8</v>
      </c>
      <c r="FH84" t="s">
        <v>841</v>
      </c>
      <c r="FM84">
        <v>500</v>
      </c>
      <c r="FO84">
        <v>3</v>
      </c>
      <c r="FP84">
        <v>0</v>
      </c>
      <c r="FQ84">
        <v>3</v>
      </c>
      <c r="FS84" t="s">
        <v>842</v>
      </c>
      <c r="FT84" t="s">
        <v>842</v>
      </c>
      <c r="FU84" t="s">
        <v>842</v>
      </c>
      <c r="FV84" t="s">
        <v>842</v>
      </c>
      <c r="FW84" t="s">
        <v>682</v>
      </c>
      <c r="FY84" t="s">
        <v>842</v>
      </c>
      <c r="FZ84" t="s">
        <v>842</v>
      </c>
      <c r="GA84" t="s">
        <v>842</v>
      </c>
      <c r="GB84" t="s">
        <v>839</v>
      </c>
      <c r="GC84" t="s">
        <v>842</v>
      </c>
      <c r="GD84" t="s">
        <v>842</v>
      </c>
      <c r="GG84" t="s">
        <v>839</v>
      </c>
      <c r="GI84" t="s">
        <v>1409</v>
      </c>
      <c r="GJ84">
        <v>1</v>
      </c>
      <c r="GK84">
        <v>1</v>
      </c>
      <c r="GL84">
        <v>0</v>
      </c>
      <c r="GM84">
        <v>1</v>
      </c>
      <c r="GN84">
        <v>1</v>
      </c>
      <c r="GO84">
        <v>0</v>
      </c>
      <c r="GP84">
        <v>0</v>
      </c>
      <c r="GQ84">
        <v>1</v>
      </c>
      <c r="GR84">
        <v>0</v>
      </c>
      <c r="GS84">
        <v>0</v>
      </c>
      <c r="GT84">
        <v>1</v>
      </c>
      <c r="GU84">
        <v>1</v>
      </c>
      <c r="GV84">
        <v>0</v>
      </c>
      <c r="GW84">
        <v>1</v>
      </c>
      <c r="GX84">
        <v>0</v>
      </c>
      <c r="GY84">
        <v>0</v>
      </c>
      <c r="GZ84">
        <v>0</v>
      </c>
      <c r="HB84" t="s">
        <v>839</v>
      </c>
    </row>
    <row r="85" spans="1:211" x14ac:dyDescent="0.35">
      <c r="A85" t="s">
        <v>1410</v>
      </c>
      <c r="B85" s="151">
        <v>45111.559594907398</v>
      </c>
      <c r="C85" t="s">
        <v>1411</v>
      </c>
      <c r="D85" t="s">
        <v>1412</v>
      </c>
      <c r="E85" t="s">
        <v>835</v>
      </c>
      <c r="F85" t="s">
        <v>1413</v>
      </c>
      <c r="G85" t="s">
        <v>1413</v>
      </c>
      <c r="H85" t="s">
        <v>839</v>
      </c>
      <c r="I85" t="s">
        <v>896</v>
      </c>
      <c r="K85" t="s">
        <v>839</v>
      </c>
      <c r="L85" t="s">
        <v>887</v>
      </c>
      <c r="O85">
        <v>100</v>
      </c>
      <c r="P85">
        <v>104</v>
      </c>
      <c r="Q85">
        <v>204</v>
      </c>
      <c r="T85" t="s">
        <v>841</v>
      </c>
      <c r="V85" t="s">
        <v>841</v>
      </c>
      <c r="W85" t="s">
        <v>841</v>
      </c>
      <c r="X85" t="s">
        <v>841</v>
      </c>
      <c r="Y85" t="s">
        <v>841</v>
      </c>
      <c r="Z85" t="s">
        <v>841</v>
      </c>
      <c r="AB85" t="s">
        <v>841</v>
      </c>
      <c r="AC85" t="s">
        <v>841</v>
      </c>
      <c r="AD85" t="s">
        <v>841</v>
      </c>
      <c r="AE85" t="s">
        <v>841</v>
      </c>
      <c r="AF85" t="s">
        <v>841</v>
      </c>
      <c r="AI85">
        <v>1</v>
      </c>
      <c r="AJ85">
        <v>0</v>
      </c>
      <c r="AK85">
        <v>1</v>
      </c>
      <c r="AL85">
        <v>1</v>
      </c>
      <c r="AM85">
        <v>1</v>
      </c>
      <c r="AN85">
        <v>1</v>
      </c>
      <c r="AO85">
        <v>1</v>
      </c>
      <c r="AP85">
        <v>0</v>
      </c>
      <c r="AQ85">
        <v>1</v>
      </c>
      <c r="AR85">
        <v>1</v>
      </c>
      <c r="AS85">
        <v>1</v>
      </c>
      <c r="AT85">
        <v>1</v>
      </c>
      <c r="AU85">
        <v>1</v>
      </c>
      <c r="BV85" t="s">
        <v>842</v>
      </c>
      <c r="BX85" t="s">
        <v>839</v>
      </c>
      <c r="BY85" t="s">
        <v>759</v>
      </c>
      <c r="BZ85" t="s">
        <v>839</v>
      </c>
      <c r="CA85" t="s">
        <v>842</v>
      </c>
      <c r="CC85" t="s">
        <v>839</v>
      </c>
      <c r="CD85" t="s">
        <v>855</v>
      </c>
      <c r="CG85">
        <v>2</v>
      </c>
      <c r="CH85">
        <v>1</v>
      </c>
      <c r="CI85">
        <v>1</v>
      </c>
      <c r="CJ85">
        <v>0</v>
      </c>
      <c r="CK85" t="s">
        <v>681</v>
      </c>
      <c r="CM85" t="s">
        <v>844</v>
      </c>
      <c r="CN85">
        <v>1</v>
      </c>
      <c r="CO85">
        <v>0</v>
      </c>
      <c r="CP85">
        <v>0</v>
      </c>
      <c r="CQ85">
        <v>0</v>
      </c>
      <c r="CR85">
        <v>0</v>
      </c>
      <c r="CS85">
        <v>0</v>
      </c>
      <c r="CU85" t="s">
        <v>1311</v>
      </c>
      <c r="CV85">
        <v>1</v>
      </c>
      <c r="CW85">
        <v>0</v>
      </c>
      <c r="CX85">
        <v>1</v>
      </c>
      <c r="CY85">
        <v>1</v>
      </c>
      <c r="CZ85">
        <v>0</v>
      </c>
      <c r="DA85">
        <v>0</v>
      </c>
      <c r="DB85">
        <v>0</v>
      </c>
      <c r="DC85">
        <v>0</v>
      </c>
      <c r="DD85">
        <v>1</v>
      </c>
      <c r="DE85">
        <v>0</v>
      </c>
      <c r="DF85">
        <v>0</v>
      </c>
      <c r="DJ85">
        <v>7</v>
      </c>
      <c r="DK85">
        <v>6</v>
      </c>
      <c r="DL85">
        <v>13</v>
      </c>
      <c r="DN85">
        <v>200</v>
      </c>
      <c r="DP85">
        <v>500</v>
      </c>
      <c r="DQ85" t="s">
        <v>1040</v>
      </c>
      <c r="DR85">
        <v>0</v>
      </c>
      <c r="DS85">
        <v>0</v>
      </c>
      <c r="DT85">
        <v>1</v>
      </c>
      <c r="DU85">
        <v>0</v>
      </c>
      <c r="DV85">
        <v>0</v>
      </c>
      <c r="DW85">
        <v>0</v>
      </c>
      <c r="DX85">
        <v>0</v>
      </c>
      <c r="DY85">
        <v>0</v>
      </c>
      <c r="DZ85">
        <v>0</v>
      </c>
      <c r="EB85" t="s">
        <v>842</v>
      </c>
      <c r="EC85" t="s">
        <v>869</v>
      </c>
      <c r="ED85" t="s">
        <v>928</v>
      </c>
      <c r="EI85">
        <v>450</v>
      </c>
      <c r="EM85" t="s">
        <v>841</v>
      </c>
      <c r="ET85" t="s">
        <v>841</v>
      </c>
      <c r="EZ85" t="s">
        <v>841</v>
      </c>
      <c r="FA85">
        <v>4</v>
      </c>
      <c r="FB85" t="s">
        <v>841</v>
      </c>
      <c r="FL85" t="s">
        <v>841</v>
      </c>
      <c r="FM85">
        <v>450</v>
      </c>
      <c r="FO85">
        <v>0</v>
      </c>
      <c r="FP85">
        <v>0</v>
      </c>
      <c r="FQ85">
        <v>0</v>
      </c>
      <c r="FS85" t="s">
        <v>842</v>
      </c>
      <c r="FT85" t="s">
        <v>842</v>
      </c>
      <c r="FU85" t="s">
        <v>839</v>
      </c>
      <c r="FV85" t="s">
        <v>842</v>
      </c>
      <c r="FW85" t="s">
        <v>839</v>
      </c>
      <c r="FX85" t="s">
        <v>880</v>
      </c>
      <c r="FY85" t="s">
        <v>839</v>
      </c>
      <c r="FZ85" t="s">
        <v>842</v>
      </c>
      <c r="GA85" t="s">
        <v>842</v>
      </c>
      <c r="GB85" t="s">
        <v>842</v>
      </c>
      <c r="GC85" t="s">
        <v>842</v>
      </c>
      <c r="GD85" t="s">
        <v>842</v>
      </c>
      <c r="GG85" t="s">
        <v>668</v>
      </c>
      <c r="GI85" t="s">
        <v>1414</v>
      </c>
      <c r="GJ85">
        <v>0</v>
      </c>
      <c r="GK85">
        <v>0</v>
      </c>
      <c r="GL85">
        <v>0</v>
      </c>
      <c r="GM85">
        <v>1</v>
      </c>
      <c r="GN85">
        <v>1</v>
      </c>
      <c r="GO85">
        <v>0</v>
      </c>
      <c r="GP85">
        <v>1</v>
      </c>
      <c r="GQ85">
        <v>0</v>
      </c>
      <c r="GR85">
        <v>1</v>
      </c>
      <c r="GS85">
        <v>1</v>
      </c>
      <c r="GT85">
        <v>0</v>
      </c>
      <c r="GU85">
        <v>1</v>
      </c>
      <c r="GV85">
        <v>1</v>
      </c>
      <c r="GW85">
        <v>1</v>
      </c>
      <c r="GX85">
        <v>1</v>
      </c>
      <c r="GY85">
        <v>0</v>
      </c>
      <c r="GZ85">
        <v>0</v>
      </c>
      <c r="HB85" t="s">
        <v>842</v>
      </c>
      <c r="HC85" t="s">
        <v>1415</v>
      </c>
    </row>
    <row r="86" spans="1:211" x14ac:dyDescent="0.35">
      <c r="A86" t="s">
        <v>1416</v>
      </c>
      <c r="B86" s="151">
        <v>45112.479768518519</v>
      </c>
      <c r="C86" t="s">
        <v>1417</v>
      </c>
      <c r="D86" t="s">
        <v>1418</v>
      </c>
      <c r="E86" t="s">
        <v>875</v>
      </c>
      <c r="F86" t="s">
        <v>1419</v>
      </c>
      <c r="G86" t="s">
        <v>1419</v>
      </c>
      <c r="H86" t="s">
        <v>839</v>
      </c>
      <c r="I86" t="s">
        <v>838</v>
      </c>
      <c r="K86" t="s">
        <v>839</v>
      </c>
      <c r="L86" t="s">
        <v>887</v>
      </c>
      <c r="O86">
        <v>96</v>
      </c>
      <c r="P86">
        <v>104</v>
      </c>
      <c r="Q86">
        <v>200</v>
      </c>
      <c r="S86" t="s">
        <v>841</v>
      </c>
      <c r="T86" t="s">
        <v>841</v>
      </c>
      <c r="U86" t="s">
        <v>841</v>
      </c>
      <c r="V86" t="s">
        <v>841</v>
      </c>
      <c r="W86" t="s">
        <v>841</v>
      </c>
      <c r="X86" t="s">
        <v>841</v>
      </c>
      <c r="Y86" t="s">
        <v>841</v>
      </c>
      <c r="Z86" t="s">
        <v>841</v>
      </c>
      <c r="AA86" t="s">
        <v>841</v>
      </c>
      <c r="AB86" t="s">
        <v>841</v>
      </c>
      <c r="AC86" t="s">
        <v>841</v>
      </c>
      <c r="AD86" t="s">
        <v>841</v>
      </c>
      <c r="AE86" t="s">
        <v>841</v>
      </c>
      <c r="AF86" t="s">
        <v>841</v>
      </c>
      <c r="AH86">
        <v>0</v>
      </c>
      <c r="AI86">
        <v>1</v>
      </c>
      <c r="AJ86">
        <v>1</v>
      </c>
      <c r="AK86">
        <v>1</v>
      </c>
      <c r="AL86">
        <v>1</v>
      </c>
      <c r="AM86">
        <v>1</v>
      </c>
      <c r="AN86">
        <v>1</v>
      </c>
      <c r="AO86">
        <v>1</v>
      </c>
      <c r="AP86">
        <v>1</v>
      </c>
      <c r="AQ86">
        <v>1</v>
      </c>
      <c r="AR86">
        <v>1</v>
      </c>
      <c r="AS86">
        <v>1</v>
      </c>
      <c r="AT86">
        <v>1</v>
      </c>
      <c r="AU86">
        <v>1</v>
      </c>
      <c r="AW86">
        <v>4</v>
      </c>
      <c r="AX86">
        <v>3</v>
      </c>
      <c r="AY86">
        <v>7</v>
      </c>
      <c r="BB86">
        <v>0</v>
      </c>
      <c r="BC86">
        <v>0</v>
      </c>
      <c r="BD86">
        <v>0</v>
      </c>
      <c r="BF86">
        <v>1</v>
      </c>
      <c r="BG86">
        <v>2</v>
      </c>
      <c r="BH86">
        <v>3</v>
      </c>
      <c r="BJ86">
        <v>7</v>
      </c>
      <c r="BK86">
        <v>10</v>
      </c>
      <c r="BL86">
        <v>17</v>
      </c>
      <c r="BP86">
        <v>5</v>
      </c>
      <c r="BQ86">
        <v>2</v>
      </c>
      <c r="BR86">
        <v>7</v>
      </c>
      <c r="BV86" t="s">
        <v>839</v>
      </c>
      <c r="BW86" t="s">
        <v>759</v>
      </c>
      <c r="BX86" t="s">
        <v>839</v>
      </c>
      <c r="BY86" t="s">
        <v>759</v>
      </c>
      <c r="BZ86" t="s">
        <v>839</v>
      </c>
      <c r="CA86" t="s">
        <v>839</v>
      </c>
      <c r="CC86" t="s">
        <v>839</v>
      </c>
      <c r="CD86" t="s">
        <v>855</v>
      </c>
      <c r="CG86">
        <v>5</v>
      </c>
      <c r="CH86">
        <v>2</v>
      </c>
      <c r="CI86">
        <v>2</v>
      </c>
      <c r="CJ86">
        <v>1</v>
      </c>
      <c r="CK86" t="s">
        <v>877</v>
      </c>
      <c r="CM86" t="s">
        <v>867</v>
      </c>
      <c r="CN86">
        <v>0</v>
      </c>
      <c r="CO86">
        <v>1</v>
      </c>
      <c r="CP86">
        <v>0</v>
      </c>
      <c r="CQ86">
        <v>0</v>
      </c>
      <c r="CR86">
        <v>0</v>
      </c>
      <c r="CS86">
        <v>0</v>
      </c>
      <c r="CU86" t="s">
        <v>1420</v>
      </c>
      <c r="CV86">
        <v>1</v>
      </c>
      <c r="CW86">
        <v>1</v>
      </c>
      <c r="CX86">
        <v>1</v>
      </c>
      <c r="CY86">
        <v>1</v>
      </c>
      <c r="CZ86">
        <v>0</v>
      </c>
      <c r="DA86">
        <v>1</v>
      </c>
      <c r="DB86">
        <v>0</v>
      </c>
      <c r="DC86">
        <v>0</v>
      </c>
      <c r="DD86">
        <v>1</v>
      </c>
      <c r="DE86">
        <v>0</v>
      </c>
      <c r="DF86">
        <v>0</v>
      </c>
      <c r="DJ86">
        <v>8</v>
      </c>
      <c r="DK86">
        <v>6</v>
      </c>
      <c r="DL86">
        <v>14</v>
      </c>
      <c r="DN86">
        <v>440</v>
      </c>
      <c r="DP86">
        <v>600</v>
      </c>
      <c r="DQ86" t="s">
        <v>1421</v>
      </c>
      <c r="DR86">
        <v>1</v>
      </c>
      <c r="DS86">
        <v>0</v>
      </c>
      <c r="DT86">
        <v>0</v>
      </c>
      <c r="DU86">
        <v>0</v>
      </c>
      <c r="DV86">
        <v>1</v>
      </c>
      <c r="DW86">
        <v>1</v>
      </c>
      <c r="DX86">
        <v>0</v>
      </c>
      <c r="DY86">
        <v>0</v>
      </c>
      <c r="DZ86">
        <v>0</v>
      </c>
      <c r="EB86" t="s">
        <v>839</v>
      </c>
      <c r="EC86" t="s">
        <v>847</v>
      </c>
      <c r="ED86" t="s">
        <v>848</v>
      </c>
      <c r="EI86">
        <v>50</v>
      </c>
      <c r="EL86" t="s">
        <v>841</v>
      </c>
      <c r="ER86" t="s">
        <v>841</v>
      </c>
      <c r="FC86" t="s">
        <v>841</v>
      </c>
      <c r="FG86">
        <v>30</v>
      </c>
      <c r="FI86" t="s">
        <v>841</v>
      </c>
      <c r="FM86">
        <v>35000</v>
      </c>
      <c r="FO86">
        <v>5</v>
      </c>
      <c r="FP86">
        <v>4</v>
      </c>
      <c r="FQ86">
        <v>9</v>
      </c>
      <c r="FS86" t="s">
        <v>839</v>
      </c>
      <c r="FT86" t="s">
        <v>839</v>
      </c>
      <c r="FU86" t="s">
        <v>839</v>
      </c>
      <c r="FV86" t="s">
        <v>839</v>
      </c>
      <c r="FW86" t="s">
        <v>839</v>
      </c>
      <c r="FX86" t="s">
        <v>880</v>
      </c>
      <c r="FY86" t="s">
        <v>839</v>
      </c>
      <c r="FZ86" t="s">
        <v>839</v>
      </c>
      <c r="GA86" t="s">
        <v>842</v>
      </c>
      <c r="GB86" t="s">
        <v>842</v>
      </c>
      <c r="GC86" t="s">
        <v>842</v>
      </c>
      <c r="GD86" t="s">
        <v>842</v>
      </c>
      <c r="GG86" t="s">
        <v>839</v>
      </c>
      <c r="GI86" t="s">
        <v>1422</v>
      </c>
      <c r="GJ86">
        <v>0</v>
      </c>
      <c r="GK86">
        <v>1</v>
      </c>
      <c r="GL86">
        <v>0</v>
      </c>
      <c r="GM86">
        <v>0</v>
      </c>
      <c r="GN86">
        <v>0</v>
      </c>
      <c r="GO86">
        <v>0</v>
      </c>
      <c r="GP86">
        <v>0</v>
      </c>
      <c r="GQ86">
        <v>0</v>
      </c>
      <c r="GR86">
        <v>1</v>
      </c>
      <c r="GS86">
        <v>0</v>
      </c>
      <c r="GT86">
        <v>1</v>
      </c>
      <c r="GU86">
        <v>1</v>
      </c>
      <c r="GV86">
        <v>0</v>
      </c>
      <c r="GW86">
        <v>0</v>
      </c>
      <c r="GX86">
        <v>0</v>
      </c>
      <c r="GY86">
        <v>0</v>
      </c>
      <c r="GZ86">
        <v>0</v>
      </c>
      <c r="HB86" t="s">
        <v>839</v>
      </c>
    </row>
    <row r="87" spans="1:211" x14ac:dyDescent="0.35">
      <c r="A87" t="s">
        <v>1423</v>
      </c>
      <c r="B87" s="151">
        <v>45112.48537037037</v>
      </c>
      <c r="C87" t="s">
        <v>1424</v>
      </c>
      <c r="D87" t="s">
        <v>1425</v>
      </c>
      <c r="E87" t="s">
        <v>875</v>
      </c>
      <c r="F87" t="s">
        <v>1426</v>
      </c>
      <c r="G87" t="s">
        <v>1426</v>
      </c>
      <c r="H87" t="s">
        <v>839</v>
      </c>
      <c r="I87" t="s">
        <v>838</v>
      </c>
      <c r="K87" t="s">
        <v>839</v>
      </c>
      <c r="L87" t="s">
        <v>887</v>
      </c>
      <c r="O87">
        <v>311</v>
      </c>
      <c r="P87">
        <v>209</v>
      </c>
      <c r="Q87">
        <v>520</v>
      </c>
      <c r="S87" t="s">
        <v>841</v>
      </c>
      <c r="T87" t="s">
        <v>841</v>
      </c>
      <c r="U87" t="s">
        <v>841</v>
      </c>
      <c r="V87" t="s">
        <v>841</v>
      </c>
      <c r="W87" t="s">
        <v>841</v>
      </c>
      <c r="X87" t="s">
        <v>841</v>
      </c>
      <c r="Y87" t="s">
        <v>841</v>
      </c>
      <c r="Z87" t="s">
        <v>841</v>
      </c>
      <c r="AA87" t="s">
        <v>841</v>
      </c>
      <c r="AB87" t="s">
        <v>841</v>
      </c>
      <c r="AH87">
        <v>1</v>
      </c>
      <c r="AI87">
        <v>2</v>
      </c>
      <c r="AJ87">
        <v>2</v>
      </c>
      <c r="AK87">
        <v>2</v>
      </c>
      <c r="AL87">
        <v>2</v>
      </c>
      <c r="AM87">
        <v>2</v>
      </c>
      <c r="AN87">
        <v>1</v>
      </c>
      <c r="AO87">
        <v>2</v>
      </c>
      <c r="AP87">
        <v>2</v>
      </c>
      <c r="AQ87">
        <v>1</v>
      </c>
      <c r="AR87">
        <v>0</v>
      </c>
      <c r="AS87">
        <v>0</v>
      </c>
      <c r="AT87">
        <v>0</v>
      </c>
      <c r="AU87">
        <v>0</v>
      </c>
      <c r="AZ87" t="s">
        <v>841</v>
      </c>
      <c r="BJ87">
        <v>0</v>
      </c>
      <c r="BK87">
        <v>0</v>
      </c>
      <c r="BL87">
        <v>0</v>
      </c>
      <c r="BM87" t="s">
        <v>841</v>
      </c>
      <c r="BP87">
        <v>0</v>
      </c>
      <c r="BR87">
        <v>0</v>
      </c>
      <c r="BS87" t="s">
        <v>841</v>
      </c>
      <c r="BV87" t="s">
        <v>842</v>
      </c>
      <c r="BX87" t="s">
        <v>839</v>
      </c>
      <c r="BY87" t="s">
        <v>759</v>
      </c>
      <c r="BZ87" t="s">
        <v>839</v>
      </c>
      <c r="CA87" t="s">
        <v>839</v>
      </c>
      <c r="CC87" t="s">
        <v>839</v>
      </c>
      <c r="CD87" t="s">
        <v>855</v>
      </c>
      <c r="CG87">
        <v>22</v>
      </c>
      <c r="CH87">
        <v>10</v>
      </c>
      <c r="CI87">
        <v>12</v>
      </c>
      <c r="CJ87">
        <v>0</v>
      </c>
      <c r="CK87" t="s">
        <v>856</v>
      </c>
      <c r="CM87" t="s">
        <v>844</v>
      </c>
      <c r="CN87">
        <v>1</v>
      </c>
      <c r="CO87">
        <v>0</v>
      </c>
      <c r="CP87">
        <v>0</v>
      </c>
      <c r="CQ87">
        <v>0</v>
      </c>
      <c r="CR87">
        <v>0</v>
      </c>
      <c r="CS87">
        <v>0</v>
      </c>
      <c r="CU87" t="s">
        <v>1427</v>
      </c>
      <c r="CV87">
        <v>1</v>
      </c>
      <c r="CW87">
        <v>0</v>
      </c>
      <c r="CX87">
        <v>1</v>
      </c>
      <c r="CY87">
        <v>0</v>
      </c>
      <c r="CZ87">
        <v>1</v>
      </c>
      <c r="DA87">
        <v>1</v>
      </c>
      <c r="DB87">
        <v>0</v>
      </c>
      <c r="DC87">
        <v>0</v>
      </c>
      <c r="DD87">
        <v>0</v>
      </c>
      <c r="DE87">
        <v>1</v>
      </c>
      <c r="DF87">
        <v>0</v>
      </c>
      <c r="DJ87">
        <v>9</v>
      </c>
      <c r="DK87">
        <v>14</v>
      </c>
      <c r="DL87">
        <v>23</v>
      </c>
      <c r="DN87">
        <v>600</v>
      </c>
      <c r="DP87">
        <v>1200</v>
      </c>
      <c r="DQ87" t="s">
        <v>937</v>
      </c>
      <c r="DR87">
        <v>1</v>
      </c>
      <c r="DS87">
        <v>0</v>
      </c>
      <c r="DT87">
        <v>0</v>
      </c>
      <c r="DU87">
        <v>0</v>
      </c>
      <c r="DV87">
        <v>0</v>
      </c>
      <c r="DW87">
        <v>0</v>
      </c>
      <c r="DX87">
        <v>0</v>
      </c>
      <c r="DY87">
        <v>0</v>
      </c>
      <c r="DZ87">
        <v>0</v>
      </c>
      <c r="EB87" t="s">
        <v>839</v>
      </c>
      <c r="EC87" t="s">
        <v>957</v>
      </c>
      <c r="ED87" t="s">
        <v>848</v>
      </c>
      <c r="EI87" s="157">
        <v>450</v>
      </c>
      <c r="EJ87" s="157"/>
      <c r="EK87" s="157"/>
      <c r="EL87" s="157"/>
      <c r="EM87" s="157" t="s">
        <v>841</v>
      </c>
      <c r="EN87" s="157"/>
      <c r="EO87" s="157">
        <v>450</v>
      </c>
      <c r="EP87" s="157"/>
      <c r="EQ87" s="157"/>
      <c r="ER87" s="157"/>
      <c r="ES87" s="157" t="s">
        <v>841</v>
      </c>
      <c r="ET87" s="157"/>
      <c r="EU87" s="157">
        <v>600</v>
      </c>
      <c r="EV87" s="157"/>
      <c r="EW87" s="157"/>
      <c r="EX87" s="157"/>
      <c r="EY87" s="157" t="s">
        <v>841</v>
      </c>
      <c r="EZ87" s="157"/>
      <c r="FA87" s="157"/>
      <c r="FB87" s="157" t="s">
        <v>841</v>
      </c>
      <c r="FC87" s="157"/>
      <c r="FD87" s="157"/>
      <c r="FE87" s="157"/>
      <c r="FF87" s="157"/>
      <c r="FG87" s="157"/>
      <c r="FH87" s="157" t="s">
        <v>841</v>
      </c>
      <c r="FI87" s="157"/>
      <c r="FJ87" s="157"/>
      <c r="FK87" s="157"/>
      <c r="FL87" s="157"/>
      <c r="FM87">
        <v>2200</v>
      </c>
      <c r="FO87">
        <v>2</v>
      </c>
      <c r="FP87">
        <v>3</v>
      </c>
      <c r="FQ87">
        <v>5</v>
      </c>
      <c r="FS87" t="s">
        <v>839</v>
      </c>
      <c r="FT87" t="s">
        <v>839</v>
      </c>
      <c r="FU87" t="s">
        <v>839</v>
      </c>
      <c r="FV87" t="s">
        <v>842</v>
      </c>
      <c r="FW87" t="s">
        <v>839</v>
      </c>
      <c r="FX87" t="s">
        <v>965</v>
      </c>
      <c r="FY87" t="s">
        <v>839</v>
      </c>
      <c r="FZ87" t="s">
        <v>839</v>
      </c>
      <c r="GA87" t="s">
        <v>842</v>
      </c>
      <c r="GB87" t="s">
        <v>842</v>
      </c>
      <c r="GC87" t="s">
        <v>842</v>
      </c>
      <c r="GD87" t="s">
        <v>842</v>
      </c>
      <c r="GG87" t="s">
        <v>842</v>
      </c>
      <c r="GI87" t="s">
        <v>1428</v>
      </c>
      <c r="GJ87">
        <v>1</v>
      </c>
      <c r="GK87">
        <v>1</v>
      </c>
      <c r="GL87">
        <v>1</v>
      </c>
      <c r="GM87">
        <v>1</v>
      </c>
      <c r="GN87">
        <v>0</v>
      </c>
      <c r="GO87">
        <v>0</v>
      </c>
      <c r="GP87">
        <v>0</v>
      </c>
      <c r="GQ87">
        <v>0</v>
      </c>
      <c r="GR87">
        <v>0</v>
      </c>
      <c r="GS87">
        <v>1</v>
      </c>
      <c r="GT87">
        <v>1</v>
      </c>
      <c r="GU87">
        <v>1</v>
      </c>
      <c r="GV87">
        <v>1</v>
      </c>
      <c r="GW87">
        <v>1</v>
      </c>
      <c r="GX87">
        <v>1</v>
      </c>
      <c r="GY87">
        <v>0</v>
      </c>
      <c r="GZ87">
        <v>0</v>
      </c>
      <c r="HB87" t="s">
        <v>839</v>
      </c>
    </row>
    <row r="88" spans="1:211" ht="18.75" customHeight="1" x14ac:dyDescent="0.35">
      <c r="A88" t="s">
        <v>1429</v>
      </c>
      <c r="B88" s="151">
        <v>45112.518912037027</v>
      </c>
      <c r="C88" t="s">
        <v>1430</v>
      </c>
      <c r="D88" t="s">
        <v>1431</v>
      </c>
      <c r="E88" t="s">
        <v>875</v>
      </c>
      <c r="F88" t="s">
        <v>1432</v>
      </c>
      <c r="G88" t="s">
        <v>1433</v>
      </c>
      <c r="H88" t="s">
        <v>839</v>
      </c>
      <c r="I88" t="s">
        <v>896</v>
      </c>
      <c r="K88" t="s">
        <v>839</v>
      </c>
      <c r="L88" t="s">
        <v>887</v>
      </c>
      <c r="O88">
        <v>87</v>
      </c>
      <c r="P88">
        <v>106</v>
      </c>
      <c r="Q88">
        <v>193</v>
      </c>
      <c r="S88" t="s">
        <v>841</v>
      </c>
      <c r="T88" t="s">
        <v>841</v>
      </c>
      <c r="U88" t="s">
        <v>841</v>
      </c>
      <c r="V88" t="s">
        <v>841</v>
      </c>
      <c r="W88" t="s">
        <v>841</v>
      </c>
      <c r="X88" t="s">
        <v>841</v>
      </c>
      <c r="Y88" t="s">
        <v>841</v>
      </c>
      <c r="Z88" t="s">
        <v>841</v>
      </c>
      <c r="AH88">
        <v>1</v>
      </c>
      <c r="AI88">
        <v>1</v>
      </c>
      <c r="AJ88">
        <v>1</v>
      </c>
      <c r="AK88">
        <v>1</v>
      </c>
      <c r="AL88">
        <v>1</v>
      </c>
      <c r="AM88">
        <v>1</v>
      </c>
      <c r="AN88">
        <v>1</v>
      </c>
      <c r="AO88">
        <v>1</v>
      </c>
      <c r="AP88">
        <v>0</v>
      </c>
      <c r="AQ88">
        <v>0</v>
      </c>
      <c r="AR88">
        <v>0</v>
      </c>
      <c r="AS88">
        <v>0</v>
      </c>
      <c r="AT88">
        <v>0</v>
      </c>
      <c r="AU88">
        <v>0</v>
      </c>
      <c r="AZ88" t="s">
        <v>841</v>
      </c>
      <c r="BM88" t="s">
        <v>841</v>
      </c>
      <c r="BS88" t="s">
        <v>841</v>
      </c>
      <c r="BV88" t="s">
        <v>842</v>
      </c>
      <c r="BX88" t="s">
        <v>842</v>
      </c>
      <c r="BZ88" t="s">
        <v>839</v>
      </c>
      <c r="CA88" t="s">
        <v>839</v>
      </c>
      <c r="CC88" t="s">
        <v>839</v>
      </c>
      <c r="CD88" t="s">
        <v>855</v>
      </c>
      <c r="CG88">
        <v>15</v>
      </c>
      <c r="CH88">
        <v>6</v>
      </c>
      <c r="CI88">
        <v>6</v>
      </c>
      <c r="CJ88">
        <v>3</v>
      </c>
      <c r="CK88" t="s">
        <v>856</v>
      </c>
      <c r="CM88" t="s">
        <v>844</v>
      </c>
      <c r="CN88">
        <v>1</v>
      </c>
      <c r="CO88">
        <v>0</v>
      </c>
      <c r="CP88">
        <v>0</v>
      </c>
      <c r="CQ88">
        <v>0</v>
      </c>
      <c r="CR88">
        <v>0</v>
      </c>
      <c r="CS88">
        <v>0</v>
      </c>
      <c r="CU88" t="s">
        <v>1434</v>
      </c>
      <c r="CV88">
        <v>1</v>
      </c>
      <c r="CW88">
        <v>0</v>
      </c>
      <c r="CX88">
        <v>0</v>
      </c>
      <c r="CY88">
        <v>1</v>
      </c>
      <c r="CZ88">
        <v>0</v>
      </c>
      <c r="DA88">
        <v>0</v>
      </c>
      <c r="DB88">
        <v>0</v>
      </c>
      <c r="DC88">
        <v>1</v>
      </c>
      <c r="DD88">
        <v>0</v>
      </c>
      <c r="DE88">
        <v>0</v>
      </c>
      <c r="DF88">
        <v>0</v>
      </c>
      <c r="DJ88">
        <v>3</v>
      </c>
      <c r="DK88">
        <v>8</v>
      </c>
      <c r="DL88">
        <v>11</v>
      </c>
      <c r="DN88">
        <v>800</v>
      </c>
      <c r="DP88">
        <v>1000</v>
      </c>
      <c r="DQ88" t="s">
        <v>1056</v>
      </c>
      <c r="DR88">
        <v>0</v>
      </c>
      <c r="DS88">
        <v>0</v>
      </c>
      <c r="DT88">
        <v>1</v>
      </c>
      <c r="DU88">
        <v>0</v>
      </c>
      <c r="DV88">
        <v>0</v>
      </c>
      <c r="DW88">
        <v>1</v>
      </c>
      <c r="DX88">
        <v>0</v>
      </c>
      <c r="DY88">
        <v>1</v>
      </c>
      <c r="DZ88">
        <v>0</v>
      </c>
      <c r="EA88" s="155" t="s">
        <v>1435</v>
      </c>
      <c r="EB88" t="s">
        <v>839</v>
      </c>
      <c r="EC88" t="s">
        <v>869</v>
      </c>
      <c r="ED88" t="s">
        <v>626</v>
      </c>
      <c r="EE88" t="s">
        <v>1436</v>
      </c>
      <c r="EI88" s="157">
        <v>693</v>
      </c>
      <c r="EJ88" s="157"/>
      <c r="EK88" s="157"/>
      <c r="EL88" s="157"/>
      <c r="EM88" s="157" t="s">
        <v>841</v>
      </c>
      <c r="EN88" s="157"/>
      <c r="EO88" s="157">
        <v>697</v>
      </c>
      <c r="EP88" s="157"/>
      <c r="EQ88" s="157"/>
      <c r="ER88" s="157"/>
      <c r="ES88" s="157" t="s">
        <v>841</v>
      </c>
      <c r="ET88" s="157"/>
      <c r="EU88" s="157"/>
      <c r="EV88" s="157"/>
      <c r="EW88" s="157"/>
      <c r="EX88" s="157"/>
      <c r="EY88" s="157"/>
      <c r="EZ88" s="157" t="s">
        <v>841</v>
      </c>
      <c r="FA88" s="157">
        <v>8</v>
      </c>
      <c r="FB88" s="157" t="s">
        <v>841</v>
      </c>
      <c r="FC88" s="157"/>
      <c r="FD88" s="157"/>
      <c r="FE88" s="157"/>
      <c r="FF88" s="157"/>
      <c r="FG88" s="157">
        <v>5</v>
      </c>
      <c r="FH88" s="157" t="s">
        <v>841</v>
      </c>
      <c r="FI88" s="157"/>
      <c r="FJ88" s="157"/>
      <c r="FK88" s="157"/>
      <c r="FL88" s="157"/>
      <c r="FM88">
        <v>7000</v>
      </c>
      <c r="FO88">
        <v>4</v>
      </c>
      <c r="FP88">
        <v>6</v>
      </c>
      <c r="FQ88">
        <v>10</v>
      </c>
      <c r="FS88" t="s">
        <v>842</v>
      </c>
      <c r="FT88" t="s">
        <v>842</v>
      </c>
      <c r="FU88" t="s">
        <v>842</v>
      </c>
      <c r="FV88" t="s">
        <v>839</v>
      </c>
      <c r="FW88" t="s">
        <v>839</v>
      </c>
      <c r="FX88" t="s">
        <v>910</v>
      </c>
      <c r="FY88" t="s">
        <v>842</v>
      </c>
      <c r="FZ88" t="s">
        <v>842</v>
      </c>
      <c r="GA88" t="s">
        <v>842</v>
      </c>
      <c r="GB88" t="s">
        <v>839</v>
      </c>
      <c r="GC88" t="s">
        <v>839</v>
      </c>
      <c r="GD88" t="s">
        <v>842</v>
      </c>
      <c r="GG88" t="s">
        <v>668</v>
      </c>
      <c r="GI88" t="s">
        <v>849</v>
      </c>
      <c r="GJ88">
        <v>1</v>
      </c>
      <c r="GK88">
        <v>0</v>
      </c>
      <c r="GL88">
        <v>0</v>
      </c>
      <c r="GM88">
        <v>0</v>
      </c>
      <c r="GN88">
        <v>0</v>
      </c>
      <c r="GO88">
        <v>0</v>
      </c>
      <c r="GP88">
        <v>0</v>
      </c>
      <c r="GQ88">
        <v>0</v>
      </c>
      <c r="GR88">
        <v>0</v>
      </c>
      <c r="GS88">
        <v>0</v>
      </c>
      <c r="GT88">
        <v>0</v>
      </c>
      <c r="GU88">
        <v>0</v>
      </c>
      <c r="GV88">
        <v>0</v>
      </c>
      <c r="GW88">
        <v>0</v>
      </c>
      <c r="GX88">
        <v>0</v>
      </c>
      <c r="GY88">
        <v>0</v>
      </c>
      <c r="GZ88">
        <v>0</v>
      </c>
      <c r="HB88" t="s">
        <v>839</v>
      </c>
    </row>
    <row r="89" spans="1:211" x14ac:dyDescent="0.35">
      <c r="A89" t="s">
        <v>1437</v>
      </c>
      <c r="B89" s="151">
        <v>45112.540578703702</v>
      </c>
      <c r="C89" t="s">
        <v>1438</v>
      </c>
      <c r="D89" t="s">
        <v>1439</v>
      </c>
      <c r="E89" t="s">
        <v>875</v>
      </c>
      <c r="F89" t="s">
        <v>1440</v>
      </c>
      <c r="G89" t="s">
        <v>1441</v>
      </c>
      <c r="H89" t="s">
        <v>837</v>
      </c>
      <c r="I89" t="s">
        <v>838</v>
      </c>
      <c r="K89" t="s">
        <v>839</v>
      </c>
      <c r="L89" t="s">
        <v>887</v>
      </c>
      <c r="O89">
        <v>60</v>
      </c>
      <c r="P89">
        <v>51</v>
      </c>
      <c r="Q89">
        <v>111</v>
      </c>
      <c r="S89" t="s">
        <v>841</v>
      </c>
      <c r="T89" t="s">
        <v>841</v>
      </c>
      <c r="U89" t="s">
        <v>841</v>
      </c>
      <c r="V89" t="s">
        <v>841</v>
      </c>
      <c r="W89" t="s">
        <v>841</v>
      </c>
      <c r="X89" t="s">
        <v>841</v>
      </c>
      <c r="BV89" t="s">
        <v>839</v>
      </c>
      <c r="BW89" t="s">
        <v>759</v>
      </c>
      <c r="BX89" t="s">
        <v>839</v>
      </c>
      <c r="BY89" t="s">
        <v>759</v>
      </c>
      <c r="BZ89" t="s">
        <v>839</v>
      </c>
      <c r="CA89" t="s">
        <v>839</v>
      </c>
      <c r="CC89" t="s">
        <v>839</v>
      </c>
      <c r="CD89" t="s">
        <v>1022</v>
      </c>
      <c r="CG89">
        <v>4</v>
      </c>
      <c r="CH89">
        <v>2</v>
      </c>
      <c r="CI89">
        <v>2</v>
      </c>
      <c r="CJ89">
        <v>0</v>
      </c>
      <c r="CK89" t="s">
        <v>877</v>
      </c>
      <c r="CM89" t="s">
        <v>867</v>
      </c>
      <c r="CN89">
        <v>0</v>
      </c>
      <c r="CO89">
        <v>1</v>
      </c>
      <c r="CP89">
        <v>0</v>
      </c>
      <c r="CQ89">
        <v>0</v>
      </c>
      <c r="CR89">
        <v>0</v>
      </c>
      <c r="CS89">
        <v>0</v>
      </c>
      <c r="CU89" t="s">
        <v>1442</v>
      </c>
      <c r="CV89">
        <v>0</v>
      </c>
      <c r="CW89">
        <v>1</v>
      </c>
      <c r="CX89">
        <v>1</v>
      </c>
      <c r="CY89">
        <v>1</v>
      </c>
      <c r="CZ89">
        <v>0</v>
      </c>
      <c r="DA89">
        <v>0</v>
      </c>
      <c r="DB89">
        <v>0</v>
      </c>
      <c r="DC89">
        <v>0</v>
      </c>
      <c r="DD89">
        <v>0</v>
      </c>
      <c r="DE89">
        <v>1</v>
      </c>
      <c r="DF89">
        <v>0</v>
      </c>
      <c r="DJ89">
        <v>3</v>
      </c>
      <c r="DK89">
        <v>4</v>
      </c>
      <c r="DL89">
        <v>73</v>
      </c>
      <c r="DN89">
        <v>300</v>
      </c>
      <c r="DP89">
        <v>600</v>
      </c>
      <c r="DQ89" t="s">
        <v>908</v>
      </c>
      <c r="DR89">
        <v>1</v>
      </c>
      <c r="DS89">
        <v>1</v>
      </c>
      <c r="DT89">
        <v>1</v>
      </c>
      <c r="DU89">
        <v>0</v>
      </c>
      <c r="DV89">
        <v>1</v>
      </c>
      <c r="DW89">
        <v>0</v>
      </c>
      <c r="DX89">
        <v>0</v>
      </c>
      <c r="DY89">
        <v>0</v>
      </c>
      <c r="DZ89">
        <v>0</v>
      </c>
      <c r="EB89" t="s">
        <v>842</v>
      </c>
      <c r="EC89" t="s">
        <v>847</v>
      </c>
      <c r="ED89" t="s">
        <v>848</v>
      </c>
      <c r="EI89">
        <v>110</v>
      </c>
      <c r="EM89" t="s">
        <v>841</v>
      </c>
      <c r="EO89">
        <v>100</v>
      </c>
      <c r="ES89" t="s">
        <v>841</v>
      </c>
      <c r="EZ89" t="s">
        <v>841</v>
      </c>
      <c r="FA89">
        <v>6</v>
      </c>
      <c r="FB89" t="s">
        <v>841</v>
      </c>
      <c r="FG89">
        <v>2</v>
      </c>
      <c r="FH89" t="s">
        <v>841</v>
      </c>
      <c r="FM89">
        <v>200</v>
      </c>
      <c r="FO89">
        <v>3</v>
      </c>
      <c r="FP89">
        <v>4</v>
      </c>
      <c r="FQ89">
        <v>7</v>
      </c>
      <c r="FS89" t="s">
        <v>839</v>
      </c>
      <c r="FT89" t="s">
        <v>839</v>
      </c>
      <c r="FU89" t="s">
        <v>839</v>
      </c>
      <c r="FV89" t="s">
        <v>842</v>
      </c>
      <c r="FW89" t="s">
        <v>839</v>
      </c>
      <c r="FX89" t="s">
        <v>910</v>
      </c>
      <c r="FY89" t="s">
        <v>839</v>
      </c>
      <c r="FZ89" t="s">
        <v>839</v>
      </c>
      <c r="GA89" t="s">
        <v>839</v>
      </c>
      <c r="GB89" t="s">
        <v>839</v>
      </c>
      <c r="GC89" t="s">
        <v>842</v>
      </c>
      <c r="GD89" t="s">
        <v>839</v>
      </c>
      <c r="GE89" t="s">
        <v>881</v>
      </c>
      <c r="GG89" t="s">
        <v>839</v>
      </c>
      <c r="GI89" t="s">
        <v>1443</v>
      </c>
      <c r="GJ89">
        <v>1</v>
      </c>
      <c r="GK89">
        <v>0</v>
      </c>
      <c r="GL89">
        <v>0</v>
      </c>
      <c r="GM89">
        <v>0</v>
      </c>
      <c r="GN89">
        <v>0</v>
      </c>
      <c r="GO89">
        <v>0</v>
      </c>
      <c r="GP89">
        <v>0</v>
      </c>
      <c r="GQ89">
        <v>0</v>
      </c>
      <c r="GR89">
        <v>0</v>
      </c>
      <c r="GS89">
        <v>0</v>
      </c>
      <c r="GT89">
        <v>0</v>
      </c>
      <c r="GU89">
        <v>0</v>
      </c>
      <c r="GV89">
        <v>0</v>
      </c>
      <c r="GW89">
        <v>0</v>
      </c>
      <c r="GX89">
        <v>1</v>
      </c>
      <c r="GY89">
        <v>0</v>
      </c>
      <c r="GZ89">
        <v>0</v>
      </c>
      <c r="HB89" t="s">
        <v>839</v>
      </c>
    </row>
    <row r="90" spans="1:211" x14ac:dyDescent="0.35">
      <c r="A90" t="s">
        <v>1444</v>
      </c>
      <c r="B90" s="151">
        <v>45113.412326388891</v>
      </c>
      <c r="C90" t="s">
        <v>1445</v>
      </c>
      <c r="D90" t="s">
        <v>1446</v>
      </c>
      <c r="E90" t="s">
        <v>875</v>
      </c>
      <c r="F90" t="s">
        <v>1447</v>
      </c>
      <c r="G90" t="s">
        <v>1447</v>
      </c>
      <c r="H90" t="s">
        <v>839</v>
      </c>
      <c r="I90" t="s">
        <v>896</v>
      </c>
      <c r="K90" t="s">
        <v>839</v>
      </c>
      <c r="L90" t="s">
        <v>887</v>
      </c>
      <c r="O90">
        <v>113</v>
      </c>
      <c r="P90">
        <v>114</v>
      </c>
      <c r="Q90">
        <v>227</v>
      </c>
      <c r="T90" t="s">
        <v>841</v>
      </c>
      <c r="U90" t="s">
        <v>841</v>
      </c>
      <c r="V90" t="s">
        <v>841</v>
      </c>
      <c r="W90" t="s">
        <v>841</v>
      </c>
      <c r="X90" t="s">
        <v>841</v>
      </c>
      <c r="Y90" t="s">
        <v>841</v>
      </c>
      <c r="Z90" t="s">
        <v>841</v>
      </c>
      <c r="AA90" t="s">
        <v>841</v>
      </c>
      <c r="AB90" t="s">
        <v>841</v>
      </c>
      <c r="AC90" t="s">
        <v>841</v>
      </c>
      <c r="AH90">
        <v>0</v>
      </c>
      <c r="AI90">
        <v>1</v>
      </c>
      <c r="AJ90">
        <v>1</v>
      </c>
      <c r="AK90">
        <v>1</v>
      </c>
      <c r="AL90">
        <v>1</v>
      </c>
      <c r="AM90">
        <v>1</v>
      </c>
      <c r="AN90">
        <v>1</v>
      </c>
      <c r="AO90">
        <v>1</v>
      </c>
      <c r="AP90">
        <v>1</v>
      </c>
      <c r="AQ90">
        <v>1</v>
      </c>
      <c r="AR90">
        <v>1</v>
      </c>
      <c r="AS90">
        <v>0</v>
      </c>
      <c r="AT90">
        <v>0</v>
      </c>
      <c r="AU90">
        <v>0</v>
      </c>
      <c r="AZ90" t="s">
        <v>841</v>
      </c>
      <c r="BM90" t="s">
        <v>841</v>
      </c>
      <c r="BS90" t="s">
        <v>841</v>
      </c>
      <c r="BV90" t="s">
        <v>839</v>
      </c>
      <c r="BW90" t="s">
        <v>759</v>
      </c>
      <c r="BX90" t="s">
        <v>839</v>
      </c>
      <c r="BY90" t="s">
        <v>759</v>
      </c>
      <c r="BZ90" t="s">
        <v>839</v>
      </c>
      <c r="CA90" t="s">
        <v>839</v>
      </c>
      <c r="CC90" t="s">
        <v>842</v>
      </c>
      <c r="CD90" t="s">
        <v>855</v>
      </c>
      <c r="CG90">
        <v>3</v>
      </c>
      <c r="CH90">
        <v>1</v>
      </c>
      <c r="CI90">
        <v>1</v>
      </c>
      <c r="CJ90">
        <v>1</v>
      </c>
      <c r="CK90" t="s">
        <v>866</v>
      </c>
      <c r="CM90" t="s">
        <v>844</v>
      </c>
      <c r="CN90">
        <v>1</v>
      </c>
      <c r="CO90">
        <v>0</v>
      </c>
      <c r="CP90">
        <v>0</v>
      </c>
      <c r="CQ90">
        <v>0</v>
      </c>
      <c r="CR90">
        <v>0</v>
      </c>
      <c r="CS90">
        <v>0</v>
      </c>
      <c r="CU90" t="s">
        <v>1448</v>
      </c>
      <c r="CV90">
        <v>1</v>
      </c>
      <c r="CW90">
        <v>0</v>
      </c>
      <c r="CX90">
        <v>0</v>
      </c>
      <c r="CY90">
        <v>1</v>
      </c>
      <c r="CZ90">
        <v>0</v>
      </c>
      <c r="DA90">
        <v>0</v>
      </c>
      <c r="DB90">
        <v>0</v>
      </c>
      <c r="DC90">
        <v>0</v>
      </c>
      <c r="DD90">
        <v>0</v>
      </c>
      <c r="DE90">
        <v>1</v>
      </c>
      <c r="DF90">
        <v>0</v>
      </c>
      <c r="DJ90">
        <v>3</v>
      </c>
      <c r="DK90">
        <v>8</v>
      </c>
      <c r="DL90">
        <v>11</v>
      </c>
      <c r="DN90">
        <v>300</v>
      </c>
      <c r="DP90">
        <v>700</v>
      </c>
      <c r="DQ90" t="s">
        <v>1449</v>
      </c>
      <c r="DR90">
        <v>1</v>
      </c>
      <c r="DS90">
        <v>0</v>
      </c>
      <c r="DT90">
        <v>1</v>
      </c>
      <c r="DU90">
        <v>0</v>
      </c>
      <c r="DV90">
        <v>0</v>
      </c>
      <c r="DW90">
        <v>0</v>
      </c>
      <c r="DX90">
        <v>1</v>
      </c>
      <c r="DY90">
        <v>0</v>
      </c>
      <c r="DZ90">
        <v>0</v>
      </c>
      <c r="EB90" t="s">
        <v>839</v>
      </c>
      <c r="EC90" t="s">
        <v>847</v>
      </c>
      <c r="ED90" t="s">
        <v>848</v>
      </c>
      <c r="EI90">
        <v>420</v>
      </c>
      <c r="EM90" t="s">
        <v>841</v>
      </c>
      <c r="EO90">
        <v>420</v>
      </c>
      <c r="ES90" t="s">
        <v>841</v>
      </c>
      <c r="EU90">
        <v>420</v>
      </c>
      <c r="EY90" t="s">
        <v>841</v>
      </c>
      <c r="FA90">
        <v>6</v>
      </c>
      <c r="FB90" t="s">
        <v>841</v>
      </c>
      <c r="FG90">
        <v>5</v>
      </c>
      <c r="FH90" t="s">
        <v>841</v>
      </c>
      <c r="FM90">
        <v>150</v>
      </c>
      <c r="FO90">
        <v>1</v>
      </c>
      <c r="FP90">
        <v>1</v>
      </c>
      <c r="FQ90">
        <v>2</v>
      </c>
      <c r="FS90" t="s">
        <v>839</v>
      </c>
      <c r="FT90" t="s">
        <v>839</v>
      </c>
      <c r="FU90" t="s">
        <v>839</v>
      </c>
      <c r="FV90" t="s">
        <v>839</v>
      </c>
      <c r="FW90" t="s">
        <v>839</v>
      </c>
      <c r="FX90" t="s">
        <v>910</v>
      </c>
      <c r="FY90" t="s">
        <v>842</v>
      </c>
      <c r="FZ90" t="s">
        <v>839</v>
      </c>
      <c r="GA90" t="s">
        <v>839</v>
      </c>
      <c r="GB90" t="s">
        <v>842</v>
      </c>
      <c r="GC90" t="s">
        <v>842</v>
      </c>
      <c r="GD90" t="s">
        <v>842</v>
      </c>
      <c r="GG90" t="s">
        <v>839</v>
      </c>
      <c r="GI90" t="s">
        <v>1450</v>
      </c>
      <c r="GJ90">
        <v>0</v>
      </c>
      <c r="GK90">
        <v>1</v>
      </c>
      <c r="GL90">
        <v>0</v>
      </c>
      <c r="GM90">
        <v>0</v>
      </c>
      <c r="GN90">
        <v>0</v>
      </c>
      <c r="GO90">
        <v>0</v>
      </c>
      <c r="GP90">
        <v>0</v>
      </c>
      <c r="GQ90">
        <v>0</v>
      </c>
      <c r="GR90">
        <v>0</v>
      </c>
      <c r="GS90">
        <v>1</v>
      </c>
      <c r="GT90">
        <v>0</v>
      </c>
      <c r="GU90">
        <v>0</v>
      </c>
      <c r="GV90">
        <v>0</v>
      </c>
      <c r="GW90">
        <v>1</v>
      </c>
      <c r="GX90">
        <v>1</v>
      </c>
      <c r="GY90">
        <v>0</v>
      </c>
      <c r="GZ90">
        <v>0</v>
      </c>
      <c r="HB90" t="s">
        <v>839</v>
      </c>
    </row>
    <row r="91" spans="1:211" x14ac:dyDescent="0.35">
      <c r="A91" t="s">
        <v>1451</v>
      </c>
      <c r="B91" s="151">
        <v>45113.510185185187</v>
      </c>
      <c r="C91" t="s">
        <v>1452</v>
      </c>
      <c r="D91" t="s">
        <v>1453</v>
      </c>
      <c r="E91" t="s">
        <v>875</v>
      </c>
      <c r="F91" t="s">
        <v>1454</v>
      </c>
      <c r="H91" t="s">
        <v>839</v>
      </c>
      <c r="I91" t="s">
        <v>838</v>
      </c>
      <c r="K91" t="s">
        <v>839</v>
      </c>
      <c r="L91" t="s">
        <v>887</v>
      </c>
      <c r="O91">
        <v>300</v>
      </c>
      <c r="P91">
        <v>400</v>
      </c>
      <c r="Q91">
        <v>700</v>
      </c>
      <c r="BV91" t="s">
        <v>839</v>
      </c>
      <c r="BW91" t="s">
        <v>758</v>
      </c>
      <c r="BX91" t="s">
        <v>839</v>
      </c>
      <c r="BY91" t="s">
        <v>759</v>
      </c>
      <c r="BZ91" t="s">
        <v>839</v>
      </c>
      <c r="CA91" t="s">
        <v>839</v>
      </c>
      <c r="CC91" t="s">
        <v>839</v>
      </c>
      <c r="CD91" t="s">
        <v>855</v>
      </c>
      <c r="CG91">
        <v>2</v>
      </c>
      <c r="CH91">
        <v>1</v>
      </c>
      <c r="CI91">
        <v>1</v>
      </c>
      <c r="CJ91">
        <v>0</v>
      </c>
      <c r="CK91" t="s">
        <v>877</v>
      </c>
      <c r="CM91" t="s">
        <v>844</v>
      </c>
      <c r="CN91">
        <v>1</v>
      </c>
      <c r="CO91">
        <v>0</v>
      </c>
      <c r="CP91">
        <v>0</v>
      </c>
      <c r="CQ91">
        <v>0</v>
      </c>
      <c r="CR91">
        <v>0</v>
      </c>
      <c r="CS91">
        <v>0</v>
      </c>
      <c r="CU91" t="s">
        <v>918</v>
      </c>
      <c r="CV91">
        <v>1</v>
      </c>
      <c r="CW91">
        <v>0</v>
      </c>
      <c r="CX91">
        <v>1</v>
      </c>
      <c r="CY91">
        <v>0</v>
      </c>
      <c r="CZ91">
        <v>0</v>
      </c>
      <c r="DA91">
        <v>1</v>
      </c>
      <c r="DB91">
        <v>0</v>
      </c>
      <c r="DC91">
        <v>0</v>
      </c>
      <c r="DD91">
        <v>0</v>
      </c>
      <c r="DE91">
        <v>0</v>
      </c>
      <c r="DF91">
        <v>0</v>
      </c>
      <c r="DJ91">
        <v>23</v>
      </c>
      <c r="DK91">
        <v>20</v>
      </c>
      <c r="DL91">
        <v>43</v>
      </c>
      <c r="DN91">
        <v>400</v>
      </c>
      <c r="DP91">
        <v>700</v>
      </c>
      <c r="DQ91" t="s">
        <v>1250</v>
      </c>
      <c r="DR91">
        <v>1</v>
      </c>
      <c r="DS91">
        <v>0</v>
      </c>
      <c r="DT91">
        <v>1</v>
      </c>
      <c r="DU91">
        <v>1</v>
      </c>
      <c r="DV91">
        <v>0</v>
      </c>
      <c r="DW91">
        <v>0</v>
      </c>
      <c r="DX91">
        <v>0</v>
      </c>
      <c r="DY91">
        <v>0</v>
      </c>
      <c r="DZ91">
        <v>0</v>
      </c>
      <c r="EB91" t="s">
        <v>839</v>
      </c>
      <c r="EC91" t="s">
        <v>847</v>
      </c>
      <c r="ED91" t="s">
        <v>848</v>
      </c>
      <c r="EI91">
        <v>425</v>
      </c>
      <c r="EM91" t="s">
        <v>841</v>
      </c>
      <c r="EO91">
        <v>435</v>
      </c>
      <c r="ES91" t="s">
        <v>841</v>
      </c>
      <c r="EZ91" t="s">
        <v>841</v>
      </c>
      <c r="FA91">
        <v>371</v>
      </c>
      <c r="FE91" t="s">
        <v>841</v>
      </c>
      <c r="FG91">
        <v>300</v>
      </c>
      <c r="FM91">
        <v>150</v>
      </c>
      <c r="FO91">
        <v>10</v>
      </c>
      <c r="FP91">
        <v>15</v>
      </c>
      <c r="FQ91">
        <v>25</v>
      </c>
      <c r="FS91" t="s">
        <v>839</v>
      </c>
      <c r="FT91" t="s">
        <v>839</v>
      </c>
      <c r="FU91" t="s">
        <v>839</v>
      </c>
      <c r="FV91" t="s">
        <v>839</v>
      </c>
      <c r="FW91" t="s">
        <v>839</v>
      </c>
      <c r="FX91" t="s">
        <v>890</v>
      </c>
      <c r="FY91" t="s">
        <v>839</v>
      </c>
      <c r="FZ91" t="s">
        <v>839</v>
      </c>
      <c r="GA91" t="s">
        <v>839</v>
      </c>
      <c r="GB91" t="s">
        <v>839</v>
      </c>
      <c r="GC91" t="s">
        <v>839</v>
      </c>
      <c r="GD91" t="s">
        <v>839</v>
      </c>
      <c r="GE91" t="s">
        <v>626</v>
      </c>
      <c r="GG91" t="s">
        <v>839</v>
      </c>
      <c r="GI91" t="s">
        <v>849</v>
      </c>
      <c r="GJ91">
        <v>1</v>
      </c>
      <c r="GK91">
        <v>0</v>
      </c>
      <c r="GL91">
        <v>0</v>
      </c>
      <c r="GM91">
        <v>0</v>
      </c>
      <c r="GN91">
        <v>0</v>
      </c>
      <c r="GO91">
        <v>0</v>
      </c>
      <c r="GP91">
        <v>0</v>
      </c>
      <c r="GQ91">
        <v>0</v>
      </c>
      <c r="GR91">
        <v>0</v>
      </c>
      <c r="GS91">
        <v>0</v>
      </c>
      <c r="GT91">
        <v>0</v>
      </c>
      <c r="GU91">
        <v>0</v>
      </c>
      <c r="GV91">
        <v>0</v>
      </c>
      <c r="GW91">
        <v>0</v>
      </c>
      <c r="GX91">
        <v>0</v>
      </c>
      <c r="GY91">
        <v>0</v>
      </c>
      <c r="GZ91">
        <v>0</v>
      </c>
      <c r="HB91" t="s">
        <v>839</v>
      </c>
    </row>
    <row r="92" spans="1:211" x14ac:dyDescent="0.35">
      <c r="A92" t="s">
        <v>1455</v>
      </c>
      <c r="B92" s="151">
        <v>45115.315775462957</v>
      </c>
      <c r="C92" t="s">
        <v>1456</v>
      </c>
      <c r="D92" t="s">
        <v>1457</v>
      </c>
      <c r="E92" t="s">
        <v>875</v>
      </c>
      <c r="F92" t="s">
        <v>1458</v>
      </c>
      <c r="G92" t="s">
        <v>839</v>
      </c>
      <c r="H92" t="s">
        <v>837</v>
      </c>
      <c r="I92" t="s">
        <v>896</v>
      </c>
      <c r="K92" t="s">
        <v>839</v>
      </c>
      <c r="L92" t="s">
        <v>887</v>
      </c>
      <c r="O92">
        <v>38</v>
      </c>
      <c r="P92">
        <v>53</v>
      </c>
      <c r="Q92">
        <v>91</v>
      </c>
      <c r="S92" t="s">
        <v>841</v>
      </c>
      <c r="T92" t="s">
        <v>841</v>
      </c>
      <c r="U92" t="s">
        <v>841</v>
      </c>
      <c r="V92" t="s">
        <v>841</v>
      </c>
      <c r="W92" t="s">
        <v>841</v>
      </c>
      <c r="X92" t="s">
        <v>841</v>
      </c>
      <c r="Y92" t="s">
        <v>841</v>
      </c>
      <c r="Z92" t="s">
        <v>841</v>
      </c>
      <c r="AA92" t="s">
        <v>841</v>
      </c>
      <c r="AB92" t="s">
        <v>841</v>
      </c>
      <c r="AH92">
        <v>0</v>
      </c>
      <c r="AI92">
        <v>1</v>
      </c>
      <c r="AJ92">
        <v>1</v>
      </c>
      <c r="AK92">
        <v>1</v>
      </c>
      <c r="AL92">
        <v>1</v>
      </c>
      <c r="AM92">
        <v>1</v>
      </c>
      <c r="AN92">
        <v>1</v>
      </c>
      <c r="AO92">
        <v>1</v>
      </c>
      <c r="AP92">
        <v>1</v>
      </c>
      <c r="AQ92">
        <v>1</v>
      </c>
      <c r="AR92">
        <v>0</v>
      </c>
      <c r="AS92">
        <v>0</v>
      </c>
      <c r="AT92">
        <v>0</v>
      </c>
      <c r="AU92">
        <v>0</v>
      </c>
      <c r="AZ92" t="s">
        <v>841</v>
      </c>
      <c r="BJ92">
        <v>0</v>
      </c>
      <c r="BK92">
        <v>0</v>
      </c>
      <c r="BL92">
        <v>0</v>
      </c>
      <c r="BM92" t="s">
        <v>841</v>
      </c>
      <c r="BP92">
        <v>0</v>
      </c>
      <c r="BQ92">
        <v>0</v>
      </c>
      <c r="BR92">
        <v>0</v>
      </c>
      <c r="BS92" t="s">
        <v>841</v>
      </c>
      <c r="BV92" t="s">
        <v>839</v>
      </c>
      <c r="BW92" t="s">
        <v>758</v>
      </c>
      <c r="BX92" t="s">
        <v>839</v>
      </c>
      <c r="BY92" t="s">
        <v>759</v>
      </c>
      <c r="BZ92" t="s">
        <v>839</v>
      </c>
      <c r="CA92" t="s">
        <v>839</v>
      </c>
      <c r="CC92" t="s">
        <v>839</v>
      </c>
      <c r="CD92" t="s">
        <v>855</v>
      </c>
      <c r="CG92">
        <v>2</v>
      </c>
      <c r="CH92">
        <v>1</v>
      </c>
      <c r="CI92">
        <v>1</v>
      </c>
      <c r="CJ92">
        <v>0</v>
      </c>
      <c r="CK92" t="s">
        <v>681</v>
      </c>
      <c r="CM92" t="s">
        <v>917</v>
      </c>
      <c r="CN92">
        <v>0</v>
      </c>
      <c r="CO92">
        <v>0</v>
      </c>
      <c r="CP92">
        <v>1</v>
      </c>
      <c r="CQ92">
        <v>0</v>
      </c>
      <c r="CR92">
        <v>0</v>
      </c>
      <c r="CS92">
        <v>0</v>
      </c>
      <c r="CU92" t="s">
        <v>1110</v>
      </c>
      <c r="CV92">
        <v>1</v>
      </c>
      <c r="CW92">
        <v>0</v>
      </c>
      <c r="CX92">
        <v>0</v>
      </c>
      <c r="CY92">
        <v>0</v>
      </c>
      <c r="CZ92">
        <v>0</v>
      </c>
      <c r="DA92">
        <v>0</v>
      </c>
      <c r="DB92">
        <v>0</v>
      </c>
      <c r="DC92">
        <v>0</v>
      </c>
      <c r="DD92">
        <v>0</v>
      </c>
      <c r="DE92">
        <v>0</v>
      </c>
      <c r="DF92">
        <v>0</v>
      </c>
      <c r="DJ92">
        <v>3</v>
      </c>
      <c r="DK92">
        <v>3</v>
      </c>
      <c r="DL92">
        <v>6</v>
      </c>
      <c r="DN92">
        <v>200</v>
      </c>
      <c r="DP92">
        <v>250</v>
      </c>
      <c r="DQ92" t="s">
        <v>1040</v>
      </c>
      <c r="DR92">
        <v>0</v>
      </c>
      <c r="DS92">
        <v>0</v>
      </c>
      <c r="DT92">
        <v>1</v>
      </c>
      <c r="DU92">
        <v>0</v>
      </c>
      <c r="DV92">
        <v>0</v>
      </c>
      <c r="DW92">
        <v>0</v>
      </c>
      <c r="DX92">
        <v>0</v>
      </c>
      <c r="DY92">
        <v>0</v>
      </c>
      <c r="DZ92">
        <v>0</v>
      </c>
      <c r="EB92" t="s">
        <v>839</v>
      </c>
      <c r="EC92" t="s">
        <v>869</v>
      </c>
      <c r="ED92" t="s">
        <v>900</v>
      </c>
      <c r="EI92">
        <v>300</v>
      </c>
      <c r="EM92" t="s">
        <v>841</v>
      </c>
      <c r="EO92">
        <v>300</v>
      </c>
      <c r="ES92" t="s">
        <v>841</v>
      </c>
      <c r="EZ92" t="s">
        <v>841</v>
      </c>
      <c r="FA92">
        <v>5</v>
      </c>
      <c r="FB92" t="s">
        <v>841</v>
      </c>
      <c r="FC92" t="s">
        <v>841</v>
      </c>
      <c r="FG92">
        <v>4</v>
      </c>
      <c r="FH92" t="s">
        <v>841</v>
      </c>
      <c r="FM92">
        <v>0</v>
      </c>
      <c r="FO92">
        <v>0</v>
      </c>
      <c r="FP92">
        <v>0</v>
      </c>
      <c r="FQ92">
        <v>0</v>
      </c>
      <c r="FS92" t="s">
        <v>842</v>
      </c>
      <c r="FT92" t="s">
        <v>842</v>
      </c>
      <c r="FU92" t="s">
        <v>842</v>
      </c>
      <c r="FV92" t="s">
        <v>842</v>
      </c>
      <c r="FW92" t="s">
        <v>842</v>
      </c>
      <c r="FY92" t="s">
        <v>842</v>
      </c>
      <c r="FZ92" t="s">
        <v>842</v>
      </c>
      <c r="GA92" t="s">
        <v>842</v>
      </c>
      <c r="GB92" t="s">
        <v>842</v>
      </c>
      <c r="GC92" t="s">
        <v>842</v>
      </c>
      <c r="GD92" t="s">
        <v>842</v>
      </c>
      <c r="GG92" t="s">
        <v>839</v>
      </c>
      <c r="GI92" t="s">
        <v>849</v>
      </c>
      <c r="GJ92">
        <v>1</v>
      </c>
      <c r="GK92">
        <v>0</v>
      </c>
      <c r="GL92">
        <v>0</v>
      </c>
      <c r="GM92">
        <v>0</v>
      </c>
      <c r="GN92">
        <v>0</v>
      </c>
      <c r="GO92">
        <v>0</v>
      </c>
      <c r="GP92">
        <v>0</v>
      </c>
      <c r="GQ92">
        <v>0</v>
      </c>
      <c r="GR92">
        <v>0</v>
      </c>
      <c r="GS92">
        <v>0</v>
      </c>
      <c r="GT92">
        <v>0</v>
      </c>
      <c r="GU92">
        <v>0</v>
      </c>
      <c r="GV92">
        <v>0</v>
      </c>
      <c r="GW92">
        <v>0</v>
      </c>
      <c r="GX92">
        <v>0</v>
      </c>
      <c r="GY92">
        <v>0</v>
      </c>
      <c r="GZ92">
        <v>0</v>
      </c>
      <c r="HB92" t="s">
        <v>839</v>
      </c>
    </row>
    <row r="93" spans="1:211" x14ac:dyDescent="0.35">
      <c r="A93" t="s">
        <v>1459</v>
      </c>
      <c r="B93" s="151">
        <v>45115.335150462961</v>
      </c>
      <c r="C93" t="s">
        <v>1460</v>
      </c>
      <c r="D93" t="s">
        <v>1461</v>
      </c>
      <c r="E93" t="s">
        <v>875</v>
      </c>
      <c r="F93" t="s">
        <v>1462</v>
      </c>
      <c r="G93" t="s">
        <v>1462</v>
      </c>
      <c r="H93" t="s">
        <v>842</v>
      </c>
      <c r="K93" t="s">
        <v>842</v>
      </c>
      <c r="O93">
        <v>80</v>
      </c>
      <c r="P93">
        <v>70</v>
      </c>
      <c r="Q93">
        <v>150</v>
      </c>
      <c r="S93" t="s">
        <v>841</v>
      </c>
      <c r="T93" t="s">
        <v>841</v>
      </c>
      <c r="V93" t="s">
        <v>841</v>
      </c>
      <c r="W93" t="s">
        <v>841</v>
      </c>
      <c r="X93" t="s">
        <v>841</v>
      </c>
      <c r="Y93" t="s">
        <v>841</v>
      </c>
      <c r="Z93" t="s">
        <v>841</v>
      </c>
      <c r="AA93" t="s">
        <v>841</v>
      </c>
      <c r="AB93" t="s">
        <v>841</v>
      </c>
      <c r="AC93" t="s">
        <v>841</v>
      </c>
      <c r="AD93" t="s">
        <v>841</v>
      </c>
      <c r="AH93">
        <v>1</v>
      </c>
      <c r="AI93">
        <v>0</v>
      </c>
      <c r="AJ93">
        <v>0</v>
      </c>
      <c r="AK93">
        <v>1</v>
      </c>
      <c r="AL93">
        <v>1</v>
      </c>
      <c r="AM93">
        <v>1</v>
      </c>
      <c r="AN93">
        <v>1</v>
      </c>
      <c r="AO93">
        <v>1</v>
      </c>
      <c r="AP93">
        <v>1</v>
      </c>
      <c r="AQ93">
        <v>1</v>
      </c>
      <c r="AR93">
        <v>1</v>
      </c>
      <c r="AS93">
        <v>1</v>
      </c>
      <c r="AT93">
        <v>0</v>
      </c>
      <c r="AU93">
        <v>0</v>
      </c>
      <c r="AZ93" t="s">
        <v>841</v>
      </c>
      <c r="BJ93">
        <v>12</v>
      </c>
      <c r="BK93">
        <v>9</v>
      </c>
      <c r="BL93">
        <v>19</v>
      </c>
      <c r="BP93">
        <v>0</v>
      </c>
      <c r="BQ93">
        <v>0</v>
      </c>
      <c r="BR93">
        <v>0</v>
      </c>
      <c r="BS93" t="s">
        <v>841</v>
      </c>
      <c r="BT93" t="s">
        <v>841</v>
      </c>
      <c r="BV93" t="s">
        <v>839</v>
      </c>
      <c r="BW93" t="s">
        <v>759</v>
      </c>
      <c r="BX93" t="s">
        <v>839</v>
      </c>
      <c r="BY93" t="s">
        <v>758</v>
      </c>
      <c r="BZ93" t="s">
        <v>839</v>
      </c>
      <c r="CA93" t="s">
        <v>925</v>
      </c>
      <c r="CC93" t="s">
        <v>839</v>
      </c>
      <c r="CD93" t="s">
        <v>855</v>
      </c>
      <c r="CG93">
        <v>4</v>
      </c>
      <c r="CH93">
        <v>2</v>
      </c>
      <c r="CI93">
        <v>1</v>
      </c>
      <c r="CJ93">
        <v>1</v>
      </c>
      <c r="CK93" t="s">
        <v>681</v>
      </c>
      <c r="CM93" t="s">
        <v>844</v>
      </c>
      <c r="CN93">
        <v>1</v>
      </c>
      <c r="CO93">
        <v>0</v>
      </c>
      <c r="CP93">
        <v>0</v>
      </c>
      <c r="CQ93">
        <v>0</v>
      </c>
      <c r="CR93">
        <v>0</v>
      </c>
      <c r="CS93">
        <v>0</v>
      </c>
      <c r="CU93" t="s">
        <v>868</v>
      </c>
      <c r="CV93">
        <v>1</v>
      </c>
      <c r="CW93">
        <v>0</v>
      </c>
      <c r="CX93">
        <v>1</v>
      </c>
      <c r="CY93">
        <v>0</v>
      </c>
      <c r="CZ93">
        <v>0</v>
      </c>
      <c r="DA93">
        <v>0</v>
      </c>
      <c r="DB93">
        <v>0</v>
      </c>
      <c r="DC93">
        <v>0</v>
      </c>
      <c r="DD93">
        <v>1</v>
      </c>
      <c r="DE93">
        <v>1</v>
      </c>
      <c r="DF93">
        <v>0</v>
      </c>
      <c r="DJ93">
        <v>7</v>
      </c>
      <c r="DK93">
        <v>6</v>
      </c>
      <c r="DL93">
        <v>13</v>
      </c>
      <c r="DN93">
        <v>350</v>
      </c>
      <c r="DP93">
        <v>300</v>
      </c>
      <c r="DQ93" t="s">
        <v>1181</v>
      </c>
      <c r="DR93">
        <v>1</v>
      </c>
      <c r="DS93">
        <v>0</v>
      </c>
      <c r="DT93">
        <v>1</v>
      </c>
      <c r="DU93">
        <v>0</v>
      </c>
      <c r="DV93">
        <v>1</v>
      </c>
      <c r="DW93">
        <v>0</v>
      </c>
      <c r="DX93">
        <v>0</v>
      </c>
      <c r="DY93">
        <v>0</v>
      </c>
      <c r="DZ93">
        <v>0</v>
      </c>
      <c r="EB93" t="s">
        <v>839</v>
      </c>
      <c r="EC93" t="s">
        <v>847</v>
      </c>
      <c r="ED93" t="s">
        <v>848</v>
      </c>
      <c r="EI93">
        <v>60</v>
      </c>
      <c r="EL93" t="s">
        <v>841</v>
      </c>
      <c r="EO93">
        <v>70</v>
      </c>
      <c r="ER93" t="s">
        <v>841</v>
      </c>
      <c r="EU93">
        <v>80</v>
      </c>
      <c r="EX93" t="s">
        <v>841</v>
      </c>
      <c r="FA93">
        <v>80</v>
      </c>
      <c r="FD93" t="s">
        <v>841</v>
      </c>
      <c r="FG93">
        <v>80</v>
      </c>
      <c r="FJ93" t="s">
        <v>841</v>
      </c>
      <c r="FM93">
        <v>200</v>
      </c>
      <c r="FO93">
        <v>0</v>
      </c>
      <c r="FP93">
        <v>0</v>
      </c>
      <c r="FQ93">
        <v>0</v>
      </c>
      <c r="FS93" t="s">
        <v>842</v>
      </c>
      <c r="FT93" t="s">
        <v>842</v>
      </c>
      <c r="FU93" t="s">
        <v>839</v>
      </c>
      <c r="FV93" t="s">
        <v>839</v>
      </c>
      <c r="FW93" t="s">
        <v>839</v>
      </c>
      <c r="FX93" t="s">
        <v>965</v>
      </c>
      <c r="FY93" t="s">
        <v>842</v>
      </c>
      <c r="FZ93" t="s">
        <v>839</v>
      </c>
      <c r="GA93" t="s">
        <v>842</v>
      </c>
      <c r="GB93" t="s">
        <v>842</v>
      </c>
      <c r="GC93" t="s">
        <v>839</v>
      </c>
      <c r="GD93" t="s">
        <v>839</v>
      </c>
      <c r="GE93" t="s">
        <v>1049</v>
      </c>
      <c r="GG93" t="s">
        <v>842</v>
      </c>
      <c r="GI93" t="s">
        <v>1463</v>
      </c>
      <c r="GJ93">
        <v>1</v>
      </c>
      <c r="GK93">
        <v>1</v>
      </c>
      <c r="GL93">
        <v>0</v>
      </c>
      <c r="GM93">
        <v>0</v>
      </c>
      <c r="GN93">
        <v>0</v>
      </c>
      <c r="GO93">
        <v>0</v>
      </c>
      <c r="GP93">
        <v>1</v>
      </c>
      <c r="GQ93">
        <v>0</v>
      </c>
      <c r="GR93">
        <v>0</v>
      </c>
      <c r="GS93">
        <v>0</v>
      </c>
      <c r="GT93">
        <v>0</v>
      </c>
      <c r="GU93">
        <v>0</v>
      </c>
      <c r="GV93">
        <v>0</v>
      </c>
      <c r="GW93">
        <v>1</v>
      </c>
      <c r="GX93">
        <v>0</v>
      </c>
      <c r="GY93">
        <v>0</v>
      </c>
      <c r="GZ93">
        <v>0</v>
      </c>
      <c r="HB93" t="s">
        <v>839</v>
      </c>
    </row>
    <row r="94" spans="1:211" x14ac:dyDescent="0.35">
      <c r="A94" t="s">
        <v>1464</v>
      </c>
      <c r="B94" s="151">
        <v>45118.504594907397</v>
      </c>
      <c r="C94" t="s">
        <v>1465</v>
      </c>
      <c r="D94" t="s">
        <v>1466</v>
      </c>
      <c r="E94" t="s">
        <v>875</v>
      </c>
      <c r="F94" t="s">
        <v>1467</v>
      </c>
      <c r="H94" t="s">
        <v>839</v>
      </c>
      <c r="I94" t="s">
        <v>838</v>
      </c>
      <c r="K94" t="s">
        <v>839</v>
      </c>
      <c r="L94" t="s">
        <v>887</v>
      </c>
      <c r="O94">
        <v>80</v>
      </c>
      <c r="P94">
        <v>60</v>
      </c>
      <c r="Q94">
        <v>140</v>
      </c>
      <c r="S94" t="s">
        <v>841</v>
      </c>
      <c r="V94" t="s">
        <v>841</v>
      </c>
      <c r="W94" t="s">
        <v>841</v>
      </c>
      <c r="X94" t="s">
        <v>841</v>
      </c>
      <c r="Y94" t="s">
        <v>841</v>
      </c>
      <c r="Z94" t="s">
        <v>841</v>
      </c>
      <c r="AA94" t="s">
        <v>841</v>
      </c>
      <c r="AB94" t="s">
        <v>841</v>
      </c>
      <c r="AC94" t="s">
        <v>841</v>
      </c>
      <c r="AD94" t="s">
        <v>841</v>
      </c>
      <c r="AE94" t="s">
        <v>841</v>
      </c>
      <c r="AH94">
        <v>1</v>
      </c>
      <c r="AI94">
        <v>0</v>
      </c>
      <c r="AJ94">
        <v>0</v>
      </c>
      <c r="AK94">
        <v>1</v>
      </c>
      <c r="AL94">
        <v>1</v>
      </c>
      <c r="AM94">
        <v>1</v>
      </c>
      <c r="AN94">
        <v>1</v>
      </c>
      <c r="AO94">
        <v>1</v>
      </c>
      <c r="AP94">
        <v>1</v>
      </c>
      <c r="AQ94">
        <v>1</v>
      </c>
      <c r="AR94">
        <v>1</v>
      </c>
      <c r="AS94">
        <v>1</v>
      </c>
      <c r="AT94">
        <v>1</v>
      </c>
      <c r="AU94">
        <v>0</v>
      </c>
      <c r="AW94">
        <v>5</v>
      </c>
      <c r="AX94">
        <v>7</v>
      </c>
      <c r="AY94">
        <v>12</v>
      </c>
      <c r="BB94">
        <v>1</v>
      </c>
      <c r="BC94">
        <v>3</v>
      </c>
      <c r="BD94">
        <v>4</v>
      </c>
      <c r="BF94">
        <v>2</v>
      </c>
      <c r="BG94">
        <v>1</v>
      </c>
      <c r="BH94">
        <v>3</v>
      </c>
      <c r="BJ94">
        <v>5</v>
      </c>
      <c r="BK94">
        <v>7</v>
      </c>
      <c r="BL94">
        <v>12</v>
      </c>
      <c r="BP94">
        <v>5</v>
      </c>
      <c r="BQ94">
        <v>7</v>
      </c>
      <c r="BR94">
        <v>12</v>
      </c>
      <c r="BV94" t="s">
        <v>839</v>
      </c>
      <c r="BW94" t="s">
        <v>758</v>
      </c>
      <c r="BX94" t="s">
        <v>839</v>
      </c>
      <c r="BY94" t="s">
        <v>758</v>
      </c>
      <c r="BZ94" t="s">
        <v>839</v>
      </c>
      <c r="CA94" t="s">
        <v>839</v>
      </c>
      <c r="CC94" t="s">
        <v>839</v>
      </c>
      <c r="CD94" t="s">
        <v>855</v>
      </c>
      <c r="CG94">
        <v>3</v>
      </c>
      <c r="CH94">
        <v>1</v>
      </c>
      <c r="CI94">
        <v>1</v>
      </c>
      <c r="CJ94">
        <v>1</v>
      </c>
      <c r="CK94" t="s">
        <v>993</v>
      </c>
      <c r="CM94" t="s">
        <v>844</v>
      </c>
      <c r="CN94">
        <v>1</v>
      </c>
      <c r="CO94">
        <v>0</v>
      </c>
      <c r="CP94">
        <v>0</v>
      </c>
      <c r="CQ94">
        <v>0</v>
      </c>
      <c r="CR94">
        <v>0</v>
      </c>
      <c r="CS94">
        <v>0</v>
      </c>
      <c r="CU94" t="s">
        <v>1468</v>
      </c>
      <c r="CV94">
        <v>1</v>
      </c>
      <c r="CW94">
        <v>0</v>
      </c>
      <c r="CX94">
        <v>0</v>
      </c>
      <c r="CY94">
        <v>0</v>
      </c>
      <c r="CZ94">
        <v>0</v>
      </c>
      <c r="DA94">
        <v>0</v>
      </c>
      <c r="DB94">
        <v>0</v>
      </c>
      <c r="DC94">
        <v>0</v>
      </c>
      <c r="DD94">
        <v>0</v>
      </c>
      <c r="DE94">
        <v>1</v>
      </c>
      <c r="DF94">
        <v>0</v>
      </c>
      <c r="DJ94">
        <v>8</v>
      </c>
      <c r="DK94">
        <v>4</v>
      </c>
      <c r="DL94">
        <v>12</v>
      </c>
      <c r="DN94">
        <v>300</v>
      </c>
      <c r="DP94">
        <v>400</v>
      </c>
      <c r="DQ94" t="s">
        <v>1007</v>
      </c>
      <c r="DR94">
        <v>1</v>
      </c>
      <c r="DS94">
        <v>0</v>
      </c>
      <c r="DT94">
        <v>0</v>
      </c>
      <c r="DU94">
        <v>0</v>
      </c>
      <c r="DV94">
        <v>0</v>
      </c>
      <c r="DW94">
        <v>1</v>
      </c>
      <c r="DX94">
        <v>0</v>
      </c>
      <c r="DY94">
        <v>0</v>
      </c>
      <c r="DZ94">
        <v>0</v>
      </c>
      <c r="EB94" t="s">
        <v>842</v>
      </c>
      <c r="EC94" t="s">
        <v>909</v>
      </c>
      <c r="ED94" t="s">
        <v>848</v>
      </c>
      <c r="EI94">
        <v>620</v>
      </c>
      <c r="EM94" t="s">
        <v>841</v>
      </c>
      <c r="EO94">
        <v>620</v>
      </c>
      <c r="ES94" t="s">
        <v>841</v>
      </c>
      <c r="EU94">
        <v>620</v>
      </c>
      <c r="EY94" t="s">
        <v>841</v>
      </c>
      <c r="FA94">
        <v>0</v>
      </c>
      <c r="FF94" t="s">
        <v>841</v>
      </c>
      <c r="FG94">
        <v>0</v>
      </c>
      <c r="FL94" t="s">
        <v>841</v>
      </c>
      <c r="FM94">
        <v>30</v>
      </c>
      <c r="FO94">
        <v>5</v>
      </c>
      <c r="FP94">
        <v>5</v>
      </c>
      <c r="FQ94">
        <v>10</v>
      </c>
      <c r="FS94" t="s">
        <v>839</v>
      </c>
      <c r="FT94" t="s">
        <v>839</v>
      </c>
      <c r="FU94" t="s">
        <v>839</v>
      </c>
      <c r="FV94" t="s">
        <v>839</v>
      </c>
      <c r="FW94" t="s">
        <v>839</v>
      </c>
      <c r="FX94" t="s">
        <v>965</v>
      </c>
      <c r="FY94" t="s">
        <v>839</v>
      </c>
      <c r="FZ94" t="s">
        <v>839</v>
      </c>
      <c r="GA94" t="s">
        <v>839</v>
      </c>
      <c r="GB94" t="s">
        <v>839</v>
      </c>
      <c r="GC94" t="s">
        <v>842</v>
      </c>
      <c r="GD94" t="s">
        <v>839</v>
      </c>
      <c r="GE94" t="s">
        <v>881</v>
      </c>
      <c r="GG94" t="s">
        <v>842</v>
      </c>
      <c r="GI94" t="s">
        <v>1469</v>
      </c>
      <c r="GJ94">
        <v>1</v>
      </c>
      <c r="GK94">
        <v>1</v>
      </c>
      <c r="GL94">
        <v>1</v>
      </c>
      <c r="GM94">
        <v>0</v>
      </c>
      <c r="GN94">
        <v>1</v>
      </c>
      <c r="GO94">
        <v>1</v>
      </c>
      <c r="GP94">
        <v>1</v>
      </c>
      <c r="GQ94">
        <v>0</v>
      </c>
      <c r="GR94">
        <v>0</v>
      </c>
      <c r="GS94">
        <v>0</v>
      </c>
      <c r="GT94">
        <v>0</v>
      </c>
      <c r="GU94">
        <v>0</v>
      </c>
      <c r="GV94">
        <v>1</v>
      </c>
      <c r="GW94">
        <v>1</v>
      </c>
      <c r="GX94">
        <v>1</v>
      </c>
      <c r="GY94">
        <v>0</v>
      </c>
      <c r="GZ94">
        <v>0</v>
      </c>
      <c r="HB94" t="s">
        <v>839</v>
      </c>
    </row>
    <row r="95" spans="1:211" x14ac:dyDescent="0.35">
      <c r="A95" t="s">
        <v>1470</v>
      </c>
      <c r="B95" s="151">
        <v>45119.64439814815</v>
      </c>
      <c r="C95" t="s">
        <v>1471</v>
      </c>
      <c r="D95" t="s">
        <v>1472</v>
      </c>
      <c r="E95" t="s">
        <v>875</v>
      </c>
      <c r="F95" t="s">
        <v>1473</v>
      </c>
      <c r="G95" t="s">
        <v>1473</v>
      </c>
      <c r="H95" t="s">
        <v>839</v>
      </c>
      <c r="I95" t="s">
        <v>1046</v>
      </c>
      <c r="K95" t="s">
        <v>839</v>
      </c>
      <c r="L95" t="s">
        <v>887</v>
      </c>
      <c r="O95">
        <v>109</v>
      </c>
      <c r="P95">
        <v>96</v>
      </c>
      <c r="Q95">
        <v>205</v>
      </c>
      <c r="S95" t="s">
        <v>841</v>
      </c>
      <c r="T95" t="s">
        <v>841</v>
      </c>
      <c r="U95" t="s">
        <v>841</v>
      </c>
      <c r="V95" t="s">
        <v>841</v>
      </c>
      <c r="W95" t="s">
        <v>841</v>
      </c>
      <c r="X95" t="s">
        <v>841</v>
      </c>
      <c r="Y95" t="s">
        <v>841</v>
      </c>
      <c r="Z95" t="s">
        <v>841</v>
      </c>
      <c r="AA95" t="s">
        <v>841</v>
      </c>
      <c r="AB95" t="s">
        <v>841</v>
      </c>
      <c r="BS95" t="s">
        <v>841</v>
      </c>
      <c r="BV95" t="s">
        <v>839</v>
      </c>
      <c r="BW95" t="s">
        <v>758</v>
      </c>
      <c r="BX95" t="s">
        <v>839</v>
      </c>
      <c r="BY95" t="s">
        <v>758</v>
      </c>
      <c r="BZ95" t="s">
        <v>839</v>
      </c>
      <c r="CA95" t="s">
        <v>839</v>
      </c>
      <c r="CC95" t="s">
        <v>839</v>
      </c>
      <c r="CD95" t="s">
        <v>1022</v>
      </c>
      <c r="CG95">
        <v>3</v>
      </c>
      <c r="CH95">
        <v>1</v>
      </c>
      <c r="CI95">
        <v>1</v>
      </c>
      <c r="CJ95">
        <v>1</v>
      </c>
      <c r="CK95" t="s">
        <v>877</v>
      </c>
      <c r="CM95" t="s">
        <v>844</v>
      </c>
      <c r="CN95">
        <v>1</v>
      </c>
      <c r="CO95">
        <v>0</v>
      </c>
      <c r="CP95">
        <v>0</v>
      </c>
      <c r="CQ95">
        <v>0</v>
      </c>
      <c r="CR95">
        <v>0</v>
      </c>
      <c r="CS95">
        <v>0</v>
      </c>
      <c r="CU95" t="s">
        <v>987</v>
      </c>
      <c r="CV95">
        <v>1</v>
      </c>
      <c r="CW95">
        <v>0</v>
      </c>
      <c r="CX95">
        <v>1</v>
      </c>
      <c r="CY95">
        <v>0</v>
      </c>
      <c r="CZ95">
        <v>0</v>
      </c>
      <c r="DA95">
        <v>0</v>
      </c>
      <c r="DB95">
        <v>0</v>
      </c>
      <c r="DC95">
        <v>0</v>
      </c>
      <c r="DD95">
        <v>0</v>
      </c>
      <c r="DE95">
        <v>0</v>
      </c>
      <c r="DF95">
        <v>0</v>
      </c>
      <c r="DJ95">
        <v>7</v>
      </c>
      <c r="DK95">
        <v>8</v>
      </c>
      <c r="DL95">
        <v>15</v>
      </c>
      <c r="DN95">
        <v>400</v>
      </c>
      <c r="DP95">
        <v>500</v>
      </c>
      <c r="DQ95" t="s">
        <v>995</v>
      </c>
      <c r="DR95">
        <v>1</v>
      </c>
      <c r="DS95">
        <v>1</v>
      </c>
      <c r="DT95">
        <v>1</v>
      </c>
      <c r="DU95">
        <v>0</v>
      </c>
      <c r="DV95">
        <v>0</v>
      </c>
      <c r="DW95">
        <v>0</v>
      </c>
      <c r="DX95">
        <v>0</v>
      </c>
      <c r="DY95">
        <v>0</v>
      </c>
      <c r="DZ95">
        <v>0</v>
      </c>
      <c r="EB95" t="s">
        <v>839</v>
      </c>
      <c r="EC95" t="s">
        <v>869</v>
      </c>
      <c r="ED95" t="s">
        <v>848</v>
      </c>
      <c r="EI95">
        <v>450</v>
      </c>
      <c r="EM95" t="s">
        <v>841</v>
      </c>
      <c r="EO95">
        <v>500</v>
      </c>
      <c r="ES95" t="s">
        <v>841</v>
      </c>
      <c r="FA95">
        <v>5</v>
      </c>
      <c r="FB95" t="s">
        <v>841</v>
      </c>
      <c r="FG95">
        <v>5</v>
      </c>
      <c r="FH95" t="s">
        <v>841</v>
      </c>
      <c r="FL95" t="s">
        <v>841</v>
      </c>
      <c r="FM95">
        <v>500</v>
      </c>
      <c r="FO95">
        <v>22</v>
      </c>
      <c r="FP95">
        <v>14</v>
      </c>
      <c r="FQ95">
        <v>36</v>
      </c>
      <c r="FS95" t="s">
        <v>839</v>
      </c>
      <c r="FT95" t="s">
        <v>839</v>
      </c>
      <c r="FU95" t="s">
        <v>839</v>
      </c>
      <c r="FV95" t="s">
        <v>839</v>
      </c>
      <c r="FW95" t="s">
        <v>839</v>
      </c>
      <c r="FX95" t="s">
        <v>880</v>
      </c>
      <c r="FY95" t="s">
        <v>839</v>
      </c>
      <c r="FZ95" t="s">
        <v>839</v>
      </c>
      <c r="GA95" t="s">
        <v>839</v>
      </c>
      <c r="GB95" t="s">
        <v>839</v>
      </c>
      <c r="GC95" t="s">
        <v>839</v>
      </c>
      <c r="GD95" t="s">
        <v>839</v>
      </c>
      <c r="GE95" t="s">
        <v>929</v>
      </c>
      <c r="GG95" t="s">
        <v>839</v>
      </c>
      <c r="GI95" t="s">
        <v>1474</v>
      </c>
      <c r="GJ95">
        <v>1</v>
      </c>
      <c r="GK95">
        <v>1</v>
      </c>
      <c r="GL95">
        <v>1</v>
      </c>
      <c r="GM95">
        <v>0</v>
      </c>
      <c r="GN95">
        <v>0</v>
      </c>
      <c r="GO95">
        <v>1</v>
      </c>
      <c r="GP95">
        <v>0</v>
      </c>
      <c r="GQ95">
        <v>0</v>
      </c>
      <c r="GR95">
        <v>1</v>
      </c>
      <c r="GS95">
        <v>0</v>
      </c>
      <c r="GT95">
        <v>0</v>
      </c>
      <c r="GU95">
        <v>1</v>
      </c>
      <c r="GV95">
        <v>1</v>
      </c>
      <c r="GW95">
        <v>1</v>
      </c>
      <c r="GX95">
        <v>1</v>
      </c>
      <c r="GY95">
        <v>0</v>
      </c>
      <c r="GZ95">
        <v>0</v>
      </c>
      <c r="HB95" t="s">
        <v>839</v>
      </c>
    </row>
    <row r="96" spans="1:211" x14ac:dyDescent="0.35">
      <c r="A96" t="s">
        <v>1475</v>
      </c>
      <c r="B96" s="151">
        <v>45134.883877314824</v>
      </c>
      <c r="C96" t="s">
        <v>1476</v>
      </c>
      <c r="D96" t="s">
        <v>1477</v>
      </c>
      <c r="E96" t="s">
        <v>875</v>
      </c>
      <c r="F96" t="s">
        <v>1478</v>
      </c>
      <c r="G96" t="s">
        <v>1479</v>
      </c>
      <c r="H96" t="s">
        <v>839</v>
      </c>
      <c r="I96" t="s">
        <v>838</v>
      </c>
      <c r="K96" t="s">
        <v>839</v>
      </c>
      <c r="L96" t="s">
        <v>887</v>
      </c>
      <c r="O96">
        <v>100</v>
      </c>
      <c r="P96">
        <v>150</v>
      </c>
      <c r="Q96">
        <v>250</v>
      </c>
      <c r="V96" t="s">
        <v>841</v>
      </c>
      <c r="W96" t="s">
        <v>841</v>
      </c>
      <c r="X96" t="s">
        <v>841</v>
      </c>
      <c r="Y96" t="s">
        <v>841</v>
      </c>
      <c r="Z96" t="s">
        <v>841</v>
      </c>
      <c r="AA96" t="s">
        <v>841</v>
      </c>
      <c r="AB96" t="s">
        <v>841</v>
      </c>
      <c r="AC96" t="s">
        <v>841</v>
      </c>
      <c r="AD96" t="s">
        <v>841</v>
      </c>
      <c r="AE96" t="s">
        <v>841</v>
      </c>
      <c r="AF96" t="s">
        <v>841</v>
      </c>
      <c r="AK96">
        <v>0</v>
      </c>
      <c r="AL96">
        <v>0</v>
      </c>
      <c r="AM96">
        <v>0</v>
      </c>
      <c r="AN96">
        <v>0</v>
      </c>
      <c r="AO96">
        <v>0</v>
      </c>
      <c r="AP96">
        <v>0</v>
      </c>
      <c r="AQ96">
        <v>0</v>
      </c>
      <c r="AR96">
        <v>0</v>
      </c>
      <c r="AS96">
        <v>0</v>
      </c>
      <c r="AT96">
        <v>0</v>
      </c>
      <c r="AU96">
        <v>0</v>
      </c>
      <c r="AW96">
        <v>15</v>
      </c>
      <c r="AX96">
        <v>20</v>
      </c>
      <c r="AY96">
        <v>35</v>
      </c>
      <c r="BB96">
        <v>4</v>
      </c>
      <c r="BC96">
        <v>0</v>
      </c>
      <c r="BD96">
        <v>4</v>
      </c>
      <c r="BF96">
        <v>20</v>
      </c>
      <c r="BG96">
        <v>11</v>
      </c>
      <c r="BH96">
        <v>31</v>
      </c>
      <c r="BJ96">
        <v>20</v>
      </c>
      <c r="BK96">
        <v>20</v>
      </c>
      <c r="BL96">
        <v>40</v>
      </c>
      <c r="BN96" t="s">
        <v>841</v>
      </c>
      <c r="BP96">
        <v>15</v>
      </c>
      <c r="BQ96">
        <v>10</v>
      </c>
      <c r="BR96">
        <v>25</v>
      </c>
      <c r="BS96" t="s">
        <v>841</v>
      </c>
      <c r="BV96" t="s">
        <v>839</v>
      </c>
      <c r="BW96" t="s">
        <v>759</v>
      </c>
      <c r="BX96" t="s">
        <v>839</v>
      </c>
      <c r="BY96" t="s">
        <v>759</v>
      </c>
      <c r="BZ96" t="s">
        <v>839</v>
      </c>
      <c r="CA96" t="s">
        <v>839</v>
      </c>
      <c r="CC96" t="s">
        <v>839</v>
      </c>
      <c r="CD96" t="s">
        <v>1022</v>
      </c>
      <c r="CG96">
        <v>5</v>
      </c>
      <c r="CH96">
        <v>2</v>
      </c>
      <c r="CI96">
        <v>2</v>
      </c>
      <c r="CJ96">
        <v>1</v>
      </c>
      <c r="CK96" t="s">
        <v>681</v>
      </c>
      <c r="CM96" t="s">
        <v>681</v>
      </c>
      <c r="CN96">
        <v>0</v>
      </c>
      <c r="CO96">
        <v>0</v>
      </c>
      <c r="CP96">
        <v>0</v>
      </c>
      <c r="CQ96">
        <v>0</v>
      </c>
      <c r="CR96">
        <v>1</v>
      </c>
      <c r="CS96">
        <v>0</v>
      </c>
      <c r="CU96" t="s">
        <v>1194</v>
      </c>
      <c r="CV96">
        <v>1</v>
      </c>
      <c r="CW96">
        <v>0</v>
      </c>
      <c r="CX96">
        <v>1</v>
      </c>
      <c r="CY96">
        <v>0</v>
      </c>
      <c r="CZ96">
        <v>0</v>
      </c>
      <c r="DA96">
        <v>0</v>
      </c>
      <c r="DB96">
        <v>0</v>
      </c>
      <c r="DC96">
        <v>0</v>
      </c>
      <c r="DD96">
        <v>0</v>
      </c>
      <c r="DE96">
        <v>1</v>
      </c>
      <c r="DF96">
        <v>0</v>
      </c>
      <c r="DJ96">
        <v>5</v>
      </c>
      <c r="DK96">
        <v>10</v>
      </c>
      <c r="DL96">
        <v>15</v>
      </c>
      <c r="DN96">
        <v>300</v>
      </c>
      <c r="DP96">
        <v>500</v>
      </c>
      <c r="DQ96" t="s">
        <v>1449</v>
      </c>
      <c r="DR96">
        <v>1</v>
      </c>
      <c r="DS96">
        <v>0</v>
      </c>
      <c r="DT96">
        <v>1</v>
      </c>
      <c r="DU96">
        <v>0</v>
      </c>
      <c r="DV96">
        <v>0</v>
      </c>
      <c r="DW96">
        <v>0</v>
      </c>
      <c r="DX96">
        <v>1</v>
      </c>
      <c r="DY96">
        <v>0</v>
      </c>
      <c r="DZ96">
        <v>0</v>
      </c>
      <c r="EB96" t="s">
        <v>839</v>
      </c>
      <c r="EC96" t="s">
        <v>1354</v>
      </c>
      <c r="ED96" t="s">
        <v>848</v>
      </c>
      <c r="EI96">
        <v>545</v>
      </c>
      <c r="EM96" t="s">
        <v>841</v>
      </c>
      <c r="EO96">
        <v>635</v>
      </c>
      <c r="ES96" t="s">
        <v>841</v>
      </c>
      <c r="EZ96" t="s">
        <v>841</v>
      </c>
      <c r="FA96">
        <v>3</v>
      </c>
      <c r="FB96" t="s">
        <v>841</v>
      </c>
      <c r="FL96" t="s">
        <v>841</v>
      </c>
      <c r="FM96">
        <v>50</v>
      </c>
      <c r="FO96">
        <v>12</v>
      </c>
      <c r="FP96">
        <v>50</v>
      </c>
      <c r="FQ96">
        <v>62</v>
      </c>
      <c r="FS96" t="s">
        <v>842</v>
      </c>
      <c r="FT96" t="s">
        <v>842</v>
      </c>
      <c r="FU96" t="s">
        <v>839</v>
      </c>
      <c r="FV96" t="s">
        <v>839</v>
      </c>
      <c r="FW96" t="s">
        <v>839</v>
      </c>
      <c r="FX96" t="s">
        <v>880</v>
      </c>
      <c r="FY96" t="s">
        <v>842</v>
      </c>
      <c r="FZ96" t="s">
        <v>842</v>
      </c>
      <c r="GA96" t="s">
        <v>839</v>
      </c>
      <c r="GB96" t="s">
        <v>839</v>
      </c>
      <c r="GC96" t="s">
        <v>842</v>
      </c>
      <c r="GD96" t="s">
        <v>842</v>
      </c>
      <c r="GG96" t="s">
        <v>668</v>
      </c>
      <c r="GI96" t="s">
        <v>1480</v>
      </c>
      <c r="GJ96">
        <v>0</v>
      </c>
      <c r="GK96">
        <v>1</v>
      </c>
      <c r="GL96">
        <v>1</v>
      </c>
      <c r="GM96">
        <v>0</v>
      </c>
      <c r="GN96">
        <v>1</v>
      </c>
      <c r="GO96">
        <v>0</v>
      </c>
      <c r="GP96">
        <v>1</v>
      </c>
      <c r="GQ96">
        <v>1</v>
      </c>
      <c r="GR96">
        <v>1</v>
      </c>
      <c r="GS96">
        <v>0</v>
      </c>
      <c r="GT96">
        <v>1</v>
      </c>
      <c r="GU96">
        <v>0</v>
      </c>
      <c r="GV96">
        <v>1</v>
      </c>
      <c r="GW96">
        <v>1</v>
      </c>
      <c r="GX96">
        <v>1</v>
      </c>
      <c r="GY96">
        <v>0</v>
      </c>
      <c r="GZ96">
        <v>0</v>
      </c>
      <c r="HB96" t="s">
        <v>839</v>
      </c>
    </row>
    <row r="97" spans="1:211" x14ac:dyDescent="0.35">
      <c r="A97" t="s">
        <v>1481</v>
      </c>
      <c r="B97" s="151">
        <v>45138.699421296304</v>
      </c>
      <c r="C97" t="s">
        <v>1482</v>
      </c>
      <c r="D97" t="s">
        <v>1483</v>
      </c>
      <c r="E97" t="s">
        <v>875</v>
      </c>
      <c r="F97" t="s">
        <v>1484</v>
      </c>
      <c r="G97" t="s">
        <v>1484</v>
      </c>
      <c r="H97" t="s">
        <v>839</v>
      </c>
      <c r="I97" t="s">
        <v>896</v>
      </c>
      <c r="K97" t="s">
        <v>839</v>
      </c>
      <c r="L97" t="s">
        <v>887</v>
      </c>
      <c r="O97">
        <v>131</v>
      </c>
      <c r="P97">
        <v>104</v>
      </c>
      <c r="Q97">
        <v>235</v>
      </c>
      <c r="S97" t="s">
        <v>841</v>
      </c>
      <c r="T97" t="s">
        <v>841</v>
      </c>
      <c r="U97" t="s">
        <v>841</v>
      </c>
      <c r="V97" t="s">
        <v>841</v>
      </c>
      <c r="W97" t="s">
        <v>841</v>
      </c>
      <c r="X97" t="s">
        <v>841</v>
      </c>
      <c r="Y97" t="s">
        <v>841</v>
      </c>
      <c r="Z97" t="s">
        <v>841</v>
      </c>
      <c r="AA97" t="s">
        <v>841</v>
      </c>
      <c r="AB97" t="s">
        <v>841</v>
      </c>
      <c r="AC97" t="s">
        <v>841</v>
      </c>
      <c r="AD97" t="s">
        <v>841</v>
      </c>
      <c r="AH97">
        <v>1</v>
      </c>
      <c r="AI97">
        <v>1</v>
      </c>
      <c r="AJ97">
        <v>1</v>
      </c>
      <c r="AK97">
        <v>1</v>
      </c>
      <c r="AL97">
        <v>1</v>
      </c>
      <c r="AM97">
        <v>1</v>
      </c>
      <c r="AN97">
        <v>1</v>
      </c>
      <c r="AO97">
        <v>1</v>
      </c>
      <c r="AP97">
        <v>1</v>
      </c>
      <c r="AQ97">
        <v>1</v>
      </c>
      <c r="AR97">
        <v>1</v>
      </c>
      <c r="AS97">
        <v>1</v>
      </c>
      <c r="AW97">
        <v>9</v>
      </c>
      <c r="AX97">
        <v>8</v>
      </c>
      <c r="AY97">
        <v>17</v>
      </c>
      <c r="BB97">
        <v>1</v>
      </c>
      <c r="BD97">
        <v>1</v>
      </c>
      <c r="BF97">
        <v>5</v>
      </c>
      <c r="BG97">
        <v>4</v>
      </c>
      <c r="BH97">
        <v>9</v>
      </c>
      <c r="BJ97">
        <v>14</v>
      </c>
      <c r="BK97">
        <v>12</v>
      </c>
      <c r="BL97">
        <v>26</v>
      </c>
      <c r="BP97">
        <v>8</v>
      </c>
      <c r="BQ97">
        <v>8</v>
      </c>
      <c r="BR97">
        <v>16</v>
      </c>
      <c r="BV97" t="s">
        <v>839</v>
      </c>
      <c r="BW97" t="s">
        <v>950</v>
      </c>
      <c r="BX97" t="s">
        <v>839</v>
      </c>
      <c r="BY97" t="s">
        <v>759</v>
      </c>
      <c r="BZ97" t="s">
        <v>839</v>
      </c>
      <c r="CA97" t="s">
        <v>839</v>
      </c>
      <c r="CC97" t="s">
        <v>842</v>
      </c>
      <c r="CD97" t="s">
        <v>855</v>
      </c>
      <c r="CG97">
        <v>5</v>
      </c>
      <c r="CH97">
        <v>2</v>
      </c>
      <c r="CI97">
        <v>2</v>
      </c>
      <c r="CJ97">
        <v>1</v>
      </c>
      <c r="CK97" t="s">
        <v>856</v>
      </c>
      <c r="CM97" t="s">
        <v>844</v>
      </c>
      <c r="CN97">
        <v>1</v>
      </c>
      <c r="CO97">
        <v>0</v>
      </c>
      <c r="CP97">
        <v>0</v>
      </c>
      <c r="CQ97">
        <v>0</v>
      </c>
      <c r="CR97">
        <v>0</v>
      </c>
      <c r="CS97">
        <v>0</v>
      </c>
      <c r="CU97" t="s">
        <v>1249</v>
      </c>
      <c r="CV97">
        <v>1</v>
      </c>
      <c r="CW97">
        <v>0</v>
      </c>
      <c r="CX97">
        <v>1</v>
      </c>
      <c r="CY97">
        <v>1</v>
      </c>
      <c r="CZ97">
        <v>0</v>
      </c>
      <c r="DA97">
        <v>0</v>
      </c>
      <c r="DB97">
        <v>0</v>
      </c>
      <c r="DC97">
        <v>0</v>
      </c>
      <c r="DD97">
        <v>0</v>
      </c>
      <c r="DE97">
        <v>0</v>
      </c>
      <c r="DF97">
        <v>0</v>
      </c>
      <c r="DJ97">
        <v>9</v>
      </c>
      <c r="DK97">
        <v>5</v>
      </c>
      <c r="DL97">
        <v>15</v>
      </c>
      <c r="DN97">
        <v>380</v>
      </c>
      <c r="DP97">
        <v>550</v>
      </c>
      <c r="DQ97" t="s">
        <v>937</v>
      </c>
      <c r="DR97">
        <v>1</v>
      </c>
      <c r="DS97">
        <v>0</v>
      </c>
      <c r="DT97">
        <v>0</v>
      </c>
      <c r="DU97">
        <v>0</v>
      </c>
      <c r="DV97">
        <v>0</v>
      </c>
      <c r="DW97">
        <v>0</v>
      </c>
      <c r="DX97">
        <v>0</v>
      </c>
      <c r="DY97">
        <v>0</v>
      </c>
      <c r="DZ97">
        <v>0</v>
      </c>
      <c r="EB97" t="s">
        <v>839</v>
      </c>
      <c r="EC97" t="s">
        <v>847</v>
      </c>
      <c r="ED97" t="s">
        <v>848</v>
      </c>
      <c r="EI97">
        <v>170</v>
      </c>
      <c r="EM97" t="s">
        <v>841</v>
      </c>
      <c r="EO97">
        <v>170</v>
      </c>
      <c r="ES97" t="s">
        <v>841</v>
      </c>
      <c r="EZ97" t="s">
        <v>841</v>
      </c>
      <c r="FA97">
        <v>6.5</v>
      </c>
      <c r="FB97" t="s">
        <v>841</v>
      </c>
      <c r="FG97">
        <v>4</v>
      </c>
      <c r="FH97" t="s">
        <v>841</v>
      </c>
      <c r="FM97">
        <v>18</v>
      </c>
      <c r="FO97">
        <v>2</v>
      </c>
      <c r="FP97">
        <v>2</v>
      </c>
      <c r="FQ97">
        <v>4</v>
      </c>
      <c r="FS97" t="s">
        <v>842</v>
      </c>
      <c r="FT97" t="s">
        <v>839</v>
      </c>
      <c r="FU97" t="s">
        <v>839</v>
      </c>
      <c r="FV97" t="s">
        <v>839</v>
      </c>
      <c r="FW97" t="s">
        <v>842</v>
      </c>
      <c r="FY97" t="s">
        <v>842</v>
      </c>
      <c r="FZ97" t="s">
        <v>839</v>
      </c>
      <c r="GA97" t="s">
        <v>842</v>
      </c>
      <c r="GB97" t="s">
        <v>842</v>
      </c>
      <c r="GC97" t="s">
        <v>839</v>
      </c>
      <c r="GD97" t="s">
        <v>839</v>
      </c>
      <c r="GE97" t="s">
        <v>1049</v>
      </c>
      <c r="GG97" t="s">
        <v>842</v>
      </c>
      <c r="GI97" t="s">
        <v>1485</v>
      </c>
      <c r="GJ97">
        <v>0</v>
      </c>
      <c r="GK97">
        <v>1</v>
      </c>
      <c r="GL97">
        <v>0</v>
      </c>
      <c r="GM97">
        <v>0</v>
      </c>
      <c r="GN97">
        <v>0</v>
      </c>
      <c r="GO97">
        <v>1</v>
      </c>
      <c r="GP97">
        <v>1</v>
      </c>
      <c r="GQ97">
        <v>0</v>
      </c>
      <c r="GR97">
        <v>0</v>
      </c>
      <c r="GS97">
        <v>0</v>
      </c>
      <c r="GT97">
        <v>0</v>
      </c>
      <c r="GU97">
        <v>1</v>
      </c>
      <c r="GV97">
        <v>0</v>
      </c>
      <c r="GW97">
        <v>0</v>
      </c>
      <c r="GX97">
        <v>0</v>
      </c>
      <c r="GY97">
        <v>0</v>
      </c>
      <c r="GZ97">
        <v>0</v>
      </c>
      <c r="HB97" t="s">
        <v>839</v>
      </c>
    </row>
    <row r="98" spans="1:211" x14ac:dyDescent="0.35">
      <c r="A98" t="s">
        <v>1486</v>
      </c>
      <c r="B98" s="151">
        <v>45153.798379629632</v>
      </c>
      <c r="C98" t="s">
        <v>1487</v>
      </c>
      <c r="D98" t="s">
        <v>1488</v>
      </c>
      <c r="E98" t="s">
        <v>875</v>
      </c>
      <c r="F98" t="s">
        <v>1489</v>
      </c>
      <c r="G98" t="s">
        <v>1489</v>
      </c>
      <c r="H98" t="s">
        <v>842</v>
      </c>
      <c r="K98" t="s">
        <v>839</v>
      </c>
      <c r="L98" t="s">
        <v>887</v>
      </c>
      <c r="O98">
        <v>58</v>
      </c>
      <c r="P98">
        <v>32</v>
      </c>
      <c r="Q98">
        <v>90</v>
      </c>
      <c r="U98" t="s">
        <v>841</v>
      </c>
      <c r="V98" t="s">
        <v>841</v>
      </c>
      <c r="W98" t="s">
        <v>841</v>
      </c>
      <c r="X98" t="s">
        <v>841</v>
      </c>
      <c r="Y98" t="s">
        <v>841</v>
      </c>
      <c r="Z98" t="s">
        <v>841</v>
      </c>
      <c r="AA98" t="s">
        <v>841</v>
      </c>
      <c r="AB98" t="s">
        <v>841</v>
      </c>
      <c r="AC98" t="s">
        <v>841</v>
      </c>
      <c r="BV98" t="s">
        <v>842</v>
      </c>
      <c r="BX98" t="s">
        <v>839</v>
      </c>
      <c r="BY98" t="s">
        <v>950</v>
      </c>
      <c r="BZ98" t="s">
        <v>839</v>
      </c>
      <c r="CA98" t="s">
        <v>839</v>
      </c>
      <c r="CC98" t="s">
        <v>839</v>
      </c>
      <c r="CD98" t="s">
        <v>855</v>
      </c>
      <c r="CG98">
        <v>2</v>
      </c>
      <c r="CH98">
        <v>1</v>
      </c>
      <c r="CI98">
        <v>1</v>
      </c>
      <c r="CJ98">
        <v>0</v>
      </c>
      <c r="CK98" t="s">
        <v>681</v>
      </c>
      <c r="CM98" t="s">
        <v>1023</v>
      </c>
      <c r="CN98">
        <v>0</v>
      </c>
      <c r="CO98">
        <v>0</v>
      </c>
      <c r="CP98">
        <v>0</v>
      </c>
      <c r="CQ98">
        <v>1</v>
      </c>
      <c r="CR98">
        <v>0</v>
      </c>
      <c r="CS98">
        <v>0</v>
      </c>
      <c r="CU98" t="s">
        <v>1490</v>
      </c>
      <c r="CV98">
        <v>0</v>
      </c>
      <c r="CW98">
        <v>0</v>
      </c>
      <c r="CX98">
        <v>1</v>
      </c>
      <c r="CY98">
        <v>0</v>
      </c>
      <c r="CZ98">
        <v>0</v>
      </c>
      <c r="DA98">
        <v>0</v>
      </c>
      <c r="DB98">
        <v>0</v>
      </c>
      <c r="DC98">
        <v>0</v>
      </c>
      <c r="DD98">
        <v>0</v>
      </c>
      <c r="DE98">
        <v>0</v>
      </c>
      <c r="DF98">
        <v>0</v>
      </c>
      <c r="DJ98">
        <v>3</v>
      </c>
      <c r="DK98">
        <v>4</v>
      </c>
      <c r="DL98">
        <v>7</v>
      </c>
      <c r="DN98">
        <v>250</v>
      </c>
      <c r="DP98">
        <v>350</v>
      </c>
      <c r="DQ98" t="s">
        <v>1491</v>
      </c>
      <c r="DR98">
        <v>1</v>
      </c>
      <c r="DS98">
        <v>0</v>
      </c>
      <c r="DT98">
        <v>0</v>
      </c>
      <c r="DU98">
        <v>0</v>
      </c>
      <c r="DV98">
        <v>0</v>
      </c>
      <c r="DW98">
        <v>0</v>
      </c>
      <c r="DX98">
        <v>0</v>
      </c>
      <c r="DY98">
        <v>1</v>
      </c>
      <c r="DZ98">
        <v>0</v>
      </c>
      <c r="EA98" t="s">
        <v>1492</v>
      </c>
      <c r="EB98" t="s">
        <v>839</v>
      </c>
      <c r="EC98" t="s">
        <v>847</v>
      </c>
      <c r="ED98" t="s">
        <v>848</v>
      </c>
      <c r="EI98">
        <v>240</v>
      </c>
      <c r="EM98" t="s">
        <v>841</v>
      </c>
      <c r="EO98">
        <v>260</v>
      </c>
      <c r="ES98" t="s">
        <v>841</v>
      </c>
      <c r="EU98">
        <v>280</v>
      </c>
      <c r="EY98" t="s">
        <v>841</v>
      </c>
      <c r="FF98" t="s">
        <v>841</v>
      </c>
      <c r="FG98">
        <v>10</v>
      </c>
      <c r="FH98" t="s">
        <v>841</v>
      </c>
      <c r="FM98">
        <v>150</v>
      </c>
      <c r="FO98">
        <v>3</v>
      </c>
      <c r="FP98">
        <v>3</v>
      </c>
      <c r="FQ98">
        <v>6</v>
      </c>
      <c r="FS98" t="s">
        <v>839</v>
      </c>
      <c r="FT98" t="s">
        <v>842</v>
      </c>
      <c r="FU98" t="s">
        <v>842</v>
      </c>
      <c r="FV98" t="s">
        <v>839</v>
      </c>
      <c r="FW98" t="s">
        <v>839</v>
      </c>
      <c r="FX98" t="s">
        <v>890</v>
      </c>
      <c r="FY98" t="s">
        <v>842</v>
      </c>
      <c r="FZ98" t="s">
        <v>839</v>
      </c>
      <c r="GA98" t="s">
        <v>839</v>
      </c>
      <c r="GB98" t="s">
        <v>842</v>
      </c>
      <c r="GC98" t="s">
        <v>842</v>
      </c>
      <c r="GD98" t="s">
        <v>842</v>
      </c>
      <c r="GG98" t="s">
        <v>842</v>
      </c>
      <c r="GI98" t="s">
        <v>849</v>
      </c>
      <c r="GJ98">
        <v>1</v>
      </c>
      <c r="GK98">
        <v>0</v>
      </c>
      <c r="GL98">
        <v>0</v>
      </c>
      <c r="GM98">
        <v>0</v>
      </c>
      <c r="GN98">
        <v>0</v>
      </c>
      <c r="GO98">
        <v>0</v>
      </c>
      <c r="GP98">
        <v>0</v>
      </c>
      <c r="GQ98">
        <v>0</v>
      </c>
      <c r="GR98">
        <v>0</v>
      </c>
      <c r="GS98">
        <v>0</v>
      </c>
      <c r="GT98">
        <v>0</v>
      </c>
      <c r="GU98">
        <v>0</v>
      </c>
      <c r="GV98">
        <v>0</v>
      </c>
      <c r="GW98">
        <v>0</v>
      </c>
      <c r="GX98">
        <v>0</v>
      </c>
      <c r="GY98">
        <v>0</v>
      </c>
      <c r="GZ98">
        <v>0</v>
      </c>
      <c r="HB98" t="s">
        <v>839</v>
      </c>
    </row>
    <row r="99" spans="1:211" x14ac:dyDescent="0.35">
      <c r="A99" t="s">
        <v>1493</v>
      </c>
      <c r="B99" s="151">
        <v>45155.50990740741</v>
      </c>
      <c r="C99" t="s">
        <v>1494</v>
      </c>
      <c r="D99" t="s">
        <v>1495</v>
      </c>
      <c r="E99" t="s">
        <v>875</v>
      </c>
      <c r="F99" t="s">
        <v>1496</v>
      </c>
      <c r="G99" t="s">
        <v>1496</v>
      </c>
      <c r="H99" t="s">
        <v>839</v>
      </c>
      <c r="I99" t="s">
        <v>838</v>
      </c>
      <c r="K99" t="s">
        <v>839</v>
      </c>
      <c r="L99" t="s">
        <v>887</v>
      </c>
      <c r="O99">
        <v>131</v>
      </c>
      <c r="P99">
        <v>149</v>
      </c>
      <c r="Q99">
        <v>280</v>
      </c>
      <c r="S99" t="s">
        <v>841</v>
      </c>
      <c r="T99" t="s">
        <v>841</v>
      </c>
      <c r="U99" t="s">
        <v>841</v>
      </c>
      <c r="V99" t="s">
        <v>841</v>
      </c>
      <c r="W99" t="s">
        <v>841</v>
      </c>
      <c r="X99" t="s">
        <v>841</v>
      </c>
      <c r="Y99" t="s">
        <v>841</v>
      </c>
      <c r="Z99" t="s">
        <v>841</v>
      </c>
      <c r="AA99" t="s">
        <v>841</v>
      </c>
      <c r="AB99" t="s">
        <v>841</v>
      </c>
      <c r="AC99" t="s">
        <v>841</v>
      </c>
      <c r="AD99" t="s">
        <v>841</v>
      </c>
      <c r="AE99" t="s">
        <v>841</v>
      </c>
      <c r="AF99" t="s">
        <v>841</v>
      </c>
      <c r="AH99">
        <v>1</v>
      </c>
      <c r="AI99">
        <v>1</v>
      </c>
      <c r="AJ99">
        <v>1</v>
      </c>
      <c r="AK99">
        <v>1</v>
      </c>
      <c r="AL99">
        <v>1</v>
      </c>
      <c r="AM99">
        <v>1</v>
      </c>
      <c r="AN99">
        <v>1</v>
      </c>
      <c r="AO99">
        <v>1</v>
      </c>
      <c r="AP99">
        <v>1</v>
      </c>
      <c r="AQ99">
        <v>1</v>
      </c>
      <c r="AR99">
        <v>1</v>
      </c>
      <c r="AS99">
        <v>1</v>
      </c>
      <c r="AT99">
        <v>1</v>
      </c>
      <c r="AU99">
        <v>1</v>
      </c>
      <c r="AZ99" t="s">
        <v>841</v>
      </c>
      <c r="BJ99">
        <v>8</v>
      </c>
      <c r="BK99">
        <v>9</v>
      </c>
      <c r="BL99">
        <v>17</v>
      </c>
      <c r="BP99">
        <v>13</v>
      </c>
      <c r="BQ99">
        <v>15</v>
      </c>
      <c r="BR99">
        <v>28</v>
      </c>
      <c r="BV99" t="s">
        <v>839</v>
      </c>
      <c r="BW99" t="s">
        <v>758</v>
      </c>
      <c r="BX99" t="s">
        <v>839</v>
      </c>
      <c r="BY99" t="s">
        <v>759</v>
      </c>
      <c r="BZ99" t="s">
        <v>839</v>
      </c>
      <c r="CA99" t="s">
        <v>839</v>
      </c>
      <c r="CC99" t="s">
        <v>839</v>
      </c>
      <c r="CD99" t="s">
        <v>855</v>
      </c>
      <c r="CG99">
        <v>4</v>
      </c>
      <c r="CH99">
        <v>2</v>
      </c>
      <c r="CI99">
        <v>2</v>
      </c>
      <c r="CJ99">
        <v>0</v>
      </c>
      <c r="CK99" t="s">
        <v>681</v>
      </c>
      <c r="CM99" t="s">
        <v>951</v>
      </c>
      <c r="CN99">
        <v>1</v>
      </c>
      <c r="CO99">
        <v>1</v>
      </c>
      <c r="CP99">
        <v>0</v>
      </c>
      <c r="CQ99">
        <v>0</v>
      </c>
      <c r="CR99">
        <v>0</v>
      </c>
      <c r="CS99">
        <v>0</v>
      </c>
      <c r="CU99" t="s">
        <v>926</v>
      </c>
      <c r="CV99">
        <v>1</v>
      </c>
      <c r="CW99">
        <v>0</v>
      </c>
      <c r="CX99">
        <v>1</v>
      </c>
      <c r="CY99">
        <v>1</v>
      </c>
      <c r="CZ99">
        <v>0</v>
      </c>
      <c r="DA99">
        <v>0</v>
      </c>
      <c r="DB99">
        <v>0</v>
      </c>
      <c r="DC99">
        <v>0</v>
      </c>
      <c r="DD99">
        <v>1</v>
      </c>
      <c r="DE99">
        <v>1</v>
      </c>
      <c r="DF99">
        <v>0</v>
      </c>
      <c r="DJ99">
        <v>13</v>
      </c>
      <c r="DK99">
        <v>7</v>
      </c>
      <c r="DL99">
        <v>20</v>
      </c>
      <c r="DN99">
        <v>450</v>
      </c>
      <c r="DP99">
        <v>1000</v>
      </c>
      <c r="DQ99" t="s">
        <v>908</v>
      </c>
      <c r="DR99">
        <v>1</v>
      </c>
      <c r="DS99">
        <v>1</v>
      </c>
      <c r="DT99">
        <v>1</v>
      </c>
      <c r="DU99">
        <v>0</v>
      </c>
      <c r="DV99">
        <v>1</v>
      </c>
      <c r="DW99">
        <v>0</v>
      </c>
      <c r="DX99">
        <v>0</v>
      </c>
      <c r="DY99">
        <v>0</v>
      </c>
      <c r="DZ99">
        <v>0</v>
      </c>
      <c r="EB99" t="s">
        <v>839</v>
      </c>
      <c r="EC99" t="s">
        <v>869</v>
      </c>
      <c r="ED99" t="s">
        <v>928</v>
      </c>
      <c r="EI99">
        <v>300</v>
      </c>
      <c r="EM99" t="s">
        <v>841</v>
      </c>
      <c r="EO99">
        <v>300</v>
      </c>
      <c r="ES99" t="s">
        <v>841</v>
      </c>
      <c r="EU99">
        <v>500</v>
      </c>
      <c r="EY99" t="s">
        <v>841</v>
      </c>
      <c r="FA99">
        <v>5</v>
      </c>
      <c r="FB99" t="s">
        <v>841</v>
      </c>
      <c r="FG99">
        <v>5</v>
      </c>
      <c r="FH99" t="s">
        <v>841</v>
      </c>
      <c r="FM99">
        <v>450</v>
      </c>
      <c r="FO99">
        <v>6</v>
      </c>
      <c r="FP99">
        <v>8</v>
      </c>
      <c r="FQ99">
        <v>14</v>
      </c>
      <c r="FS99" t="s">
        <v>839</v>
      </c>
      <c r="FT99" t="s">
        <v>839</v>
      </c>
      <c r="FU99" t="s">
        <v>839</v>
      </c>
      <c r="FV99" t="s">
        <v>839</v>
      </c>
      <c r="FW99" t="s">
        <v>839</v>
      </c>
      <c r="FX99" t="s">
        <v>890</v>
      </c>
      <c r="FY99" t="s">
        <v>842</v>
      </c>
      <c r="FZ99" t="s">
        <v>839</v>
      </c>
      <c r="GA99" t="s">
        <v>842</v>
      </c>
      <c r="GB99" t="s">
        <v>839</v>
      </c>
      <c r="GC99" t="s">
        <v>842</v>
      </c>
      <c r="GD99" t="s">
        <v>839</v>
      </c>
      <c r="GE99" t="s">
        <v>929</v>
      </c>
      <c r="GG99" t="s">
        <v>839</v>
      </c>
      <c r="GI99" t="s">
        <v>1497</v>
      </c>
      <c r="GJ99">
        <v>0</v>
      </c>
      <c r="GK99">
        <v>1</v>
      </c>
      <c r="GL99">
        <v>0</v>
      </c>
      <c r="GM99">
        <v>1</v>
      </c>
      <c r="GN99">
        <v>0</v>
      </c>
      <c r="GO99">
        <v>1</v>
      </c>
      <c r="GP99">
        <v>0</v>
      </c>
      <c r="GQ99">
        <v>0</v>
      </c>
      <c r="GR99">
        <v>0</v>
      </c>
      <c r="GS99">
        <v>0</v>
      </c>
      <c r="GT99">
        <v>1</v>
      </c>
      <c r="GU99">
        <v>0</v>
      </c>
      <c r="GV99">
        <v>0</v>
      </c>
      <c r="GW99">
        <v>1</v>
      </c>
      <c r="GX99">
        <v>1</v>
      </c>
      <c r="GY99">
        <v>0</v>
      </c>
      <c r="GZ99">
        <v>0</v>
      </c>
      <c r="HB99" t="s">
        <v>839</v>
      </c>
    </row>
    <row r="100" spans="1:211" x14ac:dyDescent="0.35">
      <c r="A100" t="s">
        <v>1498</v>
      </c>
      <c r="B100" s="151">
        <v>45156.532326388893</v>
      </c>
      <c r="C100" t="s">
        <v>1499</v>
      </c>
      <c r="D100" t="s">
        <v>1500</v>
      </c>
      <c r="E100" t="s">
        <v>835</v>
      </c>
      <c r="F100" t="s">
        <v>1501</v>
      </c>
      <c r="G100" t="s">
        <v>1501</v>
      </c>
      <c r="H100" t="s">
        <v>839</v>
      </c>
      <c r="I100" t="s">
        <v>838</v>
      </c>
      <c r="K100" t="s">
        <v>839</v>
      </c>
      <c r="L100" t="s">
        <v>887</v>
      </c>
      <c r="O100">
        <v>57</v>
      </c>
      <c r="P100">
        <v>56</v>
      </c>
      <c r="Q100">
        <v>113</v>
      </c>
      <c r="S100" t="s">
        <v>841</v>
      </c>
      <c r="T100" t="s">
        <v>841</v>
      </c>
      <c r="U100" t="s">
        <v>841</v>
      </c>
      <c r="V100" t="s">
        <v>841</v>
      </c>
      <c r="W100" t="s">
        <v>841</v>
      </c>
      <c r="X100" t="s">
        <v>841</v>
      </c>
      <c r="Y100" t="s">
        <v>841</v>
      </c>
      <c r="Z100" t="s">
        <v>841</v>
      </c>
      <c r="AH100">
        <v>1</v>
      </c>
      <c r="AI100">
        <v>1</v>
      </c>
      <c r="AJ100">
        <v>1</v>
      </c>
      <c r="AK100">
        <v>1</v>
      </c>
      <c r="AL100">
        <v>1</v>
      </c>
      <c r="AM100">
        <v>1</v>
      </c>
      <c r="AN100">
        <v>1</v>
      </c>
      <c r="AO100">
        <v>1</v>
      </c>
      <c r="AZ100" t="s">
        <v>841</v>
      </c>
      <c r="BJ100">
        <v>0</v>
      </c>
      <c r="BK100">
        <v>0</v>
      </c>
      <c r="BL100">
        <v>0</v>
      </c>
      <c r="BM100" t="s">
        <v>841</v>
      </c>
      <c r="BP100">
        <v>0</v>
      </c>
      <c r="BQ100">
        <v>0</v>
      </c>
      <c r="BR100">
        <v>0</v>
      </c>
      <c r="BS100" t="s">
        <v>841</v>
      </c>
      <c r="BV100" t="s">
        <v>842</v>
      </c>
      <c r="BX100" t="s">
        <v>839</v>
      </c>
      <c r="BY100" t="s">
        <v>759</v>
      </c>
      <c r="BZ100" t="s">
        <v>839</v>
      </c>
      <c r="CA100" t="s">
        <v>839</v>
      </c>
      <c r="CC100" t="s">
        <v>839</v>
      </c>
      <c r="CD100" t="s">
        <v>1502</v>
      </c>
      <c r="CG100">
        <v>1</v>
      </c>
      <c r="CH100">
        <v>0</v>
      </c>
      <c r="CI100">
        <v>0</v>
      </c>
      <c r="CJ100">
        <v>1</v>
      </c>
      <c r="CK100" t="s">
        <v>681</v>
      </c>
      <c r="CM100" t="s">
        <v>1023</v>
      </c>
      <c r="CN100">
        <v>0</v>
      </c>
      <c r="CO100">
        <v>0</v>
      </c>
      <c r="CP100">
        <v>0</v>
      </c>
      <c r="CQ100">
        <v>1</v>
      </c>
      <c r="CR100">
        <v>0</v>
      </c>
      <c r="CS100">
        <v>0</v>
      </c>
      <c r="CU100" t="s">
        <v>868</v>
      </c>
      <c r="CV100">
        <v>1</v>
      </c>
      <c r="CW100">
        <v>0</v>
      </c>
      <c r="CX100">
        <v>1</v>
      </c>
      <c r="CY100">
        <v>0</v>
      </c>
      <c r="CZ100">
        <v>0</v>
      </c>
      <c r="DA100">
        <v>0</v>
      </c>
      <c r="DB100">
        <v>0</v>
      </c>
      <c r="DC100">
        <v>0</v>
      </c>
      <c r="DD100">
        <v>1</v>
      </c>
      <c r="DE100">
        <v>1</v>
      </c>
      <c r="DF100">
        <v>0</v>
      </c>
      <c r="DJ100">
        <v>1</v>
      </c>
      <c r="DK100">
        <v>8</v>
      </c>
      <c r="DL100">
        <v>9</v>
      </c>
      <c r="DN100">
        <v>300</v>
      </c>
      <c r="DP100">
        <v>700</v>
      </c>
      <c r="DQ100" t="s">
        <v>846</v>
      </c>
      <c r="DR100">
        <v>1</v>
      </c>
      <c r="DS100">
        <v>0</v>
      </c>
      <c r="DT100">
        <v>1</v>
      </c>
      <c r="DU100">
        <v>0</v>
      </c>
      <c r="DV100">
        <v>0</v>
      </c>
      <c r="DW100">
        <v>1</v>
      </c>
      <c r="DX100">
        <v>0</v>
      </c>
      <c r="DY100">
        <v>0</v>
      </c>
      <c r="DZ100">
        <v>0</v>
      </c>
      <c r="EB100" t="s">
        <v>839</v>
      </c>
      <c r="EC100" t="s">
        <v>847</v>
      </c>
      <c r="ED100" t="s">
        <v>848</v>
      </c>
      <c r="EI100" s="157">
        <v>150</v>
      </c>
      <c r="EJ100" s="157"/>
      <c r="EK100" s="157"/>
      <c r="EL100" s="157"/>
      <c r="EM100" s="157" t="s">
        <v>841</v>
      </c>
      <c r="EN100" s="157"/>
      <c r="EO100" s="157">
        <v>150</v>
      </c>
      <c r="EP100" s="157"/>
      <c r="EQ100" s="157"/>
      <c r="ER100" s="157"/>
      <c r="ES100" s="157" t="s">
        <v>841</v>
      </c>
      <c r="ET100" s="157"/>
      <c r="EU100" s="157">
        <v>150</v>
      </c>
      <c r="EV100" s="157"/>
      <c r="EW100" s="157"/>
      <c r="EX100" s="157"/>
      <c r="EY100" s="157" t="s">
        <v>841</v>
      </c>
      <c r="EZ100" s="157"/>
      <c r="FA100" s="157">
        <v>4</v>
      </c>
      <c r="FB100" s="157" t="s">
        <v>841</v>
      </c>
      <c r="FC100" s="157"/>
      <c r="FD100" s="157"/>
      <c r="FE100" s="157"/>
      <c r="FF100" s="157"/>
      <c r="FG100" s="157">
        <v>2</v>
      </c>
      <c r="FH100" s="157" t="s">
        <v>841</v>
      </c>
      <c r="FI100" s="157"/>
      <c r="FJ100" s="157"/>
      <c r="FK100" s="157"/>
      <c r="FL100" s="157"/>
      <c r="FM100">
        <v>663</v>
      </c>
      <c r="FO100">
        <v>2</v>
      </c>
      <c r="FP100">
        <v>2</v>
      </c>
      <c r="FQ100">
        <v>4</v>
      </c>
      <c r="FS100" t="s">
        <v>839</v>
      </c>
      <c r="FT100" t="s">
        <v>842</v>
      </c>
      <c r="FU100" t="s">
        <v>839</v>
      </c>
      <c r="FV100" t="s">
        <v>839</v>
      </c>
      <c r="FW100" t="s">
        <v>839</v>
      </c>
      <c r="FX100" t="s">
        <v>910</v>
      </c>
      <c r="FY100" t="s">
        <v>839</v>
      </c>
      <c r="FZ100" t="s">
        <v>839</v>
      </c>
      <c r="GA100" t="s">
        <v>839</v>
      </c>
      <c r="GB100" t="s">
        <v>842</v>
      </c>
      <c r="GC100" t="s">
        <v>842</v>
      </c>
      <c r="GD100" t="s">
        <v>842</v>
      </c>
      <c r="GG100" t="s">
        <v>668</v>
      </c>
      <c r="GI100" t="s">
        <v>1503</v>
      </c>
      <c r="GJ100">
        <v>0</v>
      </c>
      <c r="GK100">
        <v>0</v>
      </c>
      <c r="GL100">
        <v>0</v>
      </c>
      <c r="GM100">
        <v>0</v>
      </c>
      <c r="GN100">
        <v>0</v>
      </c>
      <c r="GO100">
        <v>0</v>
      </c>
      <c r="GP100">
        <v>0</v>
      </c>
      <c r="GQ100">
        <v>0</v>
      </c>
      <c r="GR100">
        <v>0</v>
      </c>
      <c r="GS100">
        <v>1</v>
      </c>
      <c r="GT100">
        <v>0</v>
      </c>
      <c r="GU100">
        <v>0</v>
      </c>
      <c r="GV100">
        <v>0</v>
      </c>
      <c r="GW100">
        <v>0</v>
      </c>
      <c r="GX100">
        <v>0</v>
      </c>
      <c r="GY100">
        <v>0</v>
      </c>
      <c r="GZ100">
        <v>0</v>
      </c>
      <c r="HB100" t="s">
        <v>839</v>
      </c>
    </row>
    <row r="101" spans="1:211" x14ac:dyDescent="0.35">
      <c r="A101" t="s">
        <v>1504</v>
      </c>
      <c r="B101" s="151">
        <v>45160.540682870371</v>
      </c>
      <c r="C101" t="s">
        <v>1505</v>
      </c>
      <c r="D101" t="s">
        <v>1506</v>
      </c>
      <c r="E101" t="s">
        <v>875</v>
      </c>
      <c r="F101" t="s">
        <v>1507</v>
      </c>
      <c r="G101" t="s">
        <v>1507</v>
      </c>
      <c r="H101" t="s">
        <v>837</v>
      </c>
      <c r="I101" t="s">
        <v>838</v>
      </c>
      <c r="K101" t="s">
        <v>839</v>
      </c>
      <c r="L101" t="s">
        <v>887</v>
      </c>
      <c r="O101">
        <v>183</v>
      </c>
      <c r="P101">
        <v>172</v>
      </c>
      <c r="Q101">
        <v>355</v>
      </c>
      <c r="T101" t="s">
        <v>841</v>
      </c>
      <c r="U101" t="s">
        <v>841</v>
      </c>
      <c r="V101" t="s">
        <v>841</v>
      </c>
      <c r="W101" t="s">
        <v>841</v>
      </c>
      <c r="X101" t="s">
        <v>841</v>
      </c>
      <c r="Y101" t="s">
        <v>841</v>
      </c>
      <c r="Z101" t="s">
        <v>841</v>
      </c>
      <c r="AA101" t="s">
        <v>841</v>
      </c>
      <c r="AB101" t="s">
        <v>841</v>
      </c>
      <c r="AC101" t="s">
        <v>841</v>
      </c>
      <c r="AD101" t="s">
        <v>841</v>
      </c>
      <c r="AE101" t="s">
        <v>841</v>
      </c>
      <c r="AF101" t="s">
        <v>841</v>
      </c>
      <c r="AI101">
        <v>1</v>
      </c>
      <c r="AJ101">
        <v>1</v>
      </c>
      <c r="AK101">
        <v>1</v>
      </c>
      <c r="AL101">
        <v>1</v>
      </c>
      <c r="AM101">
        <v>1</v>
      </c>
      <c r="AN101">
        <v>1</v>
      </c>
      <c r="AO101">
        <v>1</v>
      </c>
      <c r="AP101">
        <v>1</v>
      </c>
      <c r="AQ101">
        <v>1</v>
      </c>
      <c r="AR101">
        <v>1</v>
      </c>
      <c r="AS101">
        <v>1</v>
      </c>
      <c r="AT101">
        <v>1</v>
      </c>
      <c r="AU101">
        <v>1</v>
      </c>
      <c r="AW101">
        <v>5</v>
      </c>
      <c r="AX101">
        <v>4</v>
      </c>
      <c r="AY101">
        <v>9</v>
      </c>
      <c r="BF101">
        <v>2</v>
      </c>
      <c r="BG101">
        <v>0</v>
      </c>
      <c r="BH101">
        <v>2</v>
      </c>
      <c r="BJ101">
        <v>8</v>
      </c>
      <c r="BK101">
        <v>7</v>
      </c>
      <c r="BL101">
        <v>15</v>
      </c>
      <c r="BP101">
        <v>7</v>
      </c>
      <c r="BQ101">
        <v>2</v>
      </c>
      <c r="BR101">
        <v>9</v>
      </c>
      <c r="BV101" t="s">
        <v>839</v>
      </c>
      <c r="BW101" t="s">
        <v>759</v>
      </c>
      <c r="BX101" t="s">
        <v>839</v>
      </c>
      <c r="BY101" t="s">
        <v>759</v>
      </c>
      <c r="BZ101" t="s">
        <v>839</v>
      </c>
      <c r="CA101" t="s">
        <v>839</v>
      </c>
      <c r="CC101" t="s">
        <v>839</v>
      </c>
      <c r="CD101" t="s">
        <v>916</v>
      </c>
      <c r="CG101">
        <v>4</v>
      </c>
      <c r="CH101">
        <v>2</v>
      </c>
      <c r="CI101">
        <v>2</v>
      </c>
      <c r="CJ101">
        <v>0</v>
      </c>
      <c r="CK101" t="s">
        <v>877</v>
      </c>
      <c r="CM101" t="s">
        <v>917</v>
      </c>
      <c r="CN101">
        <v>0</v>
      </c>
      <c r="CO101">
        <v>0</v>
      </c>
      <c r="CP101">
        <v>1</v>
      </c>
      <c r="CQ101">
        <v>0</v>
      </c>
      <c r="CR101">
        <v>0</v>
      </c>
      <c r="CS101">
        <v>0</v>
      </c>
      <c r="CU101" t="s">
        <v>1508</v>
      </c>
      <c r="CV101">
        <v>0</v>
      </c>
      <c r="CW101">
        <v>0</v>
      </c>
      <c r="CX101">
        <v>0</v>
      </c>
      <c r="CY101">
        <v>0</v>
      </c>
      <c r="CZ101">
        <v>0</v>
      </c>
      <c r="DA101">
        <v>0</v>
      </c>
      <c r="DB101">
        <v>0</v>
      </c>
      <c r="DC101">
        <v>0</v>
      </c>
      <c r="DD101">
        <v>0</v>
      </c>
      <c r="DE101">
        <v>1</v>
      </c>
      <c r="DF101">
        <v>0</v>
      </c>
      <c r="DJ101">
        <v>8</v>
      </c>
      <c r="DK101">
        <v>5</v>
      </c>
      <c r="DL101">
        <v>13</v>
      </c>
      <c r="DN101">
        <v>310</v>
      </c>
      <c r="DP101">
        <v>400</v>
      </c>
      <c r="DQ101" t="s">
        <v>1509</v>
      </c>
      <c r="DR101">
        <v>1</v>
      </c>
      <c r="DS101">
        <v>0</v>
      </c>
      <c r="DT101">
        <v>1</v>
      </c>
      <c r="DU101">
        <v>0</v>
      </c>
      <c r="DV101">
        <v>0</v>
      </c>
      <c r="DW101">
        <v>1</v>
      </c>
      <c r="DX101">
        <v>1</v>
      </c>
      <c r="DY101">
        <v>0</v>
      </c>
      <c r="DZ101">
        <v>0</v>
      </c>
      <c r="EB101" t="s">
        <v>842</v>
      </c>
      <c r="EC101" t="s">
        <v>909</v>
      </c>
      <c r="ED101" t="s">
        <v>848</v>
      </c>
      <c r="EI101">
        <v>10</v>
      </c>
      <c r="EJ101" t="s">
        <v>841</v>
      </c>
      <c r="EO101">
        <v>10</v>
      </c>
      <c r="EP101" t="s">
        <v>841</v>
      </c>
      <c r="EU101">
        <v>10</v>
      </c>
      <c r="EV101" t="s">
        <v>841</v>
      </c>
      <c r="FA101">
        <v>10</v>
      </c>
      <c r="FB101" t="s">
        <v>841</v>
      </c>
      <c r="FG101">
        <v>5</v>
      </c>
      <c r="FH101" t="s">
        <v>841</v>
      </c>
      <c r="FM101">
        <v>4000</v>
      </c>
      <c r="FO101">
        <v>5</v>
      </c>
      <c r="FP101">
        <v>6</v>
      </c>
      <c r="FQ101">
        <v>11</v>
      </c>
      <c r="FS101" t="s">
        <v>839</v>
      </c>
      <c r="FT101" t="s">
        <v>839</v>
      </c>
      <c r="FU101" t="s">
        <v>839</v>
      </c>
      <c r="FV101" t="s">
        <v>842</v>
      </c>
      <c r="FW101" t="s">
        <v>839</v>
      </c>
      <c r="FX101" t="s">
        <v>880</v>
      </c>
      <c r="FY101" t="s">
        <v>839</v>
      </c>
      <c r="FZ101" t="s">
        <v>839</v>
      </c>
      <c r="GA101" t="s">
        <v>839</v>
      </c>
      <c r="GB101" t="s">
        <v>839</v>
      </c>
      <c r="GC101" t="s">
        <v>839</v>
      </c>
      <c r="GD101" t="s">
        <v>839</v>
      </c>
      <c r="GE101" t="s">
        <v>881</v>
      </c>
      <c r="GG101" t="s">
        <v>842</v>
      </c>
      <c r="GI101" t="s">
        <v>870</v>
      </c>
      <c r="GJ101">
        <v>1</v>
      </c>
      <c r="GK101">
        <v>0</v>
      </c>
      <c r="GL101">
        <v>1</v>
      </c>
      <c r="GM101">
        <v>0</v>
      </c>
      <c r="GN101">
        <v>0</v>
      </c>
      <c r="GO101">
        <v>0</v>
      </c>
      <c r="GP101">
        <v>0</v>
      </c>
      <c r="GQ101">
        <v>0</v>
      </c>
      <c r="GR101">
        <v>0</v>
      </c>
      <c r="GS101">
        <v>0</v>
      </c>
      <c r="GT101">
        <v>0</v>
      </c>
      <c r="GU101">
        <v>0</v>
      </c>
      <c r="GV101">
        <v>0</v>
      </c>
      <c r="GW101">
        <v>0</v>
      </c>
      <c r="GX101">
        <v>0</v>
      </c>
      <c r="GY101">
        <v>0</v>
      </c>
      <c r="GZ101">
        <v>0</v>
      </c>
      <c r="HB101" t="s">
        <v>839</v>
      </c>
    </row>
    <row r="102" spans="1:211" x14ac:dyDescent="0.35">
      <c r="A102" t="s">
        <v>1510</v>
      </c>
      <c r="B102" s="151">
        <v>45161.419988425929</v>
      </c>
      <c r="C102" t="s">
        <v>1511</v>
      </c>
      <c r="D102" t="s">
        <v>1512</v>
      </c>
      <c r="E102" t="s">
        <v>835</v>
      </c>
      <c r="F102" t="s">
        <v>1513</v>
      </c>
      <c r="G102" t="s">
        <v>1514</v>
      </c>
      <c r="H102" t="s">
        <v>839</v>
      </c>
      <c r="I102" t="s">
        <v>838</v>
      </c>
      <c r="K102" t="s">
        <v>839</v>
      </c>
      <c r="L102" t="s">
        <v>887</v>
      </c>
      <c r="O102">
        <v>100</v>
      </c>
      <c r="P102">
        <v>180</v>
      </c>
      <c r="Q102">
        <v>280</v>
      </c>
      <c r="S102" t="s">
        <v>841</v>
      </c>
      <c r="T102" t="s">
        <v>841</v>
      </c>
      <c r="U102" t="s">
        <v>841</v>
      </c>
      <c r="V102" t="s">
        <v>841</v>
      </c>
      <c r="W102" t="s">
        <v>841</v>
      </c>
      <c r="X102" t="s">
        <v>841</v>
      </c>
      <c r="Y102" t="s">
        <v>841</v>
      </c>
      <c r="Z102" t="s">
        <v>841</v>
      </c>
      <c r="AA102" t="s">
        <v>841</v>
      </c>
      <c r="AH102">
        <v>1</v>
      </c>
      <c r="AI102">
        <v>1</v>
      </c>
      <c r="AJ102">
        <v>2</v>
      </c>
      <c r="AK102">
        <v>1</v>
      </c>
      <c r="AL102">
        <v>1</v>
      </c>
      <c r="AM102">
        <v>1</v>
      </c>
      <c r="AN102">
        <v>1</v>
      </c>
      <c r="AO102">
        <v>1</v>
      </c>
      <c r="AP102">
        <v>1</v>
      </c>
      <c r="AZ102" t="s">
        <v>841</v>
      </c>
      <c r="BV102" t="s">
        <v>839</v>
      </c>
      <c r="BW102" t="s">
        <v>758</v>
      </c>
      <c r="BX102" t="s">
        <v>842</v>
      </c>
      <c r="BZ102" t="s">
        <v>842</v>
      </c>
      <c r="CA102" t="s">
        <v>839</v>
      </c>
      <c r="CC102" t="s">
        <v>839</v>
      </c>
      <c r="CD102" t="s">
        <v>855</v>
      </c>
      <c r="CG102">
        <v>3</v>
      </c>
      <c r="CH102">
        <v>0</v>
      </c>
      <c r="CI102">
        <v>0</v>
      </c>
      <c r="CJ102">
        <v>3</v>
      </c>
      <c r="CK102" t="s">
        <v>866</v>
      </c>
      <c r="CM102" t="s">
        <v>844</v>
      </c>
      <c r="CN102">
        <v>1</v>
      </c>
      <c r="CO102">
        <v>0</v>
      </c>
      <c r="CP102">
        <v>0</v>
      </c>
      <c r="CQ102">
        <v>0</v>
      </c>
      <c r="CR102">
        <v>0</v>
      </c>
      <c r="CS102">
        <v>0</v>
      </c>
      <c r="CU102" t="s">
        <v>987</v>
      </c>
      <c r="CV102">
        <v>1</v>
      </c>
      <c r="CW102">
        <v>0</v>
      </c>
      <c r="CX102">
        <v>1</v>
      </c>
      <c r="CY102">
        <v>0</v>
      </c>
      <c r="CZ102">
        <v>0</v>
      </c>
      <c r="DA102">
        <v>0</v>
      </c>
      <c r="DB102">
        <v>0</v>
      </c>
      <c r="DC102">
        <v>0</v>
      </c>
      <c r="DD102">
        <v>0</v>
      </c>
      <c r="DE102">
        <v>0</v>
      </c>
      <c r="DF102">
        <v>0</v>
      </c>
      <c r="DJ102">
        <v>1</v>
      </c>
      <c r="DK102">
        <v>11</v>
      </c>
      <c r="DL102">
        <v>12</v>
      </c>
      <c r="DN102">
        <v>300</v>
      </c>
      <c r="DP102">
        <v>600</v>
      </c>
      <c r="DQ102" t="s">
        <v>899</v>
      </c>
      <c r="DR102">
        <v>1</v>
      </c>
      <c r="DS102">
        <v>1</v>
      </c>
      <c r="DT102">
        <v>1</v>
      </c>
      <c r="DU102">
        <v>0</v>
      </c>
      <c r="DV102">
        <v>1</v>
      </c>
      <c r="DW102">
        <v>1</v>
      </c>
      <c r="DX102">
        <v>0</v>
      </c>
      <c r="DY102">
        <v>0</v>
      </c>
      <c r="DZ102">
        <v>0</v>
      </c>
      <c r="EB102" t="s">
        <v>842</v>
      </c>
      <c r="EC102" t="s">
        <v>847</v>
      </c>
      <c r="ED102" t="s">
        <v>848</v>
      </c>
      <c r="EI102">
        <v>150</v>
      </c>
      <c r="EM102" t="s">
        <v>841</v>
      </c>
      <c r="ES102" t="s">
        <v>841</v>
      </c>
      <c r="FA102">
        <v>6</v>
      </c>
      <c r="FB102" t="s">
        <v>841</v>
      </c>
      <c r="FG102">
        <v>3</v>
      </c>
      <c r="FH102" t="s">
        <v>841</v>
      </c>
      <c r="FM102">
        <v>450</v>
      </c>
      <c r="FO102">
        <v>2</v>
      </c>
      <c r="FP102">
        <v>2</v>
      </c>
      <c r="FQ102">
        <v>4</v>
      </c>
      <c r="FS102" t="s">
        <v>842</v>
      </c>
      <c r="FT102" t="s">
        <v>842</v>
      </c>
      <c r="FU102" t="s">
        <v>842</v>
      </c>
      <c r="FV102" t="s">
        <v>839</v>
      </c>
      <c r="FW102" t="s">
        <v>839</v>
      </c>
      <c r="FX102" t="s">
        <v>890</v>
      </c>
      <c r="FY102" t="s">
        <v>839</v>
      </c>
      <c r="FZ102" t="s">
        <v>839</v>
      </c>
      <c r="GA102" t="s">
        <v>839</v>
      </c>
      <c r="GB102" t="s">
        <v>839</v>
      </c>
      <c r="GC102" t="s">
        <v>839</v>
      </c>
      <c r="GD102" t="s">
        <v>842</v>
      </c>
      <c r="GG102" t="s">
        <v>839</v>
      </c>
      <c r="GI102" t="s">
        <v>1515</v>
      </c>
      <c r="GJ102">
        <v>1</v>
      </c>
      <c r="GK102">
        <v>1</v>
      </c>
      <c r="GL102">
        <v>1</v>
      </c>
      <c r="GM102">
        <v>1</v>
      </c>
      <c r="GN102">
        <v>1</v>
      </c>
      <c r="GO102">
        <v>1</v>
      </c>
      <c r="GP102">
        <v>1</v>
      </c>
      <c r="GQ102">
        <v>0</v>
      </c>
      <c r="GR102">
        <v>1</v>
      </c>
      <c r="GS102">
        <v>1</v>
      </c>
      <c r="GT102">
        <v>1</v>
      </c>
      <c r="GU102">
        <v>1</v>
      </c>
      <c r="GV102">
        <v>1</v>
      </c>
      <c r="GW102">
        <v>1</v>
      </c>
      <c r="GX102">
        <v>1</v>
      </c>
      <c r="GY102">
        <v>0</v>
      </c>
      <c r="GZ102">
        <v>0</v>
      </c>
      <c r="HB102" t="s">
        <v>839</v>
      </c>
    </row>
    <row r="103" spans="1:211" x14ac:dyDescent="0.35">
      <c r="A103" t="s">
        <v>1516</v>
      </c>
      <c r="B103" s="151">
        <v>45161.449143518519</v>
      </c>
      <c r="C103" t="s">
        <v>1517</v>
      </c>
      <c r="D103" t="s">
        <v>1518</v>
      </c>
      <c r="E103" t="s">
        <v>875</v>
      </c>
      <c r="F103" t="s">
        <v>1519</v>
      </c>
      <c r="G103" t="s">
        <v>1520</v>
      </c>
      <c r="H103" t="s">
        <v>842</v>
      </c>
      <c r="K103" t="s">
        <v>839</v>
      </c>
      <c r="L103" t="s">
        <v>887</v>
      </c>
      <c r="O103">
        <v>178</v>
      </c>
      <c r="P103">
        <v>135</v>
      </c>
      <c r="Q103">
        <v>313</v>
      </c>
      <c r="U103" t="s">
        <v>841</v>
      </c>
      <c r="V103" t="s">
        <v>841</v>
      </c>
      <c r="W103" t="s">
        <v>841</v>
      </c>
      <c r="X103" t="s">
        <v>841</v>
      </c>
      <c r="Y103" t="s">
        <v>841</v>
      </c>
      <c r="Z103" t="s">
        <v>841</v>
      </c>
      <c r="AA103" t="s">
        <v>841</v>
      </c>
      <c r="AB103" t="s">
        <v>841</v>
      </c>
      <c r="AC103" t="s">
        <v>841</v>
      </c>
      <c r="AD103" t="s">
        <v>841</v>
      </c>
      <c r="AE103" t="s">
        <v>841</v>
      </c>
      <c r="AF103" t="s">
        <v>841</v>
      </c>
      <c r="AH103">
        <v>0</v>
      </c>
      <c r="AI103">
        <v>0</v>
      </c>
      <c r="AJ103">
        <v>1</v>
      </c>
      <c r="AK103">
        <v>1</v>
      </c>
      <c r="AL103">
        <v>1</v>
      </c>
      <c r="AM103">
        <v>1</v>
      </c>
      <c r="AN103">
        <v>1</v>
      </c>
      <c r="AO103">
        <v>1</v>
      </c>
      <c r="AP103">
        <v>1</v>
      </c>
      <c r="AQ103">
        <v>1</v>
      </c>
      <c r="AR103">
        <v>1</v>
      </c>
      <c r="AS103">
        <v>1</v>
      </c>
      <c r="AT103">
        <v>1</v>
      </c>
      <c r="AU103">
        <v>1</v>
      </c>
      <c r="AW103">
        <v>10</v>
      </c>
      <c r="AX103">
        <v>8</v>
      </c>
      <c r="AY103">
        <v>18</v>
      </c>
      <c r="BB103">
        <v>1</v>
      </c>
      <c r="BC103">
        <v>0</v>
      </c>
      <c r="BD103">
        <v>1</v>
      </c>
      <c r="BF103">
        <v>15</v>
      </c>
      <c r="BG103">
        <v>2</v>
      </c>
      <c r="BH103">
        <v>17</v>
      </c>
      <c r="BJ103">
        <v>7</v>
      </c>
      <c r="BK103">
        <v>4</v>
      </c>
      <c r="BL103">
        <v>11</v>
      </c>
      <c r="BP103">
        <v>15</v>
      </c>
      <c r="BQ103">
        <v>3</v>
      </c>
      <c r="BR103">
        <v>18</v>
      </c>
      <c r="BV103" t="s">
        <v>842</v>
      </c>
      <c r="BX103" t="s">
        <v>839</v>
      </c>
      <c r="BY103" t="s">
        <v>758</v>
      </c>
      <c r="BZ103" t="s">
        <v>839</v>
      </c>
      <c r="CA103" t="s">
        <v>842</v>
      </c>
      <c r="CC103" t="s">
        <v>839</v>
      </c>
      <c r="CD103" t="s">
        <v>1022</v>
      </c>
      <c r="CG103">
        <v>3</v>
      </c>
      <c r="CH103">
        <v>1</v>
      </c>
      <c r="CI103">
        <v>1</v>
      </c>
      <c r="CJ103">
        <v>1</v>
      </c>
      <c r="CK103" t="s">
        <v>681</v>
      </c>
      <c r="CM103" t="s">
        <v>917</v>
      </c>
      <c r="CN103">
        <v>0</v>
      </c>
      <c r="CO103">
        <v>0</v>
      </c>
      <c r="CP103">
        <v>1</v>
      </c>
      <c r="CQ103">
        <v>0</v>
      </c>
      <c r="CR103">
        <v>0</v>
      </c>
      <c r="CS103">
        <v>0</v>
      </c>
      <c r="CU103" t="s">
        <v>898</v>
      </c>
      <c r="CV103">
        <v>1</v>
      </c>
      <c r="CW103">
        <v>0</v>
      </c>
      <c r="CX103">
        <v>1</v>
      </c>
      <c r="CY103">
        <v>1</v>
      </c>
      <c r="CZ103">
        <v>0</v>
      </c>
      <c r="DA103">
        <v>0</v>
      </c>
      <c r="DB103">
        <v>0</v>
      </c>
      <c r="DC103">
        <v>0</v>
      </c>
      <c r="DD103">
        <v>0</v>
      </c>
      <c r="DE103">
        <v>1</v>
      </c>
      <c r="DF103">
        <v>0</v>
      </c>
      <c r="DJ103">
        <v>7</v>
      </c>
      <c r="DK103">
        <v>7</v>
      </c>
      <c r="DL103">
        <v>14</v>
      </c>
      <c r="DN103">
        <v>300</v>
      </c>
      <c r="DP103">
        <v>1000</v>
      </c>
      <c r="DQ103" t="s">
        <v>1389</v>
      </c>
      <c r="DR103">
        <v>0</v>
      </c>
      <c r="DS103">
        <v>1</v>
      </c>
      <c r="DT103">
        <v>1</v>
      </c>
      <c r="DU103">
        <v>0</v>
      </c>
      <c r="DV103">
        <v>1</v>
      </c>
      <c r="DW103">
        <v>1</v>
      </c>
      <c r="DX103">
        <v>1</v>
      </c>
      <c r="DY103">
        <v>0</v>
      </c>
      <c r="DZ103">
        <v>0</v>
      </c>
      <c r="EB103" t="s">
        <v>839</v>
      </c>
      <c r="EC103" t="s">
        <v>847</v>
      </c>
      <c r="ED103" t="s">
        <v>848</v>
      </c>
      <c r="EI103">
        <v>450</v>
      </c>
      <c r="EM103" t="s">
        <v>841</v>
      </c>
      <c r="EO103">
        <v>450</v>
      </c>
      <c r="ES103" t="s">
        <v>841</v>
      </c>
      <c r="EU103">
        <v>500</v>
      </c>
      <c r="EY103" t="s">
        <v>841</v>
      </c>
      <c r="FA103">
        <v>300</v>
      </c>
      <c r="FE103" t="s">
        <v>841</v>
      </c>
      <c r="FG103">
        <v>300</v>
      </c>
      <c r="FK103" t="s">
        <v>841</v>
      </c>
      <c r="FM103">
        <v>25</v>
      </c>
      <c r="FO103">
        <v>6</v>
      </c>
      <c r="FP103">
        <v>4</v>
      </c>
      <c r="FQ103">
        <v>10</v>
      </c>
      <c r="FS103" t="s">
        <v>842</v>
      </c>
      <c r="FT103" t="s">
        <v>842</v>
      </c>
      <c r="FU103" t="s">
        <v>839</v>
      </c>
      <c r="FV103" t="s">
        <v>839</v>
      </c>
      <c r="FW103" t="s">
        <v>682</v>
      </c>
      <c r="FY103" t="s">
        <v>842</v>
      </c>
      <c r="FZ103" t="s">
        <v>839</v>
      </c>
      <c r="GA103" t="s">
        <v>839</v>
      </c>
      <c r="GB103" t="s">
        <v>839</v>
      </c>
      <c r="GC103" t="s">
        <v>842</v>
      </c>
      <c r="GD103" t="s">
        <v>842</v>
      </c>
      <c r="GG103" t="s">
        <v>842</v>
      </c>
      <c r="GI103" t="s">
        <v>1521</v>
      </c>
      <c r="GJ103">
        <v>1</v>
      </c>
      <c r="GK103">
        <v>1</v>
      </c>
      <c r="GL103">
        <v>1</v>
      </c>
      <c r="GM103">
        <v>0</v>
      </c>
      <c r="GN103">
        <v>1</v>
      </c>
      <c r="GO103">
        <v>1</v>
      </c>
      <c r="GP103">
        <v>0</v>
      </c>
      <c r="GQ103">
        <v>0</v>
      </c>
      <c r="GR103">
        <v>0</v>
      </c>
      <c r="GS103">
        <v>0</v>
      </c>
      <c r="GT103">
        <v>0</v>
      </c>
      <c r="GU103">
        <v>0</v>
      </c>
      <c r="GV103">
        <v>1</v>
      </c>
      <c r="GW103">
        <v>0</v>
      </c>
      <c r="GX103">
        <v>0</v>
      </c>
      <c r="GY103">
        <v>0</v>
      </c>
      <c r="GZ103">
        <v>0</v>
      </c>
      <c r="HB103" t="s">
        <v>839</v>
      </c>
    </row>
    <row r="104" spans="1:211" x14ac:dyDescent="0.35">
      <c r="A104" t="s">
        <v>1522</v>
      </c>
      <c r="B104" s="151">
        <v>45161.451354166667</v>
      </c>
      <c r="C104" t="s">
        <v>1523</v>
      </c>
      <c r="D104" t="s">
        <v>1524</v>
      </c>
      <c r="E104" t="s">
        <v>875</v>
      </c>
      <c r="F104" t="s">
        <v>1525</v>
      </c>
      <c r="G104" t="s">
        <v>1526</v>
      </c>
      <c r="H104" t="s">
        <v>839</v>
      </c>
      <c r="I104" t="s">
        <v>896</v>
      </c>
      <c r="K104" t="s">
        <v>839</v>
      </c>
      <c r="L104" t="s">
        <v>887</v>
      </c>
      <c r="O104">
        <v>281</v>
      </c>
      <c r="P104">
        <v>271</v>
      </c>
      <c r="Q104">
        <v>524</v>
      </c>
      <c r="S104" t="s">
        <v>841</v>
      </c>
      <c r="T104" t="s">
        <v>841</v>
      </c>
      <c r="U104" t="s">
        <v>841</v>
      </c>
      <c r="V104" t="s">
        <v>841</v>
      </c>
      <c r="W104" t="s">
        <v>841</v>
      </c>
      <c r="X104" t="s">
        <v>841</v>
      </c>
      <c r="Y104" t="s">
        <v>841</v>
      </c>
      <c r="Z104" t="s">
        <v>841</v>
      </c>
      <c r="AA104" t="s">
        <v>841</v>
      </c>
      <c r="AB104" t="s">
        <v>841</v>
      </c>
      <c r="AC104" t="s">
        <v>841</v>
      </c>
      <c r="AD104" t="s">
        <v>841</v>
      </c>
      <c r="AE104" t="s">
        <v>841</v>
      </c>
      <c r="AF104" t="s">
        <v>841</v>
      </c>
      <c r="AH104">
        <v>2</v>
      </c>
      <c r="AI104">
        <v>1</v>
      </c>
      <c r="AJ104">
        <v>1</v>
      </c>
      <c r="AK104">
        <v>1</v>
      </c>
      <c r="AL104">
        <v>1</v>
      </c>
      <c r="AM104">
        <v>1</v>
      </c>
      <c r="AN104">
        <v>1</v>
      </c>
      <c r="AO104">
        <v>1</v>
      </c>
      <c r="AP104">
        <v>1</v>
      </c>
      <c r="AQ104">
        <v>1</v>
      </c>
      <c r="AR104">
        <v>1</v>
      </c>
      <c r="AS104">
        <v>1</v>
      </c>
      <c r="AT104">
        <v>1</v>
      </c>
      <c r="AU104">
        <v>1</v>
      </c>
      <c r="AW104">
        <v>21</v>
      </c>
      <c r="AX104">
        <v>19</v>
      </c>
      <c r="AY104">
        <v>40</v>
      </c>
      <c r="BB104">
        <v>18</v>
      </c>
      <c r="BC104">
        <v>15</v>
      </c>
      <c r="BD104">
        <v>33</v>
      </c>
      <c r="BF104">
        <v>3</v>
      </c>
      <c r="BG104">
        <v>4</v>
      </c>
      <c r="BH104">
        <v>7</v>
      </c>
      <c r="BJ104">
        <v>24</v>
      </c>
      <c r="BK104">
        <v>20</v>
      </c>
      <c r="BL104">
        <v>44</v>
      </c>
      <c r="BN104" t="s">
        <v>841</v>
      </c>
      <c r="BP104">
        <v>20</v>
      </c>
      <c r="BQ104">
        <v>21</v>
      </c>
      <c r="BR104">
        <v>41</v>
      </c>
      <c r="BV104" t="s">
        <v>839</v>
      </c>
      <c r="BW104" t="s">
        <v>950</v>
      </c>
      <c r="BX104" t="s">
        <v>839</v>
      </c>
      <c r="BY104" t="s">
        <v>759</v>
      </c>
      <c r="BZ104" t="s">
        <v>839</v>
      </c>
      <c r="CA104" t="s">
        <v>839</v>
      </c>
      <c r="CC104" t="s">
        <v>839</v>
      </c>
      <c r="CD104" t="s">
        <v>855</v>
      </c>
      <c r="CG104">
        <v>18</v>
      </c>
      <c r="CH104">
        <v>9</v>
      </c>
      <c r="CI104">
        <v>9</v>
      </c>
      <c r="CJ104">
        <v>0</v>
      </c>
      <c r="CK104" t="s">
        <v>877</v>
      </c>
      <c r="CM104" t="s">
        <v>951</v>
      </c>
      <c r="CN104">
        <v>1</v>
      </c>
      <c r="CO104">
        <v>1</v>
      </c>
      <c r="CP104">
        <v>0</v>
      </c>
      <c r="CQ104">
        <v>0</v>
      </c>
      <c r="CR104">
        <v>0</v>
      </c>
      <c r="CS104">
        <v>0</v>
      </c>
      <c r="CU104" t="s">
        <v>1527</v>
      </c>
      <c r="CV104">
        <v>1</v>
      </c>
      <c r="CW104">
        <v>1</v>
      </c>
      <c r="CX104">
        <v>1</v>
      </c>
      <c r="CY104">
        <v>1</v>
      </c>
      <c r="CZ104">
        <v>1</v>
      </c>
      <c r="DA104">
        <v>1</v>
      </c>
      <c r="DB104">
        <v>1</v>
      </c>
      <c r="DC104">
        <v>1</v>
      </c>
      <c r="DD104">
        <v>1</v>
      </c>
      <c r="DE104">
        <v>0</v>
      </c>
      <c r="DF104">
        <v>0</v>
      </c>
      <c r="DJ104">
        <v>25</v>
      </c>
      <c r="DK104">
        <v>24</v>
      </c>
      <c r="DL104">
        <v>49</v>
      </c>
      <c r="DN104">
        <v>750</v>
      </c>
      <c r="DP104">
        <v>1350</v>
      </c>
      <c r="DQ104" t="s">
        <v>1528</v>
      </c>
      <c r="DR104">
        <v>0</v>
      </c>
      <c r="DS104">
        <v>1</v>
      </c>
      <c r="DT104">
        <v>1</v>
      </c>
      <c r="DU104">
        <v>0</v>
      </c>
      <c r="DV104">
        <v>1</v>
      </c>
      <c r="DW104">
        <v>0</v>
      </c>
      <c r="DX104">
        <v>0</v>
      </c>
      <c r="DY104">
        <v>0</v>
      </c>
      <c r="DZ104">
        <v>0</v>
      </c>
      <c r="EB104" t="s">
        <v>839</v>
      </c>
      <c r="EC104" t="s">
        <v>869</v>
      </c>
      <c r="ED104" t="s">
        <v>848</v>
      </c>
      <c r="EI104">
        <v>300</v>
      </c>
      <c r="EM104" t="s">
        <v>841</v>
      </c>
      <c r="EO104">
        <v>250</v>
      </c>
      <c r="ES104" t="s">
        <v>841</v>
      </c>
      <c r="EZ104" t="s">
        <v>841</v>
      </c>
      <c r="FA104">
        <v>200</v>
      </c>
      <c r="FE104" t="s">
        <v>841</v>
      </c>
      <c r="FG104">
        <v>4</v>
      </c>
      <c r="FH104" t="s">
        <v>841</v>
      </c>
      <c r="FM104">
        <v>265</v>
      </c>
      <c r="FO104">
        <v>26</v>
      </c>
      <c r="FP104">
        <v>28</v>
      </c>
      <c r="FQ104">
        <v>54</v>
      </c>
      <c r="FS104" t="s">
        <v>839</v>
      </c>
      <c r="FT104" t="s">
        <v>839</v>
      </c>
      <c r="FU104" t="s">
        <v>842</v>
      </c>
      <c r="FV104" t="s">
        <v>839</v>
      </c>
      <c r="FW104" t="s">
        <v>839</v>
      </c>
      <c r="FX104" t="s">
        <v>890</v>
      </c>
      <c r="FY104" t="s">
        <v>842</v>
      </c>
      <c r="FZ104" t="s">
        <v>839</v>
      </c>
      <c r="GA104" t="s">
        <v>839</v>
      </c>
      <c r="GB104" t="s">
        <v>839</v>
      </c>
      <c r="GC104" t="s">
        <v>842</v>
      </c>
      <c r="GD104" t="s">
        <v>839</v>
      </c>
      <c r="GE104" t="s">
        <v>929</v>
      </c>
      <c r="GG104" t="s">
        <v>839</v>
      </c>
      <c r="GI104" t="s">
        <v>1529</v>
      </c>
      <c r="GJ104">
        <v>1</v>
      </c>
      <c r="GK104">
        <v>0</v>
      </c>
      <c r="GL104">
        <v>1</v>
      </c>
      <c r="GM104">
        <v>1</v>
      </c>
      <c r="GN104">
        <v>0</v>
      </c>
      <c r="GO104">
        <v>0</v>
      </c>
      <c r="GP104">
        <v>0</v>
      </c>
      <c r="GQ104">
        <v>1</v>
      </c>
      <c r="GR104">
        <v>0</v>
      </c>
      <c r="GS104">
        <v>0</v>
      </c>
      <c r="GT104">
        <v>0</v>
      </c>
      <c r="GU104">
        <v>0</v>
      </c>
      <c r="GV104">
        <v>0</v>
      </c>
      <c r="GW104">
        <v>1</v>
      </c>
      <c r="GX104">
        <v>1</v>
      </c>
      <c r="GY104">
        <v>0</v>
      </c>
      <c r="GZ104">
        <v>0</v>
      </c>
      <c r="HB104" t="s">
        <v>839</v>
      </c>
    </row>
    <row r="105" spans="1:211" x14ac:dyDescent="0.35">
      <c r="A105" t="s">
        <v>1530</v>
      </c>
      <c r="B105" s="151">
        <v>45161.47283564815</v>
      </c>
      <c r="C105" t="s">
        <v>1531</v>
      </c>
      <c r="D105" t="s">
        <v>1532</v>
      </c>
      <c r="E105" t="s">
        <v>875</v>
      </c>
      <c r="F105" t="s">
        <v>1533</v>
      </c>
      <c r="G105" t="s">
        <v>1533</v>
      </c>
      <c r="H105" t="s">
        <v>839</v>
      </c>
      <c r="I105" t="s">
        <v>626</v>
      </c>
      <c r="K105" t="s">
        <v>839</v>
      </c>
      <c r="L105" t="s">
        <v>887</v>
      </c>
      <c r="O105">
        <v>34</v>
      </c>
      <c r="P105">
        <v>35</v>
      </c>
      <c r="Q105">
        <v>69</v>
      </c>
      <c r="S105" t="s">
        <v>841</v>
      </c>
      <c r="T105" t="s">
        <v>841</v>
      </c>
      <c r="U105" t="s">
        <v>841</v>
      </c>
      <c r="V105" t="s">
        <v>841</v>
      </c>
      <c r="W105" t="s">
        <v>841</v>
      </c>
      <c r="X105" t="s">
        <v>841</v>
      </c>
      <c r="Y105" t="s">
        <v>841</v>
      </c>
      <c r="Z105" t="s">
        <v>841</v>
      </c>
      <c r="AH105">
        <v>1</v>
      </c>
      <c r="AI105">
        <v>1</v>
      </c>
      <c r="AJ105">
        <v>1</v>
      </c>
      <c r="AK105">
        <v>1</v>
      </c>
      <c r="AL105">
        <v>1</v>
      </c>
      <c r="AM105">
        <v>1</v>
      </c>
      <c r="AN105">
        <v>1</v>
      </c>
      <c r="AO105">
        <v>1</v>
      </c>
      <c r="BM105" t="s">
        <v>841</v>
      </c>
      <c r="BS105" t="s">
        <v>841</v>
      </c>
      <c r="BV105" t="s">
        <v>839</v>
      </c>
      <c r="BW105" t="s">
        <v>758</v>
      </c>
      <c r="BX105" t="s">
        <v>839</v>
      </c>
      <c r="BY105" t="s">
        <v>950</v>
      </c>
      <c r="BZ105" t="s">
        <v>839</v>
      </c>
      <c r="CA105" t="s">
        <v>842</v>
      </c>
      <c r="CC105" t="s">
        <v>839</v>
      </c>
      <c r="CD105" t="s">
        <v>855</v>
      </c>
      <c r="CG105">
        <v>4</v>
      </c>
      <c r="CH105">
        <v>2</v>
      </c>
      <c r="CI105">
        <v>2</v>
      </c>
      <c r="CJ105">
        <v>0</v>
      </c>
      <c r="CK105" t="s">
        <v>877</v>
      </c>
      <c r="CM105" t="s">
        <v>867</v>
      </c>
      <c r="CN105">
        <v>0</v>
      </c>
      <c r="CO105">
        <v>1</v>
      </c>
      <c r="CP105">
        <v>0</v>
      </c>
      <c r="CQ105">
        <v>0</v>
      </c>
      <c r="CR105">
        <v>0</v>
      </c>
      <c r="CS105">
        <v>0</v>
      </c>
      <c r="CU105" t="s">
        <v>907</v>
      </c>
      <c r="CV105">
        <v>1</v>
      </c>
      <c r="CW105">
        <v>0</v>
      </c>
      <c r="CX105">
        <v>1</v>
      </c>
      <c r="CY105">
        <v>0</v>
      </c>
      <c r="CZ105">
        <v>0</v>
      </c>
      <c r="DA105">
        <v>0</v>
      </c>
      <c r="DB105">
        <v>0</v>
      </c>
      <c r="DC105">
        <v>0</v>
      </c>
      <c r="DD105">
        <v>1</v>
      </c>
      <c r="DE105">
        <v>0</v>
      </c>
      <c r="DF105">
        <v>0</v>
      </c>
      <c r="DJ105">
        <v>3</v>
      </c>
      <c r="DK105">
        <v>6</v>
      </c>
      <c r="DL105">
        <v>9</v>
      </c>
      <c r="DN105">
        <v>400</v>
      </c>
      <c r="DP105">
        <v>700</v>
      </c>
      <c r="DQ105" t="s">
        <v>1491</v>
      </c>
      <c r="DR105">
        <v>1</v>
      </c>
      <c r="DS105">
        <v>0</v>
      </c>
      <c r="DT105">
        <v>0</v>
      </c>
      <c r="DU105">
        <v>0</v>
      </c>
      <c r="DV105">
        <v>0</v>
      </c>
      <c r="DW105">
        <v>0</v>
      </c>
      <c r="DX105">
        <v>0</v>
      </c>
      <c r="DY105">
        <v>1</v>
      </c>
      <c r="DZ105">
        <v>0</v>
      </c>
      <c r="EA105" t="s">
        <v>1534</v>
      </c>
      <c r="EB105" t="s">
        <v>842</v>
      </c>
      <c r="EC105" t="s">
        <v>847</v>
      </c>
      <c r="ED105" t="s">
        <v>848</v>
      </c>
      <c r="EI105">
        <v>1</v>
      </c>
      <c r="EJ105" t="s">
        <v>841</v>
      </c>
      <c r="EO105">
        <v>50</v>
      </c>
      <c r="ES105" t="s">
        <v>841</v>
      </c>
      <c r="FA105">
        <v>4</v>
      </c>
      <c r="FB105" t="s">
        <v>841</v>
      </c>
      <c r="FG105">
        <v>5</v>
      </c>
      <c r="FH105" t="s">
        <v>841</v>
      </c>
      <c r="FM105">
        <v>1402</v>
      </c>
      <c r="FO105">
        <v>0</v>
      </c>
      <c r="FP105">
        <v>0</v>
      </c>
      <c r="FQ105">
        <v>0</v>
      </c>
      <c r="FS105" t="s">
        <v>839</v>
      </c>
      <c r="FT105" t="s">
        <v>842</v>
      </c>
      <c r="FU105" t="s">
        <v>839</v>
      </c>
      <c r="FV105" t="s">
        <v>839</v>
      </c>
      <c r="FW105" t="s">
        <v>842</v>
      </c>
      <c r="FY105" t="s">
        <v>842</v>
      </c>
      <c r="FZ105" t="s">
        <v>839</v>
      </c>
      <c r="GA105" t="s">
        <v>839</v>
      </c>
      <c r="GB105" t="s">
        <v>842</v>
      </c>
      <c r="GC105" t="s">
        <v>842</v>
      </c>
      <c r="GD105" t="s">
        <v>842</v>
      </c>
      <c r="GG105" t="s">
        <v>842</v>
      </c>
      <c r="GI105" t="s">
        <v>1535</v>
      </c>
      <c r="GJ105">
        <v>0</v>
      </c>
      <c r="GK105">
        <v>1</v>
      </c>
      <c r="GL105">
        <v>0</v>
      </c>
      <c r="GM105">
        <v>0</v>
      </c>
      <c r="GN105">
        <v>1</v>
      </c>
      <c r="GO105">
        <v>1</v>
      </c>
      <c r="GP105">
        <v>0</v>
      </c>
      <c r="GQ105">
        <v>0</v>
      </c>
      <c r="GR105">
        <v>0</v>
      </c>
      <c r="GS105">
        <v>0</v>
      </c>
      <c r="GT105">
        <v>0</v>
      </c>
      <c r="GU105">
        <v>1</v>
      </c>
      <c r="GV105">
        <v>0</v>
      </c>
      <c r="GW105">
        <v>1</v>
      </c>
      <c r="GX105">
        <v>1</v>
      </c>
      <c r="GY105">
        <v>0</v>
      </c>
      <c r="GZ105">
        <v>0</v>
      </c>
      <c r="HB105" t="s">
        <v>839</v>
      </c>
    </row>
    <row r="106" spans="1:211" x14ac:dyDescent="0.35">
      <c r="A106" t="s">
        <v>1536</v>
      </c>
      <c r="B106" s="151">
        <v>45161.533043981479</v>
      </c>
      <c r="C106" t="s">
        <v>1537</v>
      </c>
      <c r="D106" t="s">
        <v>1538</v>
      </c>
      <c r="E106" t="s">
        <v>835</v>
      </c>
      <c r="F106" t="s">
        <v>1539</v>
      </c>
      <c r="G106" t="s">
        <v>1539</v>
      </c>
      <c r="H106" t="s">
        <v>837</v>
      </c>
      <c r="I106" t="s">
        <v>1046</v>
      </c>
      <c r="K106" t="s">
        <v>842</v>
      </c>
      <c r="O106">
        <v>18</v>
      </c>
      <c r="P106">
        <v>26</v>
      </c>
      <c r="Q106">
        <v>54</v>
      </c>
      <c r="AZ106" t="s">
        <v>841</v>
      </c>
      <c r="BM106" t="s">
        <v>841</v>
      </c>
      <c r="BS106" t="s">
        <v>841</v>
      </c>
      <c r="BV106" t="s">
        <v>842</v>
      </c>
      <c r="BX106" t="s">
        <v>839</v>
      </c>
      <c r="BY106" t="s">
        <v>759</v>
      </c>
      <c r="BZ106" t="s">
        <v>839</v>
      </c>
      <c r="CA106" t="s">
        <v>839</v>
      </c>
      <c r="CC106" t="s">
        <v>839</v>
      </c>
      <c r="CD106" t="s">
        <v>855</v>
      </c>
      <c r="CG106">
        <v>2</v>
      </c>
      <c r="CH106">
        <v>1</v>
      </c>
      <c r="CI106">
        <v>1</v>
      </c>
      <c r="CJ106">
        <v>0</v>
      </c>
      <c r="CK106" t="s">
        <v>681</v>
      </c>
      <c r="CM106" t="s">
        <v>844</v>
      </c>
      <c r="CN106">
        <v>1</v>
      </c>
      <c r="CO106">
        <v>0</v>
      </c>
      <c r="CP106">
        <v>0</v>
      </c>
      <c r="CQ106">
        <v>0</v>
      </c>
      <c r="CR106">
        <v>0</v>
      </c>
      <c r="CS106">
        <v>0</v>
      </c>
      <c r="CU106" t="s">
        <v>1540</v>
      </c>
      <c r="CV106">
        <v>1</v>
      </c>
      <c r="CW106">
        <v>0</v>
      </c>
      <c r="CX106">
        <v>0</v>
      </c>
      <c r="CY106">
        <v>1</v>
      </c>
      <c r="CZ106">
        <v>0</v>
      </c>
      <c r="DA106">
        <v>0</v>
      </c>
      <c r="DB106">
        <v>0</v>
      </c>
      <c r="DC106">
        <v>0</v>
      </c>
      <c r="DD106">
        <v>1</v>
      </c>
      <c r="DE106">
        <v>1</v>
      </c>
      <c r="DF106">
        <v>0</v>
      </c>
      <c r="DJ106">
        <v>1</v>
      </c>
      <c r="DK106">
        <v>1</v>
      </c>
      <c r="DL106">
        <v>2</v>
      </c>
      <c r="DN106">
        <v>400</v>
      </c>
      <c r="DP106">
        <v>500</v>
      </c>
      <c r="DQ106" t="s">
        <v>681</v>
      </c>
      <c r="DR106">
        <v>0</v>
      </c>
      <c r="DS106">
        <v>0</v>
      </c>
      <c r="DT106">
        <v>0</v>
      </c>
      <c r="DU106">
        <v>0</v>
      </c>
      <c r="DV106">
        <v>0</v>
      </c>
      <c r="DW106">
        <v>0</v>
      </c>
      <c r="DX106">
        <v>0</v>
      </c>
      <c r="DY106">
        <v>0</v>
      </c>
      <c r="DZ106">
        <v>1</v>
      </c>
      <c r="EB106" t="s">
        <v>842</v>
      </c>
      <c r="EC106" t="s">
        <v>909</v>
      </c>
      <c r="ED106" t="s">
        <v>848</v>
      </c>
      <c r="EN106" t="s">
        <v>841</v>
      </c>
      <c r="ET106" t="s">
        <v>841</v>
      </c>
      <c r="EZ106" t="s">
        <v>841</v>
      </c>
      <c r="FA106">
        <v>13</v>
      </c>
      <c r="FB106" t="s">
        <v>841</v>
      </c>
      <c r="FL106" t="s">
        <v>841</v>
      </c>
      <c r="FM106">
        <v>800</v>
      </c>
      <c r="FO106">
        <v>0</v>
      </c>
      <c r="FP106">
        <v>0</v>
      </c>
      <c r="FQ106">
        <v>0</v>
      </c>
      <c r="FS106" t="s">
        <v>842</v>
      </c>
      <c r="FT106" t="s">
        <v>842</v>
      </c>
      <c r="FU106" t="s">
        <v>839</v>
      </c>
      <c r="FV106" t="s">
        <v>842</v>
      </c>
      <c r="FW106" t="s">
        <v>842</v>
      </c>
      <c r="FY106" t="s">
        <v>842</v>
      </c>
      <c r="FZ106" t="s">
        <v>839</v>
      </c>
      <c r="GA106" t="s">
        <v>842</v>
      </c>
      <c r="GB106" t="s">
        <v>842</v>
      </c>
      <c r="GC106" t="s">
        <v>842</v>
      </c>
      <c r="GD106" t="s">
        <v>842</v>
      </c>
      <c r="GG106" t="s">
        <v>668</v>
      </c>
      <c r="GI106" t="s">
        <v>626</v>
      </c>
      <c r="GJ106">
        <v>0</v>
      </c>
      <c r="GK106">
        <v>0</v>
      </c>
      <c r="GL106">
        <v>0</v>
      </c>
      <c r="GM106">
        <v>0</v>
      </c>
      <c r="GN106">
        <v>0</v>
      </c>
      <c r="GO106">
        <v>0</v>
      </c>
      <c r="GP106">
        <v>0</v>
      </c>
      <c r="GQ106">
        <v>0</v>
      </c>
      <c r="GR106">
        <v>0</v>
      </c>
      <c r="GS106">
        <v>0</v>
      </c>
      <c r="GT106">
        <v>0</v>
      </c>
      <c r="GU106">
        <v>0</v>
      </c>
      <c r="GV106">
        <v>0</v>
      </c>
      <c r="GW106">
        <v>0</v>
      </c>
      <c r="GX106">
        <v>0</v>
      </c>
      <c r="GY106">
        <v>1</v>
      </c>
      <c r="GZ106">
        <v>0</v>
      </c>
      <c r="HA106" t="s">
        <v>1541</v>
      </c>
      <c r="HB106" t="s">
        <v>842</v>
      </c>
      <c r="HC106" t="s">
        <v>1541</v>
      </c>
    </row>
    <row r="107" spans="1:211" x14ac:dyDescent="0.35">
      <c r="A107" t="s">
        <v>1542</v>
      </c>
      <c r="B107" s="151">
        <v>45162.378229166658</v>
      </c>
      <c r="C107" t="s">
        <v>1543</v>
      </c>
      <c r="D107" t="s">
        <v>1544</v>
      </c>
      <c r="E107" t="s">
        <v>875</v>
      </c>
      <c r="F107" t="s">
        <v>1545</v>
      </c>
      <c r="G107" t="s">
        <v>1545</v>
      </c>
      <c r="H107" t="s">
        <v>839</v>
      </c>
      <c r="I107" t="s">
        <v>896</v>
      </c>
      <c r="K107" t="s">
        <v>839</v>
      </c>
      <c r="L107" t="s">
        <v>887</v>
      </c>
      <c r="O107">
        <v>125</v>
      </c>
      <c r="P107">
        <v>150</v>
      </c>
      <c r="Q107">
        <v>275</v>
      </c>
      <c r="S107" t="s">
        <v>841</v>
      </c>
      <c r="T107" t="s">
        <v>841</v>
      </c>
      <c r="U107" t="s">
        <v>841</v>
      </c>
      <c r="V107" t="s">
        <v>841</v>
      </c>
      <c r="W107" t="s">
        <v>841</v>
      </c>
      <c r="X107" t="s">
        <v>841</v>
      </c>
      <c r="Y107" t="s">
        <v>841</v>
      </c>
      <c r="Z107" t="s">
        <v>841</v>
      </c>
      <c r="AA107" t="s">
        <v>841</v>
      </c>
      <c r="AB107" t="s">
        <v>841</v>
      </c>
      <c r="AC107" t="s">
        <v>841</v>
      </c>
      <c r="AD107" t="s">
        <v>841</v>
      </c>
      <c r="AE107" t="s">
        <v>841</v>
      </c>
      <c r="AF107" t="s">
        <v>841</v>
      </c>
      <c r="AH107">
        <v>1</v>
      </c>
      <c r="AI107">
        <v>1</v>
      </c>
      <c r="AJ107">
        <v>1</v>
      </c>
      <c r="AK107">
        <v>1</v>
      </c>
      <c r="AL107">
        <v>1</v>
      </c>
      <c r="AM107">
        <v>2</v>
      </c>
      <c r="AN107">
        <v>1</v>
      </c>
      <c r="AO107">
        <v>1</v>
      </c>
      <c r="AP107">
        <v>1</v>
      </c>
      <c r="AQ107">
        <v>1</v>
      </c>
      <c r="AR107">
        <v>1</v>
      </c>
      <c r="AS107">
        <v>1</v>
      </c>
      <c r="AT107">
        <v>1</v>
      </c>
      <c r="AU107">
        <v>1</v>
      </c>
      <c r="AW107">
        <v>6</v>
      </c>
      <c r="AX107">
        <v>5</v>
      </c>
      <c r="AY107">
        <v>11</v>
      </c>
      <c r="BJ107">
        <v>6</v>
      </c>
      <c r="BK107">
        <v>5</v>
      </c>
      <c r="BL107">
        <v>11</v>
      </c>
      <c r="BM107" t="s">
        <v>841</v>
      </c>
      <c r="BV107" t="s">
        <v>839</v>
      </c>
      <c r="BW107" t="s">
        <v>759</v>
      </c>
      <c r="BX107" t="s">
        <v>839</v>
      </c>
      <c r="BY107" t="s">
        <v>759</v>
      </c>
      <c r="BZ107" t="s">
        <v>839</v>
      </c>
      <c r="CA107" t="s">
        <v>839</v>
      </c>
      <c r="CC107" t="s">
        <v>839</v>
      </c>
      <c r="CD107" t="s">
        <v>855</v>
      </c>
      <c r="CG107">
        <v>8</v>
      </c>
      <c r="CH107">
        <v>4</v>
      </c>
      <c r="CI107">
        <v>4</v>
      </c>
      <c r="CJ107">
        <v>0</v>
      </c>
      <c r="CK107" t="s">
        <v>993</v>
      </c>
      <c r="CM107" t="s">
        <v>867</v>
      </c>
      <c r="CN107">
        <v>0</v>
      </c>
      <c r="CO107">
        <v>1</v>
      </c>
      <c r="CP107">
        <v>0</v>
      </c>
      <c r="CQ107">
        <v>0</v>
      </c>
      <c r="CR107">
        <v>0</v>
      </c>
      <c r="CS107">
        <v>0</v>
      </c>
      <c r="CU107" t="s">
        <v>1124</v>
      </c>
      <c r="CV107">
        <v>1</v>
      </c>
      <c r="CW107">
        <v>0</v>
      </c>
      <c r="CX107">
        <v>1</v>
      </c>
      <c r="CY107">
        <v>1</v>
      </c>
      <c r="CZ107">
        <v>0</v>
      </c>
      <c r="DA107">
        <v>0</v>
      </c>
      <c r="DB107">
        <v>0</v>
      </c>
      <c r="DC107">
        <v>1</v>
      </c>
      <c r="DD107">
        <v>1</v>
      </c>
      <c r="DE107">
        <v>1</v>
      </c>
      <c r="DF107">
        <v>0</v>
      </c>
      <c r="DJ107">
        <v>14</v>
      </c>
      <c r="DK107">
        <v>7</v>
      </c>
      <c r="DL107">
        <v>21</v>
      </c>
      <c r="DN107">
        <v>400</v>
      </c>
      <c r="DP107">
        <v>650</v>
      </c>
      <c r="DQ107" t="s">
        <v>1070</v>
      </c>
      <c r="DR107">
        <v>1</v>
      </c>
      <c r="DS107">
        <v>1</v>
      </c>
      <c r="DT107">
        <v>0</v>
      </c>
      <c r="DU107">
        <v>0</v>
      </c>
      <c r="DV107">
        <v>0</v>
      </c>
      <c r="DW107">
        <v>0</v>
      </c>
      <c r="DX107">
        <v>0</v>
      </c>
      <c r="DY107">
        <v>0</v>
      </c>
      <c r="DZ107">
        <v>0</v>
      </c>
      <c r="EB107" t="s">
        <v>839</v>
      </c>
      <c r="EC107" t="s">
        <v>869</v>
      </c>
      <c r="ED107" t="s">
        <v>928</v>
      </c>
      <c r="EN107" t="s">
        <v>841</v>
      </c>
      <c r="ET107" t="s">
        <v>841</v>
      </c>
      <c r="EZ107" t="s">
        <v>841</v>
      </c>
      <c r="FA107">
        <v>5</v>
      </c>
      <c r="FB107" t="s">
        <v>841</v>
      </c>
      <c r="FL107" t="s">
        <v>841</v>
      </c>
      <c r="FM107" s="156">
        <v>2000</v>
      </c>
      <c r="FO107">
        <v>5</v>
      </c>
      <c r="FP107">
        <v>4</v>
      </c>
      <c r="FQ107">
        <v>9</v>
      </c>
      <c r="FS107" t="s">
        <v>839</v>
      </c>
      <c r="FT107" t="s">
        <v>842</v>
      </c>
      <c r="FU107" t="s">
        <v>839</v>
      </c>
      <c r="FV107" t="s">
        <v>839</v>
      </c>
      <c r="FW107" t="s">
        <v>839</v>
      </c>
      <c r="FX107" t="s">
        <v>880</v>
      </c>
      <c r="FY107" t="s">
        <v>842</v>
      </c>
      <c r="FZ107" t="s">
        <v>839</v>
      </c>
      <c r="GA107" t="s">
        <v>842</v>
      </c>
      <c r="GB107" t="s">
        <v>842</v>
      </c>
      <c r="GC107" t="s">
        <v>842</v>
      </c>
      <c r="GD107" t="s">
        <v>842</v>
      </c>
      <c r="GG107" t="s">
        <v>842</v>
      </c>
      <c r="GI107" t="s">
        <v>1546</v>
      </c>
      <c r="GJ107">
        <v>1</v>
      </c>
      <c r="GK107">
        <v>1</v>
      </c>
      <c r="GL107">
        <v>0</v>
      </c>
      <c r="GM107">
        <v>0</v>
      </c>
      <c r="GN107">
        <v>0</v>
      </c>
      <c r="GO107">
        <v>1</v>
      </c>
      <c r="GP107">
        <v>1</v>
      </c>
      <c r="GQ107">
        <v>0</v>
      </c>
      <c r="GR107">
        <v>0</v>
      </c>
      <c r="GS107">
        <v>0</v>
      </c>
      <c r="GT107">
        <v>0</v>
      </c>
      <c r="GU107">
        <v>0</v>
      </c>
      <c r="GV107">
        <v>0</v>
      </c>
      <c r="GW107">
        <v>0</v>
      </c>
      <c r="GX107">
        <v>1</v>
      </c>
      <c r="GY107">
        <v>0</v>
      </c>
      <c r="GZ107">
        <v>0</v>
      </c>
      <c r="HB107" t="s">
        <v>839</v>
      </c>
    </row>
    <row r="108" spans="1:211" x14ac:dyDescent="0.35">
      <c r="A108" t="s">
        <v>1547</v>
      </c>
      <c r="B108" s="151">
        <v>45162.424803240741</v>
      </c>
      <c r="C108" t="s">
        <v>1548</v>
      </c>
      <c r="D108" t="s">
        <v>1549</v>
      </c>
      <c r="E108" t="s">
        <v>835</v>
      </c>
      <c r="F108" t="s">
        <v>1550</v>
      </c>
      <c r="G108" t="s">
        <v>1550</v>
      </c>
      <c r="H108" t="s">
        <v>839</v>
      </c>
      <c r="I108" t="s">
        <v>896</v>
      </c>
      <c r="K108" t="s">
        <v>839</v>
      </c>
      <c r="L108" t="s">
        <v>887</v>
      </c>
      <c r="O108">
        <v>92</v>
      </c>
      <c r="P108">
        <v>97</v>
      </c>
      <c r="Q108">
        <v>189</v>
      </c>
      <c r="T108" t="s">
        <v>841</v>
      </c>
      <c r="U108" t="s">
        <v>841</v>
      </c>
      <c r="V108" t="s">
        <v>841</v>
      </c>
      <c r="W108" t="s">
        <v>841</v>
      </c>
      <c r="X108" t="s">
        <v>841</v>
      </c>
      <c r="Y108" t="s">
        <v>841</v>
      </c>
      <c r="Z108" t="s">
        <v>841</v>
      </c>
      <c r="AA108" t="s">
        <v>841</v>
      </c>
      <c r="AI108">
        <v>1</v>
      </c>
      <c r="AJ108">
        <v>1</v>
      </c>
      <c r="AK108">
        <v>1</v>
      </c>
      <c r="AL108">
        <v>1</v>
      </c>
      <c r="AM108">
        <v>1</v>
      </c>
      <c r="AN108">
        <v>1</v>
      </c>
      <c r="AO108">
        <v>1</v>
      </c>
      <c r="AP108">
        <v>1</v>
      </c>
      <c r="AZ108" t="s">
        <v>841</v>
      </c>
      <c r="BM108" t="s">
        <v>841</v>
      </c>
      <c r="BS108" t="s">
        <v>841</v>
      </c>
      <c r="BV108" t="s">
        <v>839</v>
      </c>
      <c r="BW108" t="s">
        <v>759</v>
      </c>
      <c r="BX108" t="s">
        <v>842</v>
      </c>
      <c r="BZ108" t="s">
        <v>839</v>
      </c>
      <c r="CA108" t="s">
        <v>839</v>
      </c>
      <c r="CC108" t="s">
        <v>842</v>
      </c>
      <c r="CD108" t="s">
        <v>855</v>
      </c>
      <c r="CG108">
        <v>13</v>
      </c>
      <c r="CH108">
        <v>0</v>
      </c>
      <c r="CI108">
        <v>0</v>
      </c>
      <c r="CJ108">
        <v>13</v>
      </c>
      <c r="CK108" t="s">
        <v>993</v>
      </c>
      <c r="CM108" t="s">
        <v>844</v>
      </c>
      <c r="CN108">
        <v>1</v>
      </c>
      <c r="CO108">
        <v>0</v>
      </c>
      <c r="CP108">
        <v>0</v>
      </c>
      <c r="CQ108">
        <v>0</v>
      </c>
      <c r="CR108">
        <v>0</v>
      </c>
      <c r="CS108">
        <v>0</v>
      </c>
      <c r="CU108" t="s">
        <v>1551</v>
      </c>
      <c r="CV108">
        <v>1</v>
      </c>
      <c r="CW108">
        <v>0</v>
      </c>
      <c r="CX108">
        <v>0</v>
      </c>
      <c r="CY108">
        <v>0</v>
      </c>
      <c r="CZ108">
        <v>0</v>
      </c>
      <c r="DA108">
        <v>1</v>
      </c>
      <c r="DB108">
        <v>0</v>
      </c>
      <c r="DC108">
        <v>1</v>
      </c>
      <c r="DD108">
        <v>1</v>
      </c>
      <c r="DE108">
        <v>1</v>
      </c>
      <c r="DF108">
        <v>0</v>
      </c>
      <c r="DJ108">
        <v>6</v>
      </c>
      <c r="DK108">
        <v>12</v>
      </c>
      <c r="DL108">
        <v>18</v>
      </c>
      <c r="DN108">
        <v>400</v>
      </c>
      <c r="DP108">
        <v>1200</v>
      </c>
      <c r="DQ108" t="s">
        <v>1552</v>
      </c>
      <c r="DR108">
        <v>1</v>
      </c>
      <c r="DS108">
        <v>1</v>
      </c>
      <c r="DT108">
        <v>1</v>
      </c>
      <c r="DU108">
        <v>0</v>
      </c>
      <c r="DV108">
        <v>0</v>
      </c>
      <c r="DW108">
        <v>1</v>
      </c>
      <c r="DX108">
        <v>1</v>
      </c>
      <c r="DY108">
        <v>0</v>
      </c>
      <c r="DZ108">
        <v>0</v>
      </c>
      <c r="EB108" t="s">
        <v>839</v>
      </c>
      <c r="EC108" t="s">
        <v>957</v>
      </c>
      <c r="ED108" t="s">
        <v>928</v>
      </c>
      <c r="EI108" s="157">
        <v>200</v>
      </c>
      <c r="EJ108" s="157"/>
      <c r="EK108" s="157"/>
      <c r="EL108" s="157" t="s">
        <v>841</v>
      </c>
      <c r="EM108" s="157"/>
      <c r="EN108" s="157"/>
      <c r="EO108" s="157">
        <v>200</v>
      </c>
      <c r="EP108" s="157"/>
      <c r="EQ108" s="157"/>
      <c r="ER108" s="157" t="s">
        <v>841</v>
      </c>
      <c r="ES108" s="157"/>
      <c r="ET108" s="157"/>
      <c r="EU108" s="157"/>
      <c r="EV108" s="157"/>
      <c r="EW108" s="157"/>
      <c r="EX108" s="157"/>
      <c r="EY108" s="157" t="s">
        <v>841</v>
      </c>
      <c r="EZ108" s="157"/>
      <c r="FA108" s="157">
        <v>6</v>
      </c>
      <c r="FB108" s="157" t="s">
        <v>841</v>
      </c>
      <c r="FC108" s="157"/>
      <c r="FD108" s="157" t="s">
        <v>841</v>
      </c>
      <c r="FE108" s="157"/>
      <c r="FF108" s="157"/>
      <c r="FG108" s="157"/>
      <c r="FH108" s="157"/>
      <c r="FI108" s="157"/>
      <c r="FJ108" s="157"/>
      <c r="FK108" s="157"/>
      <c r="FL108" s="157" t="s">
        <v>841</v>
      </c>
      <c r="FM108">
        <v>1900</v>
      </c>
      <c r="FO108">
        <v>9</v>
      </c>
      <c r="FP108">
        <v>15</v>
      </c>
      <c r="FQ108">
        <v>24</v>
      </c>
      <c r="FS108" t="s">
        <v>839</v>
      </c>
      <c r="FT108" t="s">
        <v>842</v>
      </c>
      <c r="FU108" t="s">
        <v>842</v>
      </c>
      <c r="FV108" t="s">
        <v>839</v>
      </c>
      <c r="FW108" t="s">
        <v>839</v>
      </c>
      <c r="FX108" t="s">
        <v>890</v>
      </c>
      <c r="FY108" t="s">
        <v>839</v>
      </c>
      <c r="FZ108" t="s">
        <v>839</v>
      </c>
      <c r="GA108" t="s">
        <v>839</v>
      </c>
      <c r="GB108" t="s">
        <v>842</v>
      </c>
      <c r="GC108" t="s">
        <v>842</v>
      </c>
      <c r="GD108" t="s">
        <v>839</v>
      </c>
      <c r="GE108" t="s">
        <v>929</v>
      </c>
      <c r="GG108" t="s">
        <v>839</v>
      </c>
      <c r="GI108" t="s">
        <v>1553</v>
      </c>
      <c r="GJ108">
        <v>1</v>
      </c>
      <c r="GK108">
        <v>0</v>
      </c>
      <c r="GL108">
        <v>1</v>
      </c>
      <c r="GM108">
        <v>0</v>
      </c>
      <c r="GN108">
        <v>1</v>
      </c>
      <c r="GO108">
        <v>0</v>
      </c>
      <c r="GP108">
        <v>0</v>
      </c>
      <c r="GQ108">
        <v>1</v>
      </c>
      <c r="GR108">
        <v>0</v>
      </c>
      <c r="GS108">
        <v>0</v>
      </c>
      <c r="GT108">
        <v>0</v>
      </c>
      <c r="GU108">
        <v>1</v>
      </c>
      <c r="GV108">
        <v>1</v>
      </c>
      <c r="GW108">
        <v>1</v>
      </c>
      <c r="GX108">
        <v>0</v>
      </c>
      <c r="GY108">
        <v>0</v>
      </c>
      <c r="GZ108">
        <v>0</v>
      </c>
      <c r="HB108" t="s">
        <v>839</v>
      </c>
    </row>
    <row r="109" spans="1:211" x14ac:dyDescent="0.35">
      <c r="A109" t="s">
        <v>1554</v>
      </c>
      <c r="B109" s="151">
        <v>45168.610162037039</v>
      </c>
      <c r="C109" t="s">
        <v>1555</v>
      </c>
      <c r="D109" t="s">
        <v>1556</v>
      </c>
      <c r="E109" t="s">
        <v>835</v>
      </c>
      <c r="F109" t="s">
        <v>1557</v>
      </c>
      <c r="G109" t="s">
        <v>1557</v>
      </c>
      <c r="H109" t="s">
        <v>839</v>
      </c>
      <c r="I109" t="s">
        <v>838</v>
      </c>
      <c r="K109" t="s">
        <v>842</v>
      </c>
      <c r="O109">
        <v>20</v>
      </c>
      <c r="P109">
        <v>21</v>
      </c>
      <c r="Q109">
        <v>41</v>
      </c>
      <c r="S109" t="s">
        <v>841</v>
      </c>
      <c r="T109" t="s">
        <v>841</v>
      </c>
      <c r="U109" t="s">
        <v>841</v>
      </c>
      <c r="V109" t="s">
        <v>841</v>
      </c>
      <c r="AH109">
        <v>1</v>
      </c>
      <c r="AI109">
        <v>1</v>
      </c>
      <c r="AJ109">
        <v>1</v>
      </c>
      <c r="AK109">
        <v>1</v>
      </c>
      <c r="AZ109" t="s">
        <v>841</v>
      </c>
      <c r="BM109" t="s">
        <v>841</v>
      </c>
      <c r="BS109" t="s">
        <v>841</v>
      </c>
      <c r="BV109" t="s">
        <v>842</v>
      </c>
      <c r="BX109" t="s">
        <v>842</v>
      </c>
      <c r="BZ109" t="s">
        <v>839</v>
      </c>
      <c r="CA109" t="s">
        <v>925</v>
      </c>
      <c r="CC109" t="s">
        <v>842</v>
      </c>
      <c r="CD109" t="s">
        <v>855</v>
      </c>
      <c r="CG109">
        <v>3</v>
      </c>
      <c r="CH109">
        <v>0</v>
      </c>
      <c r="CI109">
        <v>0</v>
      </c>
      <c r="CJ109">
        <v>3</v>
      </c>
      <c r="CK109" t="s">
        <v>866</v>
      </c>
      <c r="CM109" t="s">
        <v>844</v>
      </c>
      <c r="CN109">
        <v>1</v>
      </c>
      <c r="CO109">
        <v>0</v>
      </c>
      <c r="CP109">
        <v>0</v>
      </c>
      <c r="CQ109">
        <v>0</v>
      </c>
      <c r="CR109">
        <v>0</v>
      </c>
      <c r="CS109">
        <v>0</v>
      </c>
      <c r="CU109" t="s">
        <v>1030</v>
      </c>
      <c r="CV109">
        <v>1</v>
      </c>
      <c r="CW109">
        <v>1</v>
      </c>
      <c r="CX109">
        <v>1</v>
      </c>
      <c r="CY109">
        <v>0</v>
      </c>
      <c r="CZ109">
        <v>0</v>
      </c>
      <c r="DA109">
        <v>0</v>
      </c>
      <c r="DB109">
        <v>0</v>
      </c>
      <c r="DC109">
        <v>0</v>
      </c>
      <c r="DD109">
        <v>0</v>
      </c>
      <c r="DE109">
        <v>0</v>
      </c>
      <c r="DF109">
        <v>0</v>
      </c>
      <c r="DJ109">
        <v>0</v>
      </c>
      <c r="DK109">
        <v>6</v>
      </c>
      <c r="DL109">
        <v>6</v>
      </c>
      <c r="DN109">
        <v>696</v>
      </c>
      <c r="DP109">
        <v>1355</v>
      </c>
      <c r="DQ109" t="s">
        <v>1558</v>
      </c>
      <c r="DR109">
        <v>0</v>
      </c>
      <c r="DS109">
        <v>0</v>
      </c>
      <c r="DT109">
        <v>0</v>
      </c>
      <c r="DU109">
        <v>0</v>
      </c>
      <c r="DV109">
        <v>0</v>
      </c>
      <c r="DW109">
        <v>1</v>
      </c>
      <c r="DX109">
        <v>0</v>
      </c>
      <c r="DY109">
        <v>0</v>
      </c>
      <c r="DZ109">
        <v>0</v>
      </c>
      <c r="EB109" t="s">
        <v>839</v>
      </c>
      <c r="EC109" t="s">
        <v>847</v>
      </c>
      <c r="ED109" t="s">
        <v>848</v>
      </c>
      <c r="EI109" s="157">
        <v>300</v>
      </c>
      <c r="EJ109" s="157"/>
      <c r="EK109" s="157"/>
      <c r="EL109" s="157"/>
      <c r="EM109" s="157" t="s">
        <v>841</v>
      </c>
      <c r="EN109" s="157"/>
      <c r="EO109" s="157">
        <v>360</v>
      </c>
      <c r="EP109" s="157"/>
      <c r="EQ109" s="157"/>
      <c r="ER109" s="157"/>
      <c r="ES109" s="157" t="s">
        <v>841</v>
      </c>
      <c r="ET109" s="157"/>
      <c r="EU109" s="157"/>
      <c r="EV109" s="157"/>
      <c r="EW109" s="157"/>
      <c r="EX109" s="157"/>
      <c r="EY109" s="157"/>
      <c r="EZ109" s="157" t="s">
        <v>841</v>
      </c>
      <c r="FA109" s="157">
        <v>6</v>
      </c>
      <c r="FB109" s="157" t="s">
        <v>841</v>
      </c>
      <c r="FC109" s="157"/>
      <c r="FD109" s="157"/>
      <c r="FE109" s="157"/>
      <c r="FF109" s="157"/>
      <c r="FG109" s="157"/>
      <c r="FH109" s="157"/>
      <c r="FI109" s="157"/>
      <c r="FJ109" s="157"/>
      <c r="FK109" s="157"/>
      <c r="FL109" s="157" t="s">
        <v>841</v>
      </c>
      <c r="FM109" s="156">
        <v>2012</v>
      </c>
      <c r="FO109">
        <v>0</v>
      </c>
      <c r="FP109">
        <v>0</v>
      </c>
      <c r="FQ109">
        <v>0</v>
      </c>
      <c r="FS109" t="s">
        <v>842</v>
      </c>
      <c r="FT109" t="s">
        <v>842</v>
      </c>
      <c r="FU109" t="s">
        <v>839</v>
      </c>
      <c r="FV109" t="s">
        <v>842</v>
      </c>
      <c r="FW109" t="s">
        <v>682</v>
      </c>
      <c r="FY109" t="s">
        <v>842</v>
      </c>
      <c r="FZ109" t="s">
        <v>842</v>
      </c>
      <c r="GA109" t="s">
        <v>842</v>
      </c>
      <c r="GB109" t="s">
        <v>839</v>
      </c>
      <c r="GC109" t="s">
        <v>842</v>
      </c>
      <c r="GD109" t="s">
        <v>842</v>
      </c>
      <c r="GG109" t="s">
        <v>668</v>
      </c>
      <c r="GI109" t="s">
        <v>1559</v>
      </c>
      <c r="GJ109">
        <v>1</v>
      </c>
      <c r="GK109">
        <v>0</v>
      </c>
      <c r="GL109">
        <v>0</v>
      </c>
      <c r="GM109">
        <v>0</v>
      </c>
      <c r="GN109">
        <v>0</v>
      </c>
      <c r="GO109">
        <v>0</v>
      </c>
      <c r="GP109">
        <v>1</v>
      </c>
      <c r="GQ109">
        <v>0</v>
      </c>
      <c r="GR109">
        <v>0</v>
      </c>
      <c r="GS109">
        <v>1</v>
      </c>
      <c r="GT109">
        <v>0</v>
      </c>
      <c r="GU109">
        <v>1</v>
      </c>
      <c r="GV109">
        <v>0</v>
      </c>
      <c r="GW109">
        <v>0</v>
      </c>
      <c r="GX109">
        <v>0</v>
      </c>
      <c r="GY109">
        <v>1</v>
      </c>
      <c r="GZ109">
        <v>0</v>
      </c>
      <c r="HA109" t="s">
        <v>1560</v>
      </c>
      <c r="HB109" t="s">
        <v>842</v>
      </c>
      <c r="HC109" t="s">
        <v>1561</v>
      </c>
    </row>
    <row r="110" spans="1:211" x14ac:dyDescent="0.35">
      <c r="A110" t="s">
        <v>1562</v>
      </c>
      <c r="B110" s="151">
        <v>45168.649247685193</v>
      </c>
      <c r="C110" t="s">
        <v>1563</v>
      </c>
      <c r="D110" t="s">
        <v>1564</v>
      </c>
      <c r="E110" t="s">
        <v>875</v>
      </c>
      <c r="F110" t="s">
        <v>1565</v>
      </c>
      <c r="G110" t="s">
        <v>1566</v>
      </c>
      <c r="H110" t="s">
        <v>839</v>
      </c>
      <c r="I110" t="s">
        <v>838</v>
      </c>
      <c r="K110" t="s">
        <v>839</v>
      </c>
      <c r="L110" t="s">
        <v>887</v>
      </c>
      <c r="O110">
        <v>302</v>
      </c>
      <c r="P110">
        <v>349</v>
      </c>
      <c r="Q110">
        <v>651</v>
      </c>
      <c r="S110" t="s">
        <v>841</v>
      </c>
      <c r="T110" t="s">
        <v>841</v>
      </c>
      <c r="U110" t="s">
        <v>841</v>
      </c>
      <c r="V110" t="s">
        <v>841</v>
      </c>
      <c r="W110" t="s">
        <v>841</v>
      </c>
      <c r="X110" t="s">
        <v>841</v>
      </c>
      <c r="Y110" t="s">
        <v>841</v>
      </c>
      <c r="Z110" t="s">
        <v>841</v>
      </c>
      <c r="AA110" t="s">
        <v>841</v>
      </c>
      <c r="AB110" t="s">
        <v>841</v>
      </c>
      <c r="AC110" t="s">
        <v>841</v>
      </c>
      <c r="AD110" t="s">
        <v>841</v>
      </c>
      <c r="AE110" t="s">
        <v>841</v>
      </c>
      <c r="AF110" t="s">
        <v>841</v>
      </c>
      <c r="AH110">
        <v>1</v>
      </c>
      <c r="AI110">
        <v>2</v>
      </c>
      <c r="AJ110">
        <v>2</v>
      </c>
      <c r="AK110">
        <v>2</v>
      </c>
      <c r="AL110">
        <v>2</v>
      </c>
      <c r="AM110">
        <v>2</v>
      </c>
      <c r="AN110">
        <v>2</v>
      </c>
      <c r="AO110">
        <v>2</v>
      </c>
      <c r="AP110">
        <v>2</v>
      </c>
      <c r="AQ110">
        <v>2</v>
      </c>
      <c r="AR110">
        <v>2</v>
      </c>
      <c r="AS110">
        <v>1</v>
      </c>
      <c r="AT110">
        <v>1</v>
      </c>
      <c r="AW110">
        <v>10</v>
      </c>
      <c r="AX110">
        <v>10</v>
      </c>
      <c r="AY110">
        <v>20</v>
      </c>
      <c r="BB110">
        <v>0</v>
      </c>
      <c r="BC110">
        <v>0</v>
      </c>
      <c r="BD110">
        <v>0</v>
      </c>
      <c r="BF110">
        <v>3</v>
      </c>
      <c r="BG110">
        <v>1</v>
      </c>
      <c r="BH110">
        <v>4</v>
      </c>
      <c r="BP110">
        <v>15</v>
      </c>
      <c r="BQ110">
        <v>25</v>
      </c>
      <c r="BR110">
        <v>40</v>
      </c>
      <c r="BV110" t="s">
        <v>842</v>
      </c>
      <c r="BX110" t="s">
        <v>839</v>
      </c>
      <c r="BY110" t="s">
        <v>950</v>
      </c>
      <c r="BZ110" t="s">
        <v>839</v>
      </c>
      <c r="CA110" t="s">
        <v>839</v>
      </c>
      <c r="CC110" t="s">
        <v>839</v>
      </c>
      <c r="CD110" t="s">
        <v>855</v>
      </c>
      <c r="CG110">
        <v>4</v>
      </c>
      <c r="CH110">
        <v>2</v>
      </c>
      <c r="CI110">
        <v>2</v>
      </c>
      <c r="CJ110">
        <v>0</v>
      </c>
      <c r="CK110" t="s">
        <v>877</v>
      </c>
      <c r="CM110" t="s">
        <v>951</v>
      </c>
      <c r="CN110">
        <v>1</v>
      </c>
      <c r="CO110">
        <v>1</v>
      </c>
      <c r="CP110">
        <v>0</v>
      </c>
      <c r="CQ110">
        <v>0</v>
      </c>
      <c r="CR110">
        <v>0</v>
      </c>
      <c r="CS110">
        <v>0</v>
      </c>
      <c r="CU110" t="s">
        <v>1567</v>
      </c>
      <c r="CV110">
        <v>1</v>
      </c>
      <c r="CW110">
        <v>1</v>
      </c>
      <c r="CX110">
        <v>1</v>
      </c>
      <c r="CY110">
        <v>1</v>
      </c>
      <c r="CZ110">
        <v>1</v>
      </c>
      <c r="DA110">
        <v>0</v>
      </c>
      <c r="DB110">
        <v>0</v>
      </c>
      <c r="DC110">
        <v>0</v>
      </c>
      <c r="DD110">
        <v>1</v>
      </c>
      <c r="DE110">
        <v>1</v>
      </c>
      <c r="DF110">
        <v>0</v>
      </c>
      <c r="DJ110">
        <v>8</v>
      </c>
      <c r="DK110">
        <v>13</v>
      </c>
      <c r="DL110">
        <v>21</v>
      </c>
      <c r="DN110">
        <v>500</v>
      </c>
      <c r="DP110">
        <v>3000</v>
      </c>
      <c r="DQ110" t="s">
        <v>1568</v>
      </c>
      <c r="DR110">
        <v>0</v>
      </c>
      <c r="DS110">
        <v>1</v>
      </c>
      <c r="DT110">
        <v>1</v>
      </c>
      <c r="DU110">
        <v>0</v>
      </c>
      <c r="DV110">
        <v>0</v>
      </c>
      <c r="DW110">
        <v>1</v>
      </c>
      <c r="DX110">
        <v>0</v>
      </c>
      <c r="DY110">
        <v>0</v>
      </c>
      <c r="DZ110">
        <v>0</v>
      </c>
      <c r="EB110" t="s">
        <v>839</v>
      </c>
      <c r="EC110" t="s">
        <v>869</v>
      </c>
      <c r="ED110" t="s">
        <v>848</v>
      </c>
      <c r="EN110" t="s">
        <v>841</v>
      </c>
      <c r="ET110" t="s">
        <v>841</v>
      </c>
      <c r="EZ110" t="s">
        <v>841</v>
      </c>
      <c r="FA110">
        <v>6</v>
      </c>
      <c r="FB110" t="s">
        <v>841</v>
      </c>
      <c r="FG110">
        <v>4</v>
      </c>
      <c r="FH110" t="s">
        <v>841</v>
      </c>
      <c r="FL110" t="s">
        <v>841</v>
      </c>
      <c r="FM110">
        <v>600</v>
      </c>
      <c r="FO110">
        <v>19</v>
      </c>
      <c r="FP110">
        <v>27</v>
      </c>
      <c r="FQ110">
        <v>46</v>
      </c>
      <c r="FS110" t="s">
        <v>842</v>
      </c>
      <c r="FT110" t="s">
        <v>839</v>
      </c>
      <c r="FU110" t="s">
        <v>842</v>
      </c>
      <c r="FV110" t="s">
        <v>839</v>
      </c>
      <c r="FW110" t="s">
        <v>839</v>
      </c>
      <c r="FX110" t="s">
        <v>910</v>
      </c>
      <c r="FY110" t="s">
        <v>842</v>
      </c>
      <c r="FZ110" t="s">
        <v>839</v>
      </c>
      <c r="GA110" t="s">
        <v>842</v>
      </c>
      <c r="GB110" t="s">
        <v>839</v>
      </c>
      <c r="GC110" t="s">
        <v>842</v>
      </c>
      <c r="GD110" t="s">
        <v>842</v>
      </c>
      <c r="GG110" t="s">
        <v>668</v>
      </c>
      <c r="GI110" t="s">
        <v>1196</v>
      </c>
      <c r="GJ110">
        <v>0</v>
      </c>
      <c r="GK110">
        <v>0</v>
      </c>
      <c r="GL110">
        <v>0</v>
      </c>
      <c r="GM110">
        <v>0</v>
      </c>
      <c r="GN110">
        <v>0</v>
      </c>
      <c r="GO110">
        <v>1</v>
      </c>
      <c r="GP110">
        <v>0</v>
      </c>
      <c r="GQ110">
        <v>0</v>
      </c>
      <c r="GR110">
        <v>0</v>
      </c>
      <c r="GS110">
        <v>0</v>
      </c>
      <c r="GT110">
        <v>0</v>
      </c>
      <c r="GU110">
        <v>0</v>
      </c>
      <c r="GV110">
        <v>0</v>
      </c>
      <c r="GW110">
        <v>0</v>
      </c>
      <c r="GX110">
        <v>0</v>
      </c>
      <c r="GY110">
        <v>0</v>
      </c>
      <c r="GZ110">
        <v>0</v>
      </c>
      <c r="HB110" t="s">
        <v>839</v>
      </c>
    </row>
    <row r="111" spans="1:211" ht="18" customHeight="1" x14ac:dyDescent="0.35">
      <c r="A111" t="s">
        <v>1569</v>
      </c>
      <c r="B111" s="151">
        <v>45175.385023148148</v>
      </c>
      <c r="C111" t="s">
        <v>1570</v>
      </c>
      <c r="D111" t="s">
        <v>1571</v>
      </c>
      <c r="E111" t="s">
        <v>835</v>
      </c>
      <c r="F111" t="s">
        <v>1572</v>
      </c>
      <c r="G111" t="s">
        <v>1573</v>
      </c>
      <c r="H111" t="s">
        <v>839</v>
      </c>
      <c r="I111" t="s">
        <v>838</v>
      </c>
      <c r="K111" t="s">
        <v>839</v>
      </c>
      <c r="L111" t="s">
        <v>626</v>
      </c>
      <c r="M111" s="155" t="s">
        <v>1574</v>
      </c>
      <c r="O111">
        <v>25</v>
      </c>
      <c r="P111">
        <v>43</v>
      </c>
      <c r="Q111">
        <v>68</v>
      </c>
      <c r="S111" t="s">
        <v>841</v>
      </c>
      <c r="T111" t="s">
        <v>841</v>
      </c>
      <c r="U111" t="s">
        <v>841</v>
      </c>
      <c r="V111" t="s">
        <v>841</v>
      </c>
      <c r="W111" t="s">
        <v>841</v>
      </c>
      <c r="X111" t="s">
        <v>841</v>
      </c>
      <c r="Y111" t="s">
        <v>841</v>
      </c>
      <c r="Z111" t="s">
        <v>841</v>
      </c>
      <c r="AA111" t="s">
        <v>841</v>
      </c>
      <c r="AH111">
        <v>1</v>
      </c>
      <c r="AI111">
        <v>1</v>
      </c>
      <c r="AJ111">
        <v>1</v>
      </c>
      <c r="AK111">
        <v>1</v>
      </c>
      <c r="AL111">
        <v>1</v>
      </c>
      <c r="AM111">
        <v>1</v>
      </c>
      <c r="AN111">
        <v>1</v>
      </c>
      <c r="AO111">
        <v>1</v>
      </c>
      <c r="AP111">
        <v>1</v>
      </c>
      <c r="AQ111">
        <v>0</v>
      </c>
      <c r="AR111">
        <v>0</v>
      </c>
      <c r="AS111">
        <v>0</v>
      </c>
      <c r="AT111">
        <v>0</v>
      </c>
      <c r="AU111">
        <v>0</v>
      </c>
      <c r="AZ111" t="s">
        <v>841</v>
      </c>
      <c r="BJ111">
        <v>0</v>
      </c>
      <c r="BK111">
        <v>0</v>
      </c>
      <c r="BL111">
        <v>0</v>
      </c>
      <c r="BM111" t="s">
        <v>841</v>
      </c>
      <c r="BP111">
        <v>0</v>
      </c>
      <c r="BQ111">
        <v>0</v>
      </c>
      <c r="BR111">
        <v>0</v>
      </c>
      <c r="BS111" t="s">
        <v>841</v>
      </c>
      <c r="BV111" t="s">
        <v>842</v>
      </c>
      <c r="BX111" t="s">
        <v>842</v>
      </c>
      <c r="BZ111" t="s">
        <v>839</v>
      </c>
      <c r="CA111" t="s">
        <v>925</v>
      </c>
      <c r="CC111" t="s">
        <v>839</v>
      </c>
      <c r="CD111" t="s">
        <v>855</v>
      </c>
      <c r="CG111">
        <v>1</v>
      </c>
      <c r="CH111">
        <v>0</v>
      </c>
      <c r="CI111">
        <v>0</v>
      </c>
      <c r="CJ111">
        <v>1</v>
      </c>
      <c r="CK111" t="s">
        <v>877</v>
      </c>
      <c r="CM111" t="s">
        <v>867</v>
      </c>
      <c r="CN111">
        <v>0</v>
      </c>
      <c r="CO111">
        <v>1</v>
      </c>
      <c r="CP111">
        <v>0</v>
      </c>
      <c r="CQ111">
        <v>0</v>
      </c>
      <c r="CR111">
        <v>0</v>
      </c>
      <c r="CS111">
        <v>0</v>
      </c>
      <c r="CU111" t="s">
        <v>1575</v>
      </c>
      <c r="CV111">
        <v>0</v>
      </c>
      <c r="CW111">
        <v>0</v>
      </c>
      <c r="CX111">
        <v>1</v>
      </c>
      <c r="CY111">
        <v>0</v>
      </c>
      <c r="CZ111">
        <v>0</v>
      </c>
      <c r="DA111">
        <v>0</v>
      </c>
      <c r="DB111">
        <v>0</v>
      </c>
      <c r="DC111">
        <v>0</v>
      </c>
      <c r="DD111">
        <v>1</v>
      </c>
      <c r="DE111">
        <v>1</v>
      </c>
      <c r="DF111">
        <v>0</v>
      </c>
      <c r="DJ111">
        <v>2</v>
      </c>
      <c r="DK111">
        <v>4</v>
      </c>
      <c r="DL111">
        <v>6</v>
      </c>
      <c r="DN111">
        <v>400</v>
      </c>
      <c r="DP111">
        <v>500</v>
      </c>
      <c r="DQ111" t="s">
        <v>681</v>
      </c>
      <c r="DR111">
        <v>0</v>
      </c>
      <c r="DS111">
        <v>0</v>
      </c>
      <c r="DT111">
        <v>0</v>
      </c>
      <c r="DU111">
        <v>0</v>
      </c>
      <c r="DV111">
        <v>0</v>
      </c>
      <c r="DW111">
        <v>0</v>
      </c>
      <c r="DX111">
        <v>0</v>
      </c>
      <c r="DY111">
        <v>0</v>
      </c>
      <c r="DZ111">
        <v>1</v>
      </c>
      <c r="EB111" t="s">
        <v>839</v>
      </c>
      <c r="EC111" t="s">
        <v>869</v>
      </c>
      <c r="ED111" t="s">
        <v>848</v>
      </c>
      <c r="EI111">
        <v>400</v>
      </c>
      <c r="EL111" t="s">
        <v>841</v>
      </c>
      <c r="EO111">
        <v>400</v>
      </c>
      <c r="ER111" t="s">
        <v>841</v>
      </c>
      <c r="EZ111" t="s">
        <v>841</v>
      </c>
      <c r="FA111">
        <v>100</v>
      </c>
      <c r="FD111" t="s">
        <v>841</v>
      </c>
      <c r="FG111">
        <v>100</v>
      </c>
      <c r="FJ111" t="s">
        <v>841</v>
      </c>
      <c r="FM111">
        <v>0</v>
      </c>
      <c r="FO111">
        <v>0</v>
      </c>
      <c r="FP111">
        <v>5</v>
      </c>
      <c r="FQ111">
        <v>5</v>
      </c>
      <c r="FS111" t="s">
        <v>842</v>
      </c>
      <c r="FT111" t="s">
        <v>842</v>
      </c>
      <c r="FU111" t="s">
        <v>842</v>
      </c>
      <c r="FV111" t="s">
        <v>842</v>
      </c>
      <c r="FW111" t="s">
        <v>682</v>
      </c>
      <c r="FY111" t="s">
        <v>842</v>
      </c>
      <c r="FZ111" t="s">
        <v>842</v>
      </c>
      <c r="GA111" t="s">
        <v>842</v>
      </c>
      <c r="GB111" t="s">
        <v>842</v>
      </c>
      <c r="GC111" t="s">
        <v>842</v>
      </c>
      <c r="GD111" t="s">
        <v>842</v>
      </c>
      <c r="GG111" t="s">
        <v>668</v>
      </c>
      <c r="GI111" t="s">
        <v>1576</v>
      </c>
      <c r="GJ111">
        <v>1</v>
      </c>
      <c r="GK111">
        <v>0</v>
      </c>
      <c r="GL111">
        <v>1</v>
      </c>
      <c r="GM111">
        <v>0</v>
      </c>
      <c r="GN111">
        <v>0</v>
      </c>
      <c r="GO111">
        <v>0</v>
      </c>
      <c r="GP111">
        <v>0</v>
      </c>
      <c r="GQ111">
        <v>0</v>
      </c>
      <c r="GR111">
        <v>0</v>
      </c>
      <c r="GS111">
        <v>0</v>
      </c>
      <c r="GT111">
        <v>0</v>
      </c>
      <c r="GU111">
        <v>1</v>
      </c>
      <c r="GV111">
        <v>0</v>
      </c>
      <c r="GW111">
        <v>0</v>
      </c>
      <c r="GX111">
        <v>1</v>
      </c>
      <c r="GY111">
        <v>0</v>
      </c>
      <c r="GZ111">
        <v>0</v>
      </c>
      <c r="HB111" t="s">
        <v>842</v>
      </c>
      <c r="HC111" t="s">
        <v>1577</v>
      </c>
    </row>
    <row r="112" spans="1:211" x14ac:dyDescent="0.35">
      <c r="A112" t="s">
        <v>1578</v>
      </c>
      <c r="B112" s="151">
        <v>45176.463854166657</v>
      </c>
      <c r="C112" t="s">
        <v>1579</v>
      </c>
      <c r="D112" t="s">
        <v>1580</v>
      </c>
      <c r="E112" t="s">
        <v>875</v>
      </c>
      <c r="F112" t="s">
        <v>1581</v>
      </c>
      <c r="G112" t="s">
        <v>1581</v>
      </c>
      <c r="H112" t="s">
        <v>839</v>
      </c>
      <c r="I112" t="s">
        <v>896</v>
      </c>
      <c r="K112" t="s">
        <v>839</v>
      </c>
      <c r="L112" t="s">
        <v>887</v>
      </c>
      <c r="O112">
        <v>96</v>
      </c>
      <c r="P112">
        <v>128</v>
      </c>
      <c r="Q112">
        <v>224</v>
      </c>
      <c r="AH112">
        <v>0</v>
      </c>
      <c r="AI112">
        <v>1</v>
      </c>
      <c r="AJ112">
        <v>1</v>
      </c>
      <c r="AK112">
        <v>1</v>
      </c>
      <c r="AL112">
        <v>1</v>
      </c>
      <c r="AM112">
        <v>1</v>
      </c>
      <c r="AN112">
        <v>1</v>
      </c>
      <c r="AO112">
        <v>1</v>
      </c>
      <c r="AP112">
        <v>1</v>
      </c>
      <c r="AQ112">
        <v>1</v>
      </c>
      <c r="AR112">
        <v>1</v>
      </c>
      <c r="AS112">
        <v>1</v>
      </c>
      <c r="AT112">
        <v>1</v>
      </c>
      <c r="AU112">
        <v>1</v>
      </c>
      <c r="AW112">
        <v>3</v>
      </c>
      <c r="AX112">
        <v>2</v>
      </c>
      <c r="AY112">
        <v>5</v>
      </c>
      <c r="BB112">
        <v>0</v>
      </c>
      <c r="BC112">
        <v>1</v>
      </c>
      <c r="BD112">
        <v>1</v>
      </c>
      <c r="BF112">
        <v>3</v>
      </c>
      <c r="BG112">
        <v>1</v>
      </c>
      <c r="BH112">
        <v>4</v>
      </c>
      <c r="BJ112">
        <v>5</v>
      </c>
      <c r="BK112">
        <v>5</v>
      </c>
      <c r="BL112">
        <v>10</v>
      </c>
      <c r="BP112">
        <v>3</v>
      </c>
      <c r="BQ112">
        <v>2</v>
      </c>
      <c r="BR112">
        <v>5</v>
      </c>
      <c r="BV112" t="s">
        <v>842</v>
      </c>
      <c r="BX112" t="s">
        <v>839</v>
      </c>
      <c r="BY112" t="s">
        <v>950</v>
      </c>
      <c r="BZ112" t="s">
        <v>839</v>
      </c>
      <c r="CA112" t="s">
        <v>839</v>
      </c>
      <c r="CC112" t="s">
        <v>842</v>
      </c>
      <c r="CD112" t="s">
        <v>855</v>
      </c>
      <c r="CG112">
        <v>4</v>
      </c>
      <c r="CH112">
        <v>2</v>
      </c>
      <c r="CI112">
        <v>2</v>
      </c>
      <c r="CJ112">
        <v>0</v>
      </c>
      <c r="CK112" t="s">
        <v>877</v>
      </c>
      <c r="CM112" t="s">
        <v>844</v>
      </c>
      <c r="CN112">
        <v>1</v>
      </c>
      <c r="CO112">
        <v>0</v>
      </c>
      <c r="CP112">
        <v>0</v>
      </c>
      <c r="CQ112">
        <v>0</v>
      </c>
      <c r="CR112">
        <v>0</v>
      </c>
      <c r="CS112">
        <v>0</v>
      </c>
      <c r="CU112" t="s">
        <v>907</v>
      </c>
      <c r="CV112">
        <v>1</v>
      </c>
      <c r="CW112">
        <v>0</v>
      </c>
      <c r="CX112">
        <v>1</v>
      </c>
      <c r="CY112">
        <v>0</v>
      </c>
      <c r="CZ112">
        <v>0</v>
      </c>
      <c r="DA112">
        <v>0</v>
      </c>
      <c r="DB112">
        <v>0</v>
      </c>
      <c r="DC112">
        <v>0</v>
      </c>
      <c r="DD112">
        <v>1</v>
      </c>
      <c r="DE112">
        <v>0</v>
      </c>
      <c r="DF112">
        <v>0</v>
      </c>
      <c r="DJ112">
        <v>5</v>
      </c>
      <c r="DK112">
        <v>6</v>
      </c>
      <c r="DL112">
        <v>11</v>
      </c>
      <c r="DN112">
        <v>350</v>
      </c>
      <c r="DP112">
        <v>800</v>
      </c>
      <c r="DQ112" t="s">
        <v>846</v>
      </c>
      <c r="DR112">
        <v>1</v>
      </c>
      <c r="DS112">
        <v>0</v>
      </c>
      <c r="DT112">
        <v>1</v>
      </c>
      <c r="DU112">
        <v>0</v>
      </c>
      <c r="DV112">
        <v>0</v>
      </c>
      <c r="DW112">
        <v>1</v>
      </c>
      <c r="DX112">
        <v>0</v>
      </c>
      <c r="DY112">
        <v>0</v>
      </c>
      <c r="DZ112">
        <v>0</v>
      </c>
      <c r="EB112" t="s">
        <v>839</v>
      </c>
      <c r="EC112" t="s">
        <v>869</v>
      </c>
      <c r="ED112" t="s">
        <v>848</v>
      </c>
      <c r="EI112">
        <v>200</v>
      </c>
      <c r="EM112" t="s">
        <v>841</v>
      </c>
      <c r="EO112">
        <v>200</v>
      </c>
      <c r="ES112" t="s">
        <v>841</v>
      </c>
      <c r="EZ112" t="s">
        <v>841</v>
      </c>
      <c r="FA112">
        <v>6</v>
      </c>
      <c r="FB112" t="s">
        <v>841</v>
      </c>
      <c r="FG112">
        <v>4</v>
      </c>
      <c r="FH112" t="s">
        <v>841</v>
      </c>
      <c r="FM112">
        <v>320</v>
      </c>
      <c r="FO112">
        <v>0</v>
      </c>
      <c r="FP112">
        <v>0</v>
      </c>
      <c r="FQ112">
        <v>0</v>
      </c>
      <c r="FS112" t="s">
        <v>839</v>
      </c>
      <c r="FT112" t="s">
        <v>839</v>
      </c>
      <c r="FU112" t="s">
        <v>839</v>
      </c>
      <c r="FV112" t="s">
        <v>842</v>
      </c>
      <c r="FW112" t="s">
        <v>839</v>
      </c>
      <c r="FX112" t="s">
        <v>880</v>
      </c>
      <c r="FY112" t="s">
        <v>839</v>
      </c>
      <c r="FZ112" t="s">
        <v>839</v>
      </c>
      <c r="GA112" t="s">
        <v>839</v>
      </c>
      <c r="GB112" t="s">
        <v>842</v>
      </c>
      <c r="GC112" t="s">
        <v>842</v>
      </c>
      <c r="GD112" t="s">
        <v>839</v>
      </c>
      <c r="GE112" t="s">
        <v>929</v>
      </c>
      <c r="GG112" t="s">
        <v>668</v>
      </c>
      <c r="GI112" t="s">
        <v>1041</v>
      </c>
      <c r="GJ112">
        <v>1</v>
      </c>
      <c r="GK112">
        <v>1</v>
      </c>
      <c r="GL112">
        <v>1</v>
      </c>
      <c r="GM112">
        <v>0</v>
      </c>
      <c r="GN112">
        <v>0</v>
      </c>
      <c r="GO112">
        <v>0</v>
      </c>
      <c r="GP112">
        <v>0</v>
      </c>
      <c r="GQ112">
        <v>0</v>
      </c>
      <c r="GR112">
        <v>0</v>
      </c>
      <c r="GS112">
        <v>0</v>
      </c>
      <c r="GT112">
        <v>0</v>
      </c>
      <c r="GU112">
        <v>0</v>
      </c>
      <c r="GV112">
        <v>0</v>
      </c>
      <c r="GW112">
        <v>0</v>
      </c>
      <c r="GX112">
        <v>0</v>
      </c>
      <c r="GY112">
        <v>0</v>
      </c>
      <c r="GZ112">
        <v>0</v>
      </c>
      <c r="HB112" t="s">
        <v>839</v>
      </c>
    </row>
    <row r="113" spans="1:211" x14ac:dyDescent="0.35">
      <c r="A113" t="s">
        <v>1582</v>
      </c>
      <c r="B113" s="151">
        <v>45176.495057870372</v>
      </c>
      <c r="C113" t="s">
        <v>1583</v>
      </c>
      <c r="D113" t="s">
        <v>1584</v>
      </c>
      <c r="E113" t="s">
        <v>835</v>
      </c>
      <c r="F113" t="s">
        <v>1585</v>
      </c>
      <c r="G113" t="s">
        <v>1585</v>
      </c>
      <c r="H113" t="s">
        <v>839</v>
      </c>
      <c r="I113" t="s">
        <v>838</v>
      </c>
      <c r="K113" t="s">
        <v>839</v>
      </c>
      <c r="L113" t="s">
        <v>887</v>
      </c>
      <c r="O113">
        <v>62</v>
      </c>
      <c r="P113">
        <v>54</v>
      </c>
      <c r="Q113">
        <v>116</v>
      </c>
      <c r="S113" t="s">
        <v>841</v>
      </c>
      <c r="T113" t="s">
        <v>841</v>
      </c>
      <c r="U113" t="s">
        <v>841</v>
      </c>
      <c r="V113" t="s">
        <v>841</v>
      </c>
      <c r="W113" t="s">
        <v>841</v>
      </c>
      <c r="X113" t="s">
        <v>841</v>
      </c>
      <c r="Y113" t="s">
        <v>841</v>
      </c>
      <c r="Z113" t="s">
        <v>841</v>
      </c>
      <c r="AA113" t="s">
        <v>841</v>
      </c>
      <c r="AB113" t="s">
        <v>841</v>
      </c>
      <c r="AC113" t="s">
        <v>841</v>
      </c>
      <c r="AH113">
        <v>1</v>
      </c>
      <c r="AI113">
        <v>1</v>
      </c>
      <c r="AJ113">
        <v>1</v>
      </c>
      <c r="AK113">
        <v>1</v>
      </c>
      <c r="AL113">
        <v>1</v>
      </c>
      <c r="AM113">
        <v>1</v>
      </c>
      <c r="AN113">
        <v>1</v>
      </c>
      <c r="AO113">
        <v>1</v>
      </c>
      <c r="AP113">
        <v>1</v>
      </c>
      <c r="AQ113">
        <v>1</v>
      </c>
      <c r="AR113">
        <v>1</v>
      </c>
      <c r="AZ113" t="s">
        <v>841</v>
      </c>
      <c r="BM113" t="s">
        <v>841</v>
      </c>
      <c r="BS113" t="s">
        <v>841</v>
      </c>
      <c r="BV113" t="s">
        <v>839</v>
      </c>
      <c r="BW113" t="s">
        <v>759</v>
      </c>
      <c r="BX113" t="s">
        <v>839</v>
      </c>
      <c r="BY113" t="s">
        <v>759</v>
      </c>
      <c r="BZ113" t="s">
        <v>839</v>
      </c>
      <c r="CA113" t="s">
        <v>839</v>
      </c>
      <c r="CC113" t="s">
        <v>839</v>
      </c>
      <c r="CD113" t="s">
        <v>855</v>
      </c>
      <c r="CG113">
        <v>2</v>
      </c>
      <c r="CH113">
        <v>1</v>
      </c>
      <c r="CI113">
        <v>1</v>
      </c>
      <c r="CJ113">
        <v>0</v>
      </c>
      <c r="CK113" t="s">
        <v>877</v>
      </c>
      <c r="CM113" t="s">
        <v>844</v>
      </c>
      <c r="CN113">
        <v>1</v>
      </c>
      <c r="CO113">
        <v>0</v>
      </c>
      <c r="CP113">
        <v>0</v>
      </c>
      <c r="CQ113">
        <v>0</v>
      </c>
      <c r="CR113">
        <v>0</v>
      </c>
      <c r="CS113">
        <v>0</v>
      </c>
      <c r="CU113" t="s">
        <v>907</v>
      </c>
      <c r="CV113">
        <v>1</v>
      </c>
      <c r="CW113">
        <v>0</v>
      </c>
      <c r="CX113">
        <v>1</v>
      </c>
      <c r="CY113">
        <v>0</v>
      </c>
      <c r="CZ113">
        <v>0</v>
      </c>
      <c r="DA113">
        <v>0</v>
      </c>
      <c r="DB113">
        <v>0</v>
      </c>
      <c r="DC113">
        <v>0</v>
      </c>
      <c r="DD113">
        <v>1</v>
      </c>
      <c r="DE113">
        <v>0</v>
      </c>
      <c r="DF113">
        <v>0</v>
      </c>
      <c r="DJ113">
        <v>4</v>
      </c>
      <c r="DK113">
        <v>11</v>
      </c>
      <c r="DL113">
        <v>15</v>
      </c>
      <c r="DN113">
        <v>300</v>
      </c>
      <c r="DP113">
        <v>400</v>
      </c>
      <c r="DQ113" t="s">
        <v>681</v>
      </c>
      <c r="DR113">
        <v>0</v>
      </c>
      <c r="DS113">
        <v>0</v>
      </c>
      <c r="DT113">
        <v>0</v>
      </c>
      <c r="DU113">
        <v>0</v>
      </c>
      <c r="DV113">
        <v>0</v>
      </c>
      <c r="DW113">
        <v>0</v>
      </c>
      <c r="DX113">
        <v>0</v>
      </c>
      <c r="DY113">
        <v>0</v>
      </c>
      <c r="DZ113">
        <v>1</v>
      </c>
      <c r="EB113" t="s">
        <v>839</v>
      </c>
      <c r="EC113" t="s">
        <v>847</v>
      </c>
      <c r="ED113" t="s">
        <v>900</v>
      </c>
      <c r="EI113">
        <v>4</v>
      </c>
      <c r="EJ113" t="s">
        <v>841</v>
      </c>
      <c r="EO113">
        <v>5</v>
      </c>
      <c r="EP113" t="s">
        <v>841</v>
      </c>
      <c r="EU113">
        <v>5</v>
      </c>
      <c r="EV113" t="s">
        <v>841</v>
      </c>
      <c r="FA113">
        <v>6</v>
      </c>
      <c r="FB113" t="s">
        <v>841</v>
      </c>
      <c r="FG113">
        <v>4</v>
      </c>
      <c r="FH113" t="s">
        <v>841</v>
      </c>
      <c r="FM113">
        <v>50</v>
      </c>
      <c r="FO113">
        <v>1</v>
      </c>
      <c r="FP113">
        <v>1</v>
      </c>
      <c r="FQ113">
        <v>2</v>
      </c>
      <c r="FS113" t="s">
        <v>839</v>
      </c>
      <c r="FT113" t="s">
        <v>839</v>
      </c>
      <c r="FU113" t="s">
        <v>839</v>
      </c>
      <c r="FV113" t="s">
        <v>839</v>
      </c>
      <c r="FW113" t="s">
        <v>842</v>
      </c>
      <c r="FY113" t="s">
        <v>839</v>
      </c>
      <c r="FZ113" t="s">
        <v>839</v>
      </c>
      <c r="GA113" t="s">
        <v>839</v>
      </c>
      <c r="GB113" t="s">
        <v>842</v>
      </c>
      <c r="GC113" t="s">
        <v>842</v>
      </c>
      <c r="GD113" t="s">
        <v>842</v>
      </c>
      <c r="GG113" t="s">
        <v>842</v>
      </c>
      <c r="GI113" t="s">
        <v>1586</v>
      </c>
      <c r="GJ113">
        <v>1</v>
      </c>
      <c r="GK113">
        <v>0</v>
      </c>
      <c r="GL113">
        <v>1</v>
      </c>
      <c r="GM113">
        <v>0</v>
      </c>
      <c r="GN113">
        <v>0</v>
      </c>
      <c r="GO113">
        <v>1</v>
      </c>
      <c r="GP113">
        <v>0</v>
      </c>
      <c r="GQ113">
        <v>0</v>
      </c>
      <c r="GR113">
        <v>0</v>
      </c>
      <c r="GS113">
        <v>0</v>
      </c>
      <c r="GT113">
        <v>0</v>
      </c>
      <c r="GU113">
        <v>0</v>
      </c>
      <c r="GV113">
        <v>0</v>
      </c>
      <c r="GW113">
        <v>1</v>
      </c>
      <c r="GX113">
        <v>0</v>
      </c>
      <c r="GY113">
        <v>0</v>
      </c>
      <c r="GZ113">
        <v>0</v>
      </c>
      <c r="HB113" t="s">
        <v>839</v>
      </c>
    </row>
    <row r="114" spans="1:211" x14ac:dyDescent="0.35">
      <c r="A114" t="s">
        <v>1587</v>
      </c>
      <c r="B114" s="151">
        <v>45176.535960648151</v>
      </c>
      <c r="C114" t="s">
        <v>1588</v>
      </c>
      <c r="D114" t="s">
        <v>1589</v>
      </c>
      <c r="E114" t="s">
        <v>875</v>
      </c>
      <c r="F114" t="s">
        <v>1590</v>
      </c>
      <c r="G114" t="s">
        <v>1590</v>
      </c>
      <c r="H114" t="s">
        <v>839</v>
      </c>
      <c r="I114" t="s">
        <v>838</v>
      </c>
      <c r="K114" t="s">
        <v>839</v>
      </c>
      <c r="L114" t="s">
        <v>897</v>
      </c>
      <c r="O114">
        <v>63</v>
      </c>
      <c r="P114">
        <v>60</v>
      </c>
      <c r="Q114">
        <v>123</v>
      </c>
      <c r="S114" t="s">
        <v>841</v>
      </c>
      <c r="T114" t="s">
        <v>841</v>
      </c>
      <c r="U114" t="s">
        <v>841</v>
      </c>
      <c r="V114" t="s">
        <v>841</v>
      </c>
      <c r="W114" t="s">
        <v>841</v>
      </c>
      <c r="AH114">
        <v>1</v>
      </c>
      <c r="AI114">
        <v>1</v>
      </c>
      <c r="AJ114">
        <v>1</v>
      </c>
      <c r="AK114">
        <v>1</v>
      </c>
      <c r="AL114">
        <v>1</v>
      </c>
      <c r="BV114" t="s">
        <v>839</v>
      </c>
      <c r="BW114" t="s">
        <v>758</v>
      </c>
      <c r="BX114" t="s">
        <v>839</v>
      </c>
      <c r="BY114" t="s">
        <v>950</v>
      </c>
      <c r="BZ114" t="s">
        <v>839</v>
      </c>
      <c r="CA114" t="s">
        <v>839</v>
      </c>
      <c r="CC114" t="s">
        <v>842</v>
      </c>
      <c r="CD114" t="s">
        <v>855</v>
      </c>
      <c r="CG114">
        <v>2</v>
      </c>
      <c r="CH114">
        <v>1</v>
      </c>
      <c r="CI114">
        <v>1</v>
      </c>
      <c r="CJ114">
        <v>0</v>
      </c>
      <c r="CK114" t="s">
        <v>681</v>
      </c>
      <c r="CM114" t="s">
        <v>844</v>
      </c>
      <c r="CN114">
        <v>1</v>
      </c>
      <c r="CO114">
        <v>0</v>
      </c>
      <c r="CP114">
        <v>0</v>
      </c>
      <c r="CQ114">
        <v>0</v>
      </c>
      <c r="CR114">
        <v>0</v>
      </c>
      <c r="CS114">
        <v>0</v>
      </c>
      <c r="CU114" t="s">
        <v>868</v>
      </c>
      <c r="CV114">
        <v>1</v>
      </c>
      <c r="CW114">
        <v>0</v>
      </c>
      <c r="CX114">
        <v>1</v>
      </c>
      <c r="CY114">
        <v>0</v>
      </c>
      <c r="CZ114">
        <v>0</v>
      </c>
      <c r="DA114">
        <v>0</v>
      </c>
      <c r="DB114">
        <v>0</v>
      </c>
      <c r="DC114">
        <v>0</v>
      </c>
      <c r="DD114">
        <v>1</v>
      </c>
      <c r="DE114">
        <v>1</v>
      </c>
      <c r="DF114">
        <v>0</v>
      </c>
      <c r="DJ114">
        <v>1</v>
      </c>
      <c r="DK114">
        <v>13</v>
      </c>
      <c r="DL114">
        <v>14</v>
      </c>
      <c r="DN114">
        <v>400</v>
      </c>
      <c r="DP114">
        <v>600</v>
      </c>
      <c r="DQ114" t="s">
        <v>846</v>
      </c>
      <c r="DR114">
        <v>1</v>
      </c>
      <c r="DS114">
        <v>0</v>
      </c>
      <c r="DT114">
        <v>1</v>
      </c>
      <c r="DU114">
        <v>0</v>
      </c>
      <c r="DV114">
        <v>0</v>
      </c>
      <c r="DW114">
        <v>1</v>
      </c>
      <c r="DX114">
        <v>0</v>
      </c>
      <c r="DY114">
        <v>0</v>
      </c>
      <c r="DZ114">
        <v>0</v>
      </c>
      <c r="EB114" t="s">
        <v>839</v>
      </c>
      <c r="EC114" t="s">
        <v>847</v>
      </c>
      <c r="ED114" t="s">
        <v>848</v>
      </c>
      <c r="EI114">
        <v>50</v>
      </c>
      <c r="EL114" t="s">
        <v>841</v>
      </c>
      <c r="EO114">
        <v>50</v>
      </c>
      <c r="ER114" t="s">
        <v>841</v>
      </c>
      <c r="EZ114" t="s">
        <v>841</v>
      </c>
      <c r="FA114">
        <v>4</v>
      </c>
      <c r="FB114" t="s">
        <v>841</v>
      </c>
      <c r="FL114" t="s">
        <v>841</v>
      </c>
      <c r="FM114">
        <v>480</v>
      </c>
      <c r="FO114">
        <v>4</v>
      </c>
      <c r="FP114">
        <v>3</v>
      </c>
      <c r="FQ114">
        <v>7</v>
      </c>
      <c r="FS114" t="s">
        <v>842</v>
      </c>
      <c r="FT114" t="s">
        <v>842</v>
      </c>
      <c r="FU114" t="s">
        <v>839</v>
      </c>
      <c r="FV114" t="s">
        <v>842</v>
      </c>
      <c r="FW114" t="s">
        <v>839</v>
      </c>
      <c r="FX114" t="s">
        <v>890</v>
      </c>
      <c r="FY114" t="s">
        <v>842</v>
      </c>
      <c r="FZ114" t="s">
        <v>839</v>
      </c>
      <c r="GA114" t="s">
        <v>839</v>
      </c>
      <c r="GB114" t="s">
        <v>839</v>
      </c>
      <c r="GC114" t="s">
        <v>842</v>
      </c>
      <c r="GD114" t="s">
        <v>842</v>
      </c>
      <c r="GG114" t="s">
        <v>842</v>
      </c>
      <c r="GI114" t="s">
        <v>1503</v>
      </c>
      <c r="GJ114">
        <v>0</v>
      </c>
      <c r="GK114">
        <v>0</v>
      </c>
      <c r="GL114">
        <v>0</v>
      </c>
      <c r="GM114">
        <v>0</v>
      </c>
      <c r="GN114">
        <v>0</v>
      </c>
      <c r="GO114">
        <v>0</v>
      </c>
      <c r="GP114">
        <v>0</v>
      </c>
      <c r="GQ114">
        <v>0</v>
      </c>
      <c r="GR114">
        <v>0</v>
      </c>
      <c r="GS114">
        <v>1</v>
      </c>
      <c r="GT114">
        <v>0</v>
      </c>
      <c r="GU114">
        <v>0</v>
      </c>
      <c r="GV114">
        <v>0</v>
      </c>
      <c r="GW114">
        <v>0</v>
      </c>
      <c r="GX114">
        <v>0</v>
      </c>
      <c r="GY114">
        <v>0</v>
      </c>
      <c r="GZ114">
        <v>0</v>
      </c>
      <c r="HB114" t="s">
        <v>839</v>
      </c>
    </row>
    <row r="115" spans="1:211" x14ac:dyDescent="0.35">
      <c r="A115" t="s">
        <v>1591</v>
      </c>
      <c r="B115" s="151">
        <v>45177.404062499998</v>
      </c>
      <c r="C115" t="s">
        <v>1592</v>
      </c>
      <c r="D115" t="s">
        <v>1593</v>
      </c>
      <c r="E115" t="s">
        <v>875</v>
      </c>
      <c r="F115" t="s">
        <v>1594</v>
      </c>
      <c r="G115" t="s">
        <v>1594</v>
      </c>
      <c r="H115" t="s">
        <v>839</v>
      </c>
      <c r="I115" t="s">
        <v>896</v>
      </c>
      <c r="K115" t="s">
        <v>839</v>
      </c>
      <c r="L115" t="s">
        <v>887</v>
      </c>
      <c r="O115">
        <v>186</v>
      </c>
      <c r="P115">
        <v>162</v>
      </c>
      <c r="Q115">
        <v>348</v>
      </c>
      <c r="S115" t="s">
        <v>841</v>
      </c>
      <c r="T115" t="s">
        <v>841</v>
      </c>
      <c r="U115" t="s">
        <v>841</v>
      </c>
      <c r="V115" t="s">
        <v>841</v>
      </c>
      <c r="W115" t="s">
        <v>841</v>
      </c>
      <c r="X115" t="s">
        <v>841</v>
      </c>
      <c r="Y115" t="s">
        <v>841</v>
      </c>
      <c r="Z115" t="s">
        <v>841</v>
      </c>
      <c r="AA115" t="s">
        <v>841</v>
      </c>
      <c r="AB115" t="s">
        <v>841</v>
      </c>
      <c r="AC115" t="s">
        <v>841</v>
      </c>
      <c r="AD115" t="s">
        <v>841</v>
      </c>
      <c r="AE115" t="s">
        <v>841</v>
      </c>
      <c r="AF115" t="s">
        <v>841</v>
      </c>
      <c r="AH115">
        <v>1</v>
      </c>
      <c r="AI115">
        <v>1</v>
      </c>
      <c r="AJ115">
        <v>1</v>
      </c>
      <c r="AK115">
        <v>1</v>
      </c>
      <c r="AL115">
        <v>1</v>
      </c>
      <c r="AM115">
        <v>1</v>
      </c>
      <c r="AN115">
        <v>1</v>
      </c>
      <c r="AO115">
        <v>1</v>
      </c>
      <c r="AP115">
        <v>2</v>
      </c>
      <c r="AQ115">
        <v>1</v>
      </c>
      <c r="AR115">
        <v>1</v>
      </c>
      <c r="AS115">
        <v>1</v>
      </c>
      <c r="AT115">
        <v>1</v>
      </c>
      <c r="AU115">
        <v>1</v>
      </c>
      <c r="AW115">
        <v>8</v>
      </c>
      <c r="AX115">
        <v>12</v>
      </c>
      <c r="AY115">
        <v>20</v>
      </c>
      <c r="BJ115">
        <v>11</v>
      </c>
      <c r="BK115">
        <v>14</v>
      </c>
      <c r="BL115">
        <v>25</v>
      </c>
      <c r="BS115" t="s">
        <v>841</v>
      </c>
      <c r="BV115" t="s">
        <v>842</v>
      </c>
      <c r="BX115" t="s">
        <v>839</v>
      </c>
      <c r="BY115" t="s">
        <v>759</v>
      </c>
      <c r="BZ115" t="s">
        <v>839</v>
      </c>
      <c r="CA115" t="s">
        <v>839</v>
      </c>
      <c r="CC115" t="s">
        <v>839</v>
      </c>
      <c r="CD115" t="s">
        <v>855</v>
      </c>
      <c r="CG115">
        <v>14</v>
      </c>
      <c r="CH115">
        <v>6</v>
      </c>
      <c r="CI115">
        <v>6</v>
      </c>
      <c r="CJ115">
        <v>2</v>
      </c>
      <c r="CK115" t="s">
        <v>877</v>
      </c>
      <c r="CM115" t="s">
        <v>626</v>
      </c>
      <c r="CN115">
        <v>0</v>
      </c>
      <c r="CO115">
        <v>0</v>
      </c>
      <c r="CP115">
        <v>0</v>
      </c>
      <c r="CQ115">
        <v>0</v>
      </c>
      <c r="CR115">
        <v>0</v>
      </c>
      <c r="CS115">
        <v>1</v>
      </c>
      <c r="CT115" t="s">
        <v>1595</v>
      </c>
      <c r="CU115" t="s">
        <v>1143</v>
      </c>
      <c r="CV115">
        <v>1</v>
      </c>
      <c r="CW115">
        <v>1</v>
      </c>
      <c r="CX115">
        <v>1</v>
      </c>
      <c r="CY115">
        <v>1</v>
      </c>
      <c r="CZ115">
        <v>1</v>
      </c>
      <c r="DA115">
        <v>1</v>
      </c>
      <c r="DB115">
        <v>1</v>
      </c>
      <c r="DC115">
        <v>1</v>
      </c>
      <c r="DD115">
        <v>1</v>
      </c>
      <c r="DE115">
        <v>1</v>
      </c>
      <c r="DF115">
        <v>0</v>
      </c>
      <c r="DJ115">
        <v>13</v>
      </c>
      <c r="DK115">
        <v>10</v>
      </c>
      <c r="DL115">
        <v>21</v>
      </c>
      <c r="DN115">
        <v>550</v>
      </c>
      <c r="DP115">
        <v>1250</v>
      </c>
      <c r="DQ115" t="s">
        <v>1596</v>
      </c>
      <c r="DR115">
        <v>1</v>
      </c>
      <c r="DS115">
        <v>1</v>
      </c>
      <c r="DT115">
        <v>1</v>
      </c>
      <c r="DU115">
        <v>0</v>
      </c>
      <c r="DV115">
        <v>1</v>
      </c>
      <c r="DW115">
        <v>1</v>
      </c>
      <c r="DX115">
        <v>0</v>
      </c>
      <c r="DY115">
        <v>1</v>
      </c>
      <c r="DZ115">
        <v>0</v>
      </c>
      <c r="EA115" t="s">
        <v>1597</v>
      </c>
      <c r="EB115" t="s">
        <v>839</v>
      </c>
      <c r="EC115" t="s">
        <v>847</v>
      </c>
      <c r="ED115" t="s">
        <v>626</v>
      </c>
      <c r="EE115" t="s">
        <v>1598</v>
      </c>
      <c r="EI115">
        <v>100</v>
      </c>
      <c r="EM115" t="s">
        <v>841</v>
      </c>
      <c r="EO115">
        <v>100</v>
      </c>
      <c r="ES115" t="s">
        <v>841</v>
      </c>
      <c r="EZ115" t="s">
        <v>841</v>
      </c>
      <c r="FA115">
        <v>5</v>
      </c>
      <c r="FB115" t="s">
        <v>841</v>
      </c>
      <c r="FG115">
        <v>2</v>
      </c>
      <c r="FH115" t="s">
        <v>841</v>
      </c>
      <c r="FM115">
        <v>600</v>
      </c>
      <c r="FO115">
        <v>7</v>
      </c>
      <c r="FP115">
        <v>7</v>
      </c>
      <c r="FQ115">
        <v>14</v>
      </c>
      <c r="FS115" t="s">
        <v>842</v>
      </c>
      <c r="FT115" t="s">
        <v>842</v>
      </c>
      <c r="FU115" t="s">
        <v>842</v>
      </c>
      <c r="FV115" t="s">
        <v>839</v>
      </c>
      <c r="FW115" t="s">
        <v>839</v>
      </c>
      <c r="FX115" t="s">
        <v>910</v>
      </c>
      <c r="FY115" t="s">
        <v>839</v>
      </c>
      <c r="FZ115" t="s">
        <v>842</v>
      </c>
      <c r="GA115" t="s">
        <v>842</v>
      </c>
      <c r="GB115" t="s">
        <v>842</v>
      </c>
      <c r="GC115" t="s">
        <v>839</v>
      </c>
      <c r="GD115" t="s">
        <v>842</v>
      </c>
      <c r="GG115" t="s">
        <v>842</v>
      </c>
      <c r="GI115" t="s">
        <v>1599</v>
      </c>
      <c r="GJ115">
        <v>0</v>
      </c>
      <c r="GK115">
        <v>0</v>
      </c>
      <c r="GL115">
        <v>0</v>
      </c>
      <c r="GM115">
        <v>0</v>
      </c>
      <c r="GN115">
        <v>0</v>
      </c>
      <c r="GO115">
        <v>0</v>
      </c>
      <c r="GP115">
        <v>0</v>
      </c>
      <c r="GQ115">
        <v>0</v>
      </c>
      <c r="GR115">
        <v>0</v>
      </c>
      <c r="GS115">
        <v>0</v>
      </c>
      <c r="GT115">
        <v>0</v>
      </c>
      <c r="GU115">
        <v>0</v>
      </c>
      <c r="GV115">
        <v>0</v>
      </c>
      <c r="GW115">
        <v>1</v>
      </c>
      <c r="GX115">
        <v>0</v>
      </c>
      <c r="GY115">
        <v>1</v>
      </c>
      <c r="GZ115">
        <v>0</v>
      </c>
      <c r="HA115" t="s">
        <v>1600</v>
      </c>
      <c r="HB115" t="s">
        <v>842</v>
      </c>
      <c r="HC115" t="s">
        <v>1601</v>
      </c>
    </row>
    <row r="116" spans="1:211" x14ac:dyDescent="0.35">
      <c r="A116" t="s">
        <v>1602</v>
      </c>
      <c r="B116" s="151">
        <v>45177.4062037037</v>
      </c>
      <c r="C116" t="s">
        <v>1603</v>
      </c>
      <c r="D116" t="s">
        <v>1604</v>
      </c>
      <c r="E116" t="s">
        <v>875</v>
      </c>
      <c r="F116" t="s">
        <v>1605</v>
      </c>
      <c r="G116" t="s">
        <v>1605</v>
      </c>
      <c r="H116" t="s">
        <v>837</v>
      </c>
      <c r="I116" t="s">
        <v>838</v>
      </c>
      <c r="K116" t="s">
        <v>839</v>
      </c>
      <c r="L116" t="s">
        <v>887</v>
      </c>
      <c r="O116">
        <v>55</v>
      </c>
      <c r="P116">
        <v>50</v>
      </c>
      <c r="Q116">
        <v>105</v>
      </c>
      <c r="S116" t="s">
        <v>841</v>
      </c>
      <c r="T116" t="s">
        <v>841</v>
      </c>
      <c r="U116" t="s">
        <v>841</v>
      </c>
      <c r="V116" t="s">
        <v>841</v>
      </c>
      <c r="W116" t="s">
        <v>841</v>
      </c>
      <c r="X116" t="s">
        <v>841</v>
      </c>
      <c r="Y116" t="s">
        <v>841</v>
      </c>
      <c r="Z116" t="s">
        <v>841</v>
      </c>
      <c r="AA116" t="s">
        <v>841</v>
      </c>
      <c r="AB116" t="s">
        <v>841</v>
      </c>
      <c r="AC116" t="s">
        <v>841</v>
      </c>
      <c r="AD116" t="s">
        <v>841</v>
      </c>
      <c r="AE116" t="s">
        <v>841</v>
      </c>
      <c r="AF116" t="s">
        <v>841</v>
      </c>
      <c r="AH116">
        <v>1</v>
      </c>
      <c r="AI116">
        <v>1</v>
      </c>
      <c r="AJ116">
        <v>1</v>
      </c>
      <c r="AK116">
        <v>1</v>
      </c>
      <c r="AL116">
        <v>1</v>
      </c>
      <c r="AM116">
        <v>1</v>
      </c>
      <c r="AN116">
        <v>1</v>
      </c>
      <c r="AO116">
        <v>1</v>
      </c>
      <c r="AP116">
        <v>1</v>
      </c>
      <c r="AQ116">
        <v>1</v>
      </c>
      <c r="AR116">
        <v>1</v>
      </c>
      <c r="AS116">
        <v>1</v>
      </c>
      <c r="AT116">
        <v>1</v>
      </c>
      <c r="AU116">
        <v>1</v>
      </c>
      <c r="AW116">
        <v>3</v>
      </c>
      <c r="AX116">
        <v>2</v>
      </c>
      <c r="AY116">
        <v>6</v>
      </c>
      <c r="BB116">
        <v>1</v>
      </c>
      <c r="BC116">
        <v>0</v>
      </c>
      <c r="BD116">
        <v>1</v>
      </c>
      <c r="BF116">
        <v>2</v>
      </c>
      <c r="BG116">
        <v>1</v>
      </c>
      <c r="BH116">
        <v>3</v>
      </c>
      <c r="BJ116">
        <v>4</v>
      </c>
      <c r="BK116">
        <v>3</v>
      </c>
      <c r="BL116">
        <v>7</v>
      </c>
      <c r="BP116">
        <v>3</v>
      </c>
      <c r="BQ116">
        <v>2</v>
      </c>
      <c r="BR116">
        <v>5</v>
      </c>
      <c r="BV116" t="s">
        <v>839</v>
      </c>
      <c r="BW116" t="s">
        <v>759</v>
      </c>
      <c r="BX116" t="s">
        <v>839</v>
      </c>
      <c r="BY116" t="s">
        <v>950</v>
      </c>
      <c r="BZ116" t="s">
        <v>839</v>
      </c>
      <c r="CA116" t="s">
        <v>839</v>
      </c>
      <c r="CC116" t="s">
        <v>842</v>
      </c>
      <c r="CD116" t="s">
        <v>1022</v>
      </c>
      <c r="CG116">
        <v>3</v>
      </c>
      <c r="CH116">
        <v>1</v>
      </c>
      <c r="CI116">
        <v>1</v>
      </c>
      <c r="CJ116">
        <v>1</v>
      </c>
      <c r="CK116" t="s">
        <v>681</v>
      </c>
      <c r="CM116" t="s">
        <v>844</v>
      </c>
      <c r="CN116">
        <v>1</v>
      </c>
      <c r="CO116">
        <v>0</v>
      </c>
      <c r="CP116">
        <v>0</v>
      </c>
      <c r="CQ116">
        <v>0</v>
      </c>
      <c r="CR116">
        <v>0</v>
      </c>
      <c r="CS116">
        <v>0</v>
      </c>
      <c r="CU116" t="s">
        <v>1606</v>
      </c>
      <c r="CV116">
        <v>0</v>
      </c>
      <c r="CW116">
        <v>0</v>
      </c>
      <c r="CX116">
        <v>1</v>
      </c>
      <c r="CY116">
        <v>1</v>
      </c>
      <c r="CZ116">
        <v>0</v>
      </c>
      <c r="DA116">
        <v>0</v>
      </c>
      <c r="DB116">
        <v>0</v>
      </c>
      <c r="DC116">
        <v>0</v>
      </c>
      <c r="DD116">
        <v>0</v>
      </c>
      <c r="DE116">
        <v>0</v>
      </c>
      <c r="DF116">
        <v>0</v>
      </c>
      <c r="DJ116">
        <v>6</v>
      </c>
      <c r="DK116">
        <v>4</v>
      </c>
      <c r="DL116">
        <v>0</v>
      </c>
      <c r="DN116">
        <v>300</v>
      </c>
      <c r="DP116">
        <v>500</v>
      </c>
      <c r="DQ116" t="s">
        <v>681</v>
      </c>
      <c r="DR116">
        <v>0</v>
      </c>
      <c r="DS116">
        <v>0</v>
      </c>
      <c r="DT116">
        <v>0</v>
      </c>
      <c r="DU116">
        <v>0</v>
      </c>
      <c r="DV116">
        <v>0</v>
      </c>
      <c r="DW116">
        <v>0</v>
      </c>
      <c r="DX116">
        <v>0</v>
      </c>
      <c r="DY116">
        <v>0</v>
      </c>
      <c r="DZ116">
        <v>1</v>
      </c>
      <c r="EB116" t="s">
        <v>839</v>
      </c>
      <c r="EC116" t="s">
        <v>869</v>
      </c>
      <c r="ED116" t="s">
        <v>848</v>
      </c>
      <c r="EI116">
        <v>300</v>
      </c>
      <c r="EM116" t="s">
        <v>841</v>
      </c>
      <c r="EO116">
        <v>300</v>
      </c>
      <c r="ES116" t="s">
        <v>841</v>
      </c>
      <c r="EZ116" t="s">
        <v>841</v>
      </c>
      <c r="FA116">
        <v>3</v>
      </c>
      <c r="FB116" t="s">
        <v>841</v>
      </c>
      <c r="FL116" t="s">
        <v>841</v>
      </c>
      <c r="FM116">
        <v>330</v>
      </c>
      <c r="FO116">
        <v>0</v>
      </c>
      <c r="FP116">
        <v>0</v>
      </c>
      <c r="FQ116">
        <v>0</v>
      </c>
      <c r="FS116" t="s">
        <v>839</v>
      </c>
      <c r="FT116" t="s">
        <v>842</v>
      </c>
      <c r="FU116" t="s">
        <v>839</v>
      </c>
      <c r="FV116" t="s">
        <v>842</v>
      </c>
      <c r="FW116" t="s">
        <v>839</v>
      </c>
      <c r="FX116" t="s">
        <v>890</v>
      </c>
      <c r="FY116" t="s">
        <v>842</v>
      </c>
      <c r="FZ116" t="s">
        <v>839</v>
      </c>
      <c r="GA116" t="s">
        <v>839</v>
      </c>
      <c r="GB116" t="s">
        <v>839</v>
      </c>
      <c r="GC116" t="s">
        <v>842</v>
      </c>
      <c r="GD116" t="s">
        <v>842</v>
      </c>
      <c r="GG116" t="s">
        <v>839</v>
      </c>
      <c r="GI116" t="s">
        <v>1607</v>
      </c>
      <c r="GJ116">
        <v>1</v>
      </c>
      <c r="GK116">
        <v>1</v>
      </c>
      <c r="GL116">
        <v>0</v>
      </c>
      <c r="GM116">
        <v>1</v>
      </c>
      <c r="GN116">
        <v>1</v>
      </c>
      <c r="GO116">
        <v>1</v>
      </c>
      <c r="GP116">
        <v>1</v>
      </c>
      <c r="GQ116">
        <v>0</v>
      </c>
      <c r="GR116">
        <v>0</v>
      </c>
      <c r="GS116">
        <v>1</v>
      </c>
      <c r="GT116">
        <v>0</v>
      </c>
      <c r="GU116">
        <v>0</v>
      </c>
      <c r="GV116">
        <v>1</v>
      </c>
      <c r="GW116">
        <v>0</v>
      </c>
      <c r="GX116">
        <v>1</v>
      </c>
      <c r="GY116">
        <v>0</v>
      </c>
      <c r="GZ116">
        <v>0</v>
      </c>
      <c r="HB116" t="s">
        <v>839</v>
      </c>
    </row>
    <row r="117" spans="1:211" x14ac:dyDescent="0.35">
      <c r="A117" t="s">
        <v>1608</v>
      </c>
      <c r="B117" s="151">
        <v>45177.422442129631</v>
      </c>
      <c r="C117" t="s">
        <v>1609</v>
      </c>
      <c r="D117" t="s">
        <v>1610</v>
      </c>
      <c r="E117" t="s">
        <v>875</v>
      </c>
      <c r="F117" t="s">
        <v>1611</v>
      </c>
      <c r="G117" t="s">
        <v>1611</v>
      </c>
      <c r="H117" t="s">
        <v>842</v>
      </c>
      <c r="K117" t="s">
        <v>839</v>
      </c>
      <c r="L117" t="s">
        <v>887</v>
      </c>
      <c r="O117">
        <v>100</v>
      </c>
      <c r="P117">
        <v>114</v>
      </c>
      <c r="Q117">
        <v>214</v>
      </c>
      <c r="S117" t="s">
        <v>841</v>
      </c>
      <c r="T117" t="s">
        <v>841</v>
      </c>
      <c r="U117" t="s">
        <v>841</v>
      </c>
      <c r="V117" t="s">
        <v>841</v>
      </c>
      <c r="W117" t="s">
        <v>841</v>
      </c>
      <c r="X117" t="s">
        <v>841</v>
      </c>
      <c r="Y117" t="s">
        <v>841</v>
      </c>
      <c r="Z117" t="s">
        <v>841</v>
      </c>
      <c r="AA117" t="s">
        <v>841</v>
      </c>
      <c r="AB117" t="s">
        <v>841</v>
      </c>
      <c r="AC117" t="s">
        <v>841</v>
      </c>
      <c r="AH117">
        <v>1</v>
      </c>
      <c r="AI117">
        <v>1</v>
      </c>
      <c r="AJ117">
        <v>1</v>
      </c>
      <c r="AK117">
        <v>1</v>
      </c>
      <c r="AL117">
        <v>1</v>
      </c>
      <c r="AM117">
        <v>1</v>
      </c>
      <c r="AN117">
        <v>1</v>
      </c>
      <c r="AO117">
        <v>1</v>
      </c>
      <c r="AP117">
        <v>1</v>
      </c>
      <c r="AQ117">
        <v>1</v>
      </c>
      <c r="AR117">
        <v>0</v>
      </c>
      <c r="AS117">
        <v>0</v>
      </c>
      <c r="AT117">
        <v>0</v>
      </c>
      <c r="AU117">
        <v>0</v>
      </c>
      <c r="AZ117" t="s">
        <v>841</v>
      </c>
      <c r="BM117" t="s">
        <v>841</v>
      </c>
      <c r="BS117" t="s">
        <v>841</v>
      </c>
      <c r="BV117" t="s">
        <v>839</v>
      </c>
      <c r="BW117" t="s">
        <v>759</v>
      </c>
      <c r="BX117" t="s">
        <v>839</v>
      </c>
      <c r="BY117" t="s">
        <v>759</v>
      </c>
      <c r="BZ117" t="s">
        <v>839</v>
      </c>
      <c r="CA117" t="s">
        <v>839</v>
      </c>
      <c r="CC117" t="s">
        <v>839</v>
      </c>
      <c r="CD117" t="s">
        <v>855</v>
      </c>
      <c r="CG117">
        <v>10</v>
      </c>
      <c r="CH117">
        <v>5</v>
      </c>
      <c r="CI117">
        <v>5</v>
      </c>
      <c r="CJ117">
        <v>0</v>
      </c>
      <c r="CK117" t="s">
        <v>877</v>
      </c>
      <c r="CM117" t="s">
        <v>867</v>
      </c>
      <c r="CN117">
        <v>0</v>
      </c>
      <c r="CO117">
        <v>1</v>
      </c>
      <c r="CP117">
        <v>0</v>
      </c>
      <c r="CQ117">
        <v>0</v>
      </c>
      <c r="CR117">
        <v>0</v>
      </c>
      <c r="CS117">
        <v>0</v>
      </c>
      <c r="CU117" t="s">
        <v>1612</v>
      </c>
      <c r="CV117">
        <v>1</v>
      </c>
      <c r="CW117">
        <v>0</v>
      </c>
      <c r="CX117">
        <v>1</v>
      </c>
      <c r="CY117">
        <v>0</v>
      </c>
      <c r="CZ117">
        <v>0</v>
      </c>
      <c r="DA117">
        <v>1</v>
      </c>
      <c r="DB117">
        <v>1</v>
      </c>
      <c r="DC117">
        <v>1</v>
      </c>
      <c r="DD117">
        <v>0</v>
      </c>
      <c r="DE117">
        <v>0</v>
      </c>
      <c r="DF117">
        <v>0</v>
      </c>
      <c r="DJ117">
        <v>3</v>
      </c>
      <c r="DK117">
        <v>11</v>
      </c>
      <c r="DL117">
        <v>14</v>
      </c>
      <c r="DN117">
        <v>470</v>
      </c>
      <c r="DP117">
        <v>1700</v>
      </c>
      <c r="DQ117" t="s">
        <v>1613</v>
      </c>
      <c r="DR117">
        <v>0</v>
      </c>
      <c r="DS117">
        <v>0</v>
      </c>
      <c r="DT117">
        <v>0</v>
      </c>
      <c r="DU117">
        <v>1</v>
      </c>
      <c r="DV117">
        <v>0</v>
      </c>
      <c r="DW117">
        <v>1</v>
      </c>
      <c r="DX117">
        <v>0</v>
      </c>
      <c r="DY117">
        <v>0</v>
      </c>
      <c r="DZ117">
        <v>0</v>
      </c>
      <c r="EB117" t="s">
        <v>839</v>
      </c>
      <c r="EC117" t="s">
        <v>957</v>
      </c>
      <c r="ED117" t="s">
        <v>848</v>
      </c>
      <c r="EI117">
        <v>385</v>
      </c>
      <c r="EM117" t="s">
        <v>841</v>
      </c>
      <c r="EO117">
        <v>365</v>
      </c>
      <c r="ES117" t="s">
        <v>841</v>
      </c>
      <c r="EZ117" t="s">
        <v>841</v>
      </c>
      <c r="FA117">
        <v>10</v>
      </c>
      <c r="FB117" t="s">
        <v>841</v>
      </c>
      <c r="FL117" t="s">
        <v>841</v>
      </c>
      <c r="FM117">
        <v>2500</v>
      </c>
      <c r="FO117">
        <v>1</v>
      </c>
      <c r="FP117">
        <v>4</v>
      </c>
      <c r="FQ117">
        <v>5</v>
      </c>
      <c r="FS117" t="s">
        <v>839</v>
      </c>
      <c r="FT117" t="s">
        <v>839</v>
      </c>
      <c r="FU117" t="s">
        <v>839</v>
      </c>
      <c r="FV117" t="s">
        <v>839</v>
      </c>
      <c r="FW117" t="s">
        <v>839</v>
      </c>
      <c r="FX117" t="s">
        <v>910</v>
      </c>
      <c r="FY117" t="s">
        <v>839</v>
      </c>
      <c r="FZ117" t="s">
        <v>839</v>
      </c>
      <c r="GA117" t="s">
        <v>839</v>
      </c>
      <c r="GB117" t="s">
        <v>839</v>
      </c>
      <c r="GC117" t="s">
        <v>839</v>
      </c>
      <c r="GD117" t="s">
        <v>842</v>
      </c>
      <c r="GG117" t="s">
        <v>839</v>
      </c>
      <c r="GI117" t="s">
        <v>849</v>
      </c>
      <c r="GJ117">
        <v>1</v>
      </c>
      <c r="GK117">
        <v>0</v>
      </c>
      <c r="GL117">
        <v>0</v>
      </c>
      <c r="GM117">
        <v>0</v>
      </c>
      <c r="GN117">
        <v>0</v>
      </c>
      <c r="GO117">
        <v>0</v>
      </c>
      <c r="GP117">
        <v>0</v>
      </c>
      <c r="GQ117">
        <v>0</v>
      </c>
      <c r="GR117">
        <v>0</v>
      </c>
      <c r="GS117">
        <v>0</v>
      </c>
      <c r="GT117">
        <v>0</v>
      </c>
      <c r="GU117">
        <v>0</v>
      </c>
      <c r="GV117">
        <v>0</v>
      </c>
      <c r="GW117">
        <v>0</v>
      </c>
      <c r="GX117">
        <v>0</v>
      </c>
      <c r="GY117">
        <v>0</v>
      </c>
      <c r="GZ117">
        <v>0</v>
      </c>
      <c r="HB117" t="s">
        <v>839</v>
      </c>
    </row>
    <row r="118" spans="1:211" x14ac:dyDescent="0.35">
      <c r="A118" t="s">
        <v>1614</v>
      </c>
      <c r="B118" s="151">
        <v>45188.6174537037</v>
      </c>
      <c r="C118" t="s">
        <v>1615</v>
      </c>
      <c r="D118" t="s">
        <v>1616</v>
      </c>
      <c r="E118" t="s">
        <v>835</v>
      </c>
      <c r="F118" t="s">
        <v>1617</v>
      </c>
      <c r="G118" t="s">
        <v>1617</v>
      </c>
      <c r="H118" t="s">
        <v>839</v>
      </c>
      <c r="I118" t="s">
        <v>896</v>
      </c>
      <c r="K118" t="s">
        <v>839</v>
      </c>
      <c r="L118" t="s">
        <v>897</v>
      </c>
      <c r="O118">
        <v>56</v>
      </c>
      <c r="P118">
        <v>48</v>
      </c>
      <c r="Q118">
        <v>104</v>
      </c>
      <c r="S118" t="s">
        <v>841</v>
      </c>
      <c r="T118" t="s">
        <v>841</v>
      </c>
      <c r="U118" t="s">
        <v>841</v>
      </c>
      <c r="V118" t="s">
        <v>841</v>
      </c>
      <c r="W118" t="s">
        <v>841</v>
      </c>
      <c r="X118" t="s">
        <v>841</v>
      </c>
      <c r="Y118" t="s">
        <v>841</v>
      </c>
      <c r="AH118">
        <v>1</v>
      </c>
      <c r="AI118">
        <v>1</v>
      </c>
      <c r="AJ118">
        <v>1</v>
      </c>
      <c r="AK118">
        <v>1</v>
      </c>
      <c r="AL118">
        <v>1</v>
      </c>
      <c r="AM118">
        <v>1</v>
      </c>
      <c r="AN118">
        <v>1</v>
      </c>
      <c r="AO118">
        <v>0</v>
      </c>
      <c r="AP118">
        <v>0</v>
      </c>
      <c r="AQ118">
        <v>0</v>
      </c>
      <c r="AR118">
        <v>0</v>
      </c>
      <c r="AS118">
        <v>0</v>
      </c>
      <c r="AT118">
        <v>0</v>
      </c>
      <c r="AU118">
        <v>0</v>
      </c>
      <c r="AZ118" t="s">
        <v>841</v>
      </c>
      <c r="BM118" t="s">
        <v>841</v>
      </c>
      <c r="BS118" t="s">
        <v>841</v>
      </c>
      <c r="BV118" t="s">
        <v>839</v>
      </c>
      <c r="BW118" t="s">
        <v>758</v>
      </c>
      <c r="BX118" t="s">
        <v>839</v>
      </c>
      <c r="BY118" t="s">
        <v>759</v>
      </c>
      <c r="BZ118" t="s">
        <v>839</v>
      </c>
      <c r="CA118" t="s">
        <v>839</v>
      </c>
      <c r="CC118" t="s">
        <v>839</v>
      </c>
      <c r="CD118" t="s">
        <v>855</v>
      </c>
      <c r="CG118">
        <v>6</v>
      </c>
      <c r="CH118">
        <v>3</v>
      </c>
      <c r="CI118">
        <v>3</v>
      </c>
      <c r="CJ118">
        <v>0</v>
      </c>
      <c r="CK118" t="s">
        <v>856</v>
      </c>
      <c r="CM118" t="s">
        <v>844</v>
      </c>
      <c r="CN118">
        <v>1</v>
      </c>
      <c r="CO118">
        <v>0</v>
      </c>
      <c r="CP118">
        <v>0</v>
      </c>
      <c r="CQ118">
        <v>0</v>
      </c>
      <c r="CR118">
        <v>0</v>
      </c>
      <c r="CS118">
        <v>0</v>
      </c>
      <c r="CU118" t="s">
        <v>1618</v>
      </c>
      <c r="CV118">
        <v>1</v>
      </c>
      <c r="CW118">
        <v>0</v>
      </c>
      <c r="CX118">
        <v>1</v>
      </c>
      <c r="CY118">
        <v>0</v>
      </c>
      <c r="CZ118">
        <v>1</v>
      </c>
      <c r="DA118">
        <v>1</v>
      </c>
      <c r="DB118">
        <v>0</v>
      </c>
      <c r="DC118">
        <v>0</v>
      </c>
      <c r="DD118">
        <v>1</v>
      </c>
      <c r="DE118">
        <v>1</v>
      </c>
      <c r="DF118">
        <v>0</v>
      </c>
      <c r="DJ118">
        <v>5</v>
      </c>
      <c r="DK118">
        <v>7</v>
      </c>
      <c r="DL118">
        <v>12</v>
      </c>
      <c r="DN118">
        <v>450</v>
      </c>
      <c r="DP118">
        <v>650</v>
      </c>
      <c r="DQ118" t="s">
        <v>908</v>
      </c>
      <c r="DR118">
        <v>1</v>
      </c>
      <c r="DS118">
        <v>1</v>
      </c>
      <c r="DT118">
        <v>1</v>
      </c>
      <c r="DU118">
        <v>0</v>
      </c>
      <c r="DV118">
        <v>1</v>
      </c>
      <c r="DW118">
        <v>0</v>
      </c>
      <c r="DX118">
        <v>0</v>
      </c>
      <c r="DY118">
        <v>0</v>
      </c>
      <c r="DZ118">
        <v>0</v>
      </c>
      <c r="EB118" t="s">
        <v>839</v>
      </c>
      <c r="EC118" t="s">
        <v>869</v>
      </c>
      <c r="ED118" t="s">
        <v>848</v>
      </c>
      <c r="EI118">
        <v>445</v>
      </c>
      <c r="EM118" t="s">
        <v>841</v>
      </c>
      <c r="EO118">
        <v>455</v>
      </c>
      <c r="ES118" t="s">
        <v>841</v>
      </c>
      <c r="EU118">
        <v>550</v>
      </c>
      <c r="EY118" t="s">
        <v>841</v>
      </c>
      <c r="FA118">
        <v>5</v>
      </c>
      <c r="FB118" t="s">
        <v>841</v>
      </c>
      <c r="FG118">
        <v>4</v>
      </c>
      <c r="FH118" t="s">
        <v>841</v>
      </c>
      <c r="FM118">
        <v>1285</v>
      </c>
      <c r="FO118">
        <v>1</v>
      </c>
      <c r="FP118">
        <v>3</v>
      </c>
      <c r="FQ118">
        <v>4</v>
      </c>
      <c r="FS118" t="s">
        <v>842</v>
      </c>
      <c r="FT118" t="s">
        <v>839</v>
      </c>
      <c r="FU118" t="s">
        <v>839</v>
      </c>
      <c r="FV118" t="s">
        <v>839</v>
      </c>
      <c r="FW118" t="s">
        <v>839</v>
      </c>
      <c r="FX118" t="s">
        <v>890</v>
      </c>
      <c r="FY118" t="s">
        <v>839</v>
      </c>
      <c r="FZ118" t="s">
        <v>839</v>
      </c>
      <c r="GA118" t="s">
        <v>839</v>
      </c>
      <c r="GB118" t="s">
        <v>839</v>
      </c>
      <c r="GC118" t="s">
        <v>839</v>
      </c>
      <c r="GD118" t="s">
        <v>842</v>
      </c>
      <c r="GG118" t="s">
        <v>839</v>
      </c>
      <c r="GI118" t="s">
        <v>1619</v>
      </c>
      <c r="GJ118">
        <v>1</v>
      </c>
      <c r="GK118">
        <v>1</v>
      </c>
      <c r="GL118">
        <v>0</v>
      </c>
      <c r="GM118">
        <v>0</v>
      </c>
      <c r="GN118">
        <v>0</v>
      </c>
      <c r="GO118">
        <v>1</v>
      </c>
      <c r="GP118">
        <v>0</v>
      </c>
      <c r="GQ118">
        <v>0</v>
      </c>
      <c r="GR118">
        <v>0</v>
      </c>
      <c r="GS118">
        <v>0</v>
      </c>
      <c r="GT118">
        <v>0</v>
      </c>
      <c r="GU118">
        <v>0</v>
      </c>
      <c r="GV118">
        <v>0</v>
      </c>
      <c r="GW118">
        <v>0</v>
      </c>
      <c r="GX118">
        <v>0</v>
      </c>
      <c r="GY118">
        <v>0</v>
      </c>
      <c r="GZ118">
        <v>0</v>
      </c>
      <c r="HB118" t="s">
        <v>839</v>
      </c>
    </row>
    <row r="119" spans="1:211" x14ac:dyDescent="0.35">
      <c r="A119" t="s">
        <v>1620</v>
      </c>
      <c r="B119" s="151">
        <v>45189.820763888893</v>
      </c>
      <c r="C119" t="s">
        <v>1621</v>
      </c>
      <c r="D119" t="s">
        <v>1622</v>
      </c>
      <c r="E119" t="s">
        <v>875</v>
      </c>
      <c r="F119" t="s">
        <v>1623</v>
      </c>
      <c r="G119" t="s">
        <v>1623</v>
      </c>
      <c r="H119" t="s">
        <v>839</v>
      </c>
      <c r="I119" t="s">
        <v>838</v>
      </c>
      <c r="K119" t="s">
        <v>842</v>
      </c>
      <c r="O119">
        <v>73</v>
      </c>
      <c r="P119">
        <v>70</v>
      </c>
      <c r="Q119">
        <v>143</v>
      </c>
      <c r="S119" t="s">
        <v>841</v>
      </c>
      <c r="T119" t="s">
        <v>841</v>
      </c>
      <c r="U119" t="s">
        <v>841</v>
      </c>
      <c r="V119" t="s">
        <v>841</v>
      </c>
      <c r="W119" t="s">
        <v>841</v>
      </c>
      <c r="X119" t="s">
        <v>841</v>
      </c>
      <c r="Y119" t="s">
        <v>841</v>
      </c>
      <c r="Z119" t="s">
        <v>841</v>
      </c>
      <c r="AH119">
        <v>0</v>
      </c>
      <c r="AI119">
        <v>0</v>
      </c>
      <c r="AJ119">
        <v>0</v>
      </c>
      <c r="AK119">
        <v>0</v>
      </c>
      <c r="AL119">
        <v>0</v>
      </c>
      <c r="AM119">
        <v>0</v>
      </c>
      <c r="AN119">
        <v>0</v>
      </c>
      <c r="AO119">
        <v>0</v>
      </c>
      <c r="AZ119" t="s">
        <v>841</v>
      </c>
      <c r="BM119" t="s">
        <v>841</v>
      </c>
      <c r="BS119" t="s">
        <v>841</v>
      </c>
      <c r="BV119" t="s">
        <v>839</v>
      </c>
      <c r="BW119" t="s">
        <v>758</v>
      </c>
      <c r="BX119" t="s">
        <v>839</v>
      </c>
      <c r="BY119" t="s">
        <v>759</v>
      </c>
      <c r="BZ119" t="s">
        <v>839</v>
      </c>
      <c r="CA119" t="s">
        <v>839</v>
      </c>
      <c r="CC119" t="s">
        <v>839</v>
      </c>
      <c r="CD119" t="s">
        <v>855</v>
      </c>
      <c r="CG119">
        <v>5</v>
      </c>
      <c r="CH119">
        <v>2</v>
      </c>
      <c r="CI119">
        <v>2</v>
      </c>
      <c r="CJ119">
        <v>1</v>
      </c>
      <c r="CK119" t="s">
        <v>856</v>
      </c>
      <c r="CM119" t="s">
        <v>844</v>
      </c>
      <c r="CN119">
        <v>1</v>
      </c>
      <c r="CO119">
        <v>0</v>
      </c>
      <c r="CP119">
        <v>0</v>
      </c>
      <c r="CQ119">
        <v>0</v>
      </c>
      <c r="CR119">
        <v>0</v>
      </c>
      <c r="CS119">
        <v>0</v>
      </c>
      <c r="CU119" t="s">
        <v>1268</v>
      </c>
      <c r="CV119">
        <v>1</v>
      </c>
      <c r="CW119">
        <v>0</v>
      </c>
      <c r="CX119">
        <v>1</v>
      </c>
      <c r="CY119">
        <v>1</v>
      </c>
      <c r="CZ119">
        <v>0</v>
      </c>
      <c r="DA119">
        <v>1</v>
      </c>
      <c r="DB119">
        <v>0</v>
      </c>
      <c r="DC119">
        <v>1</v>
      </c>
      <c r="DD119">
        <v>1</v>
      </c>
      <c r="DE119">
        <v>1</v>
      </c>
      <c r="DF119">
        <v>0</v>
      </c>
      <c r="DJ119">
        <v>8</v>
      </c>
      <c r="DK119">
        <v>3</v>
      </c>
      <c r="DL119">
        <v>11</v>
      </c>
      <c r="DN119">
        <v>500</v>
      </c>
      <c r="DP119">
        <v>1000</v>
      </c>
      <c r="DQ119" t="s">
        <v>964</v>
      </c>
      <c r="DR119">
        <v>1</v>
      </c>
      <c r="DS119">
        <v>1</v>
      </c>
      <c r="DT119">
        <v>1</v>
      </c>
      <c r="DU119">
        <v>0</v>
      </c>
      <c r="DV119">
        <v>1</v>
      </c>
      <c r="DW119">
        <v>1</v>
      </c>
      <c r="DX119">
        <v>1</v>
      </c>
      <c r="DY119">
        <v>0</v>
      </c>
      <c r="DZ119">
        <v>0</v>
      </c>
      <c r="EB119" t="s">
        <v>839</v>
      </c>
      <c r="EC119" t="s">
        <v>847</v>
      </c>
      <c r="ED119" t="s">
        <v>848</v>
      </c>
      <c r="EI119">
        <v>490</v>
      </c>
      <c r="EM119" t="s">
        <v>841</v>
      </c>
      <c r="EO119">
        <v>542</v>
      </c>
      <c r="ES119" t="s">
        <v>841</v>
      </c>
      <c r="EZ119" t="s">
        <v>841</v>
      </c>
      <c r="FA119">
        <v>420</v>
      </c>
      <c r="FE119" t="s">
        <v>841</v>
      </c>
      <c r="FG119">
        <v>10</v>
      </c>
      <c r="FH119" t="s">
        <v>841</v>
      </c>
      <c r="FM119">
        <v>1135</v>
      </c>
      <c r="FO119">
        <v>6</v>
      </c>
      <c r="FP119">
        <v>3</v>
      </c>
      <c r="FQ119">
        <v>9</v>
      </c>
      <c r="FS119" t="s">
        <v>839</v>
      </c>
      <c r="FT119" t="s">
        <v>839</v>
      </c>
      <c r="FU119" t="s">
        <v>839</v>
      </c>
      <c r="FV119" t="s">
        <v>839</v>
      </c>
      <c r="FW119" t="s">
        <v>842</v>
      </c>
      <c r="FY119" t="s">
        <v>839</v>
      </c>
      <c r="FZ119" t="s">
        <v>839</v>
      </c>
      <c r="GA119" t="s">
        <v>839</v>
      </c>
      <c r="GB119" t="s">
        <v>839</v>
      </c>
      <c r="GC119" t="s">
        <v>842</v>
      </c>
      <c r="GD119" t="s">
        <v>842</v>
      </c>
      <c r="GG119" t="s">
        <v>839</v>
      </c>
      <c r="GI119" t="s">
        <v>1624</v>
      </c>
      <c r="GJ119">
        <v>1</v>
      </c>
      <c r="GK119">
        <v>0</v>
      </c>
      <c r="GL119">
        <v>0</v>
      </c>
      <c r="GM119">
        <v>0</v>
      </c>
      <c r="GN119">
        <v>0</v>
      </c>
      <c r="GO119">
        <v>0</v>
      </c>
      <c r="GP119">
        <v>0</v>
      </c>
      <c r="GQ119">
        <v>0</v>
      </c>
      <c r="GR119">
        <v>0</v>
      </c>
      <c r="GS119">
        <v>1</v>
      </c>
      <c r="GT119">
        <v>0</v>
      </c>
      <c r="GU119">
        <v>1</v>
      </c>
      <c r="GV119">
        <v>0</v>
      </c>
      <c r="GW119">
        <v>1</v>
      </c>
      <c r="GX119">
        <v>0</v>
      </c>
      <c r="GY119">
        <v>0</v>
      </c>
      <c r="GZ119">
        <v>0</v>
      </c>
      <c r="HB119" t="s">
        <v>839</v>
      </c>
    </row>
    <row r="120" spans="1:211" x14ac:dyDescent="0.35">
      <c r="A120" t="s">
        <v>1625</v>
      </c>
      <c r="B120" s="151">
        <v>45190.380347222221</v>
      </c>
      <c r="C120" t="s">
        <v>1626</v>
      </c>
      <c r="D120" t="s">
        <v>1627</v>
      </c>
      <c r="E120" t="s">
        <v>835</v>
      </c>
      <c r="F120" t="s">
        <v>1628</v>
      </c>
      <c r="G120" t="s">
        <v>1628</v>
      </c>
      <c r="H120" t="s">
        <v>839</v>
      </c>
      <c r="I120" t="s">
        <v>838</v>
      </c>
      <c r="K120" t="s">
        <v>839</v>
      </c>
      <c r="L120" t="s">
        <v>887</v>
      </c>
      <c r="O120">
        <v>42</v>
      </c>
      <c r="P120">
        <v>51</v>
      </c>
      <c r="Q120">
        <v>93</v>
      </c>
      <c r="S120" t="s">
        <v>841</v>
      </c>
      <c r="T120" t="s">
        <v>841</v>
      </c>
      <c r="U120" t="s">
        <v>841</v>
      </c>
      <c r="W120" t="s">
        <v>841</v>
      </c>
      <c r="AH120">
        <v>2</v>
      </c>
      <c r="AI120">
        <v>2</v>
      </c>
      <c r="AJ120">
        <v>1</v>
      </c>
      <c r="AK120">
        <v>1</v>
      </c>
      <c r="BV120" t="s">
        <v>839</v>
      </c>
      <c r="BW120" t="s">
        <v>758</v>
      </c>
      <c r="BX120" t="s">
        <v>839</v>
      </c>
      <c r="BY120" t="s">
        <v>759</v>
      </c>
      <c r="BZ120" t="s">
        <v>839</v>
      </c>
      <c r="CA120" t="s">
        <v>839</v>
      </c>
      <c r="CC120" t="s">
        <v>839</v>
      </c>
      <c r="CD120" t="s">
        <v>855</v>
      </c>
      <c r="CG120">
        <v>7</v>
      </c>
      <c r="CH120">
        <v>3</v>
      </c>
      <c r="CI120">
        <v>3</v>
      </c>
      <c r="CJ120">
        <v>1</v>
      </c>
      <c r="CK120" t="s">
        <v>856</v>
      </c>
      <c r="CM120" t="s">
        <v>844</v>
      </c>
      <c r="CN120">
        <v>1</v>
      </c>
      <c r="CO120">
        <v>0</v>
      </c>
      <c r="CP120">
        <v>0</v>
      </c>
      <c r="CQ120">
        <v>0</v>
      </c>
      <c r="CR120">
        <v>0</v>
      </c>
      <c r="CS120">
        <v>0</v>
      </c>
      <c r="CU120" t="s">
        <v>1188</v>
      </c>
      <c r="CV120">
        <v>1</v>
      </c>
      <c r="CW120">
        <v>0</v>
      </c>
      <c r="CX120">
        <v>1</v>
      </c>
      <c r="CY120">
        <v>1</v>
      </c>
      <c r="CZ120">
        <v>0</v>
      </c>
      <c r="DA120">
        <v>1</v>
      </c>
      <c r="DB120">
        <v>0</v>
      </c>
      <c r="DC120">
        <v>0</v>
      </c>
      <c r="DD120">
        <v>1</v>
      </c>
      <c r="DE120">
        <v>1</v>
      </c>
      <c r="DF120">
        <v>0</v>
      </c>
      <c r="DJ120">
        <v>4</v>
      </c>
      <c r="DK120">
        <v>3</v>
      </c>
      <c r="DL120">
        <v>7</v>
      </c>
      <c r="DN120">
        <v>600</v>
      </c>
      <c r="DP120">
        <v>1200</v>
      </c>
      <c r="DQ120" t="s">
        <v>1629</v>
      </c>
      <c r="DR120">
        <v>1</v>
      </c>
      <c r="DS120">
        <v>1</v>
      </c>
      <c r="DT120">
        <v>0</v>
      </c>
      <c r="DU120">
        <v>0</v>
      </c>
      <c r="DV120">
        <v>0</v>
      </c>
      <c r="DW120">
        <v>1</v>
      </c>
      <c r="DX120">
        <v>0</v>
      </c>
      <c r="DY120">
        <v>0</v>
      </c>
      <c r="DZ120">
        <v>0</v>
      </c>
      <c r="EB120" t="s">
        <v>839</v>
      </c>
      <c r="EC120" t="s">
        <v>869</v>
      </c>
      <c r="ED120" t="s">
        <v>928</v>
      </c>
      <c r="EI120">
        <v>5</v>
      </c>
      <c r="EJ120" t="s">
        <v>841</v>
      </c>
      <c r="EO120">
        <v>5</v>
      </c>
      <c r="EP120" t="s">
        <v>841</v>
      </c>
      <c r="FA120">
        <v>5</v>
      </c>
      <c r="FB120" t="s">
        <v>841</v>
      </c>
      <c r="FL120" t="s">
        <v>841</v>
      </c>
      <c r="FM120">
        <v>1250</v>
      </c>
      <c r="FO120">
        <v>0</v>
      </c>
      <c r="FP120">
        <v>0</v>
      </c>
      <c r="FQ120">
        <v>0</v>
      </c>
      <c r="FS120" t="s">
        <v>839</v>
      </c>
      <c r="FT120" t="s">
        <v>842</v>
      </c>
      <c r="FU120" t="s">
        <v>839</v>
      </c>
      <c r="FV120" t="s">
        <v>839</v>
      </c>
      <c r="FW120" t="s">
        <v>839</v>
      </c>
      <c r="FX120" t="s">
        <v>880</v>
      </c>
      <c r="FY120" t="s">
        <v>842</v>
      </c>
      <c r="FZ120" t="s">
        <v>839</v>
      </c>
      <c r="GA120" t="s">
        <v>839</v>
      </c>
      <c r="GB120" t="s">
        <v>839</v>
      </c>
      <c r="GC120" t="s">
        <v>839</v>
      </c>
      <c r="GD120" t="s">
        <v>842</v>
      </c>
      <c r="GG120" t="s">
        <v>842</v>
      </c>
      <c r="GI120" t="s">
        <v>1630</v>
      </c>
      <c r="GJ120">
        <v>1</v>
      </c>
      <c r="GK120">
        <v>0</v>
      </c>
      <c r="GL120">
        <v>1</v>
      </c>
      <c r="GM120">
        <v>1</v>
      </c>
      <c r="GN120">
        <v>0</v>
      </c>
      <c r="GO120">
        <v>0</v>
      </c>
      <c r="GP120">
        <v>0</v>
      </c>
      <c r="GQ120">
        <v>0</v>
      </c>
      <c r="GR120">
        <v>1</v>
      </c>
      <c r="GS120">
        <v>0</v>
      </c>
      <c r="GT120">
        <v>0</v>
      </c>
      <c r="GU120">
        <v>0</v>
      </c>
      <c r="GV120">
        <v>0</v>
      </c>
      <c r="GW120">
        <v>0</v>
      </c>
      <c r="GX120">
        <v>0</v>
      </c>
      <c r="GY120">
        <v>0</v>
      </c>
      <c r="GZ120">
        <v>0</v>
      </c>
      <c r="HB120" t="s">
        <v>839</v>
      </c>
    </row>
    <row r="121" spans="1:211" x14ac:dyDescent="0.35">
      <c r="A121" t="s">
        <v>1631</v>
      </c>
      <c r="B121" s="151">
        <v>45190.381678240738</v>
      </c>
      <c r="C121" t="s">
        <v>1632</v>
      </c>
      <c r="D121" t="s">
        <v>1633</v>
      </c>
      <c r="E121" t="s">
        <v>835</v>
      </c>
      <c r="F121" t="s">
        <v>1634</v>
      </c>
      <c r="G121" t="s">
        <v>1634</v>
      </c>
      <c r="H121" t="s">
        <v>839</v>
      </c>
      <c r="I121" t="s">
        <v>838</v>
      </c>
      <c r="K121" t="s">
        <v>839</v>
      </c>
      <c r="L121" t="s">
        <v>887</v>
      </c>
      <c r="O121">
        <v>98</v>
      </c>
      <c r="P121">
        <v>104</v>
      </c>
      <c r="Q121">
        <v>202</v>
      </c>
      <c r="S121" t="s">
        <v>841</v>
      </c>
      <c r="T121" t="s">
        <v>841</v>
      </c>
      <c r="U121" t="s">
        <v>841</v>
      </c>
      <c r="V121" t="s">
        <v>841</v>
      </c>
      <c r="W121" t="s">
        <v>841</v>
      </c>
      <c r="X121" t="s">
        <v>841</v>
      </c>
      <c r="Y121" t="s">
        <v>841</v>
      </c>
      <c r="Z121" t="s">
        <v>841</v>
      </c>
      <c r="AA121" t="s">
        <v>841</v>
      </c>
      <c r="AB121" t="s">
        <v>841</v>
      </c>
      <c r="AC121" t="s">
        <v>841</v>
      </c>
      <c r="AD121" t="s">
        <v>841</v>
      </c>
      <c r="AH121">
        <v>1</v>
      </c>
      <c r="AI121">
        <v>1</v>
      </c>
      <c r="AJ121">
        <v>1</v>
      </c>
      <c r="AK121">
        <v>1</v>
      </c>
      <c r="AL121">
        <v>1</v>
      </c>
      <c r="AM121">
        <v>1</v>
      </c>
      <c r="AN121">
        <v>1</v>
      </c>
      <c r="AO121">
        <v>1</v>
      </c>
      <c r="AP121">
        <v>1</v>
      </c>
      <c r="AQ121">
        <v>1</v>
      </c>
      <c r="AR121">
        <v>1</v>
      </c>
      <c r="AS121">
        <v>1</v>
      </c>
      <c r="AZ121" t="s">
        <v>841</v>
      </c>
      <c r="BM121" t="s">
        <v>841</v>
      </c>
      <c r="BS121" t="s">
        <v>841</v>
      </c>
      <c r="BV121" t="s">
        <v>842</v>
      </c>
      <c r="BX121" t="s">
        <v>842</v>
      </c>
      <c r="BZ121" t="s">
        <v>839</v>
      </c>
      <c r="CA121" t="s">
        <v>839</v>
      </c>
      <c r="CC121" t="s">
        <v>839</v>
      </c>
      <c r="CD121" t="s">
        <v>855</v>
      </c>
      <c r="CG121">
        <v>5</v>
      </c>
      <c r="CH121">
        <v>2</v>
      </c>
      <c r="CI121">
        <v>3</v>
      </c>
      <c r="CJ121">
        <v>0</v>
      </c>
      <c r="CK121" t="s">
        <v>877</v>
      </c>
      <c r="CM121" t="s">
        <v>844</v>
      </c>
      <c r="CN121">
        <v>1</v>
      </c>
      <c r="CO121">
        <v>0</v>
      </c>
      <c r="CP121">
        <v>0</v>
      </c>
      <c r="CQ121">
        <v>0</v>
      </c>
      <c r="CR121">
        <v>0</v>
      </c>
      <c r="CS121">
        <v>0</v>
      </c>
      <c r="CU121" t="s">
        <v>868</v>
      </c>
      <c r="CV121">
        <v>1</v>
      </c>
      <c r="CW121">
        <v>0</v>
      </c>
      <c r="CX121">
        <v>1</v>
      </c>
      <c r="CY121">
        <v>0</v>
      </c>
      <c r="CZ121">
        <v>0</v>
      </c>
      <c r="DA121">
        <v>0</v>
      </c>
      <c r="DB121">
        <v>0</v>
      </c>
      <c r="DC121">
        <v>0</v>
      </c>
      <c r="DD121">
        <v>1</v>
      </c>
      <c r="DE121">
        <v>1</v>
      </c>
      <c r="DF121">
        <v>0</v>
      </c>
      <c r="DJ121">
        <v>4</v>
      </c>
      <c r="DK121">
        <v>6</v>
      </c>
      <c r="DL121">
        <v>10</v>
      </c>
      <c r="DN121">
        <v>300</v>
      </c>
      <c r="DP121">
        <v>600</v>
      </c>
      <c r="DQ121" t="s">
        <v>908</v>
      </c>
      <c r="DR121">
        <v>1</v>
      </c>
      <c r="DS121">
        <v>1</v>
      </c>
      <c r="DT121">
        <v>1</v>
      </c>
      <c r="DU121">
        <v>0</v>
      </c>
      <c r="DV121">
        <v>1</v>
      </c>
      <c r="DW121">
        <v>0</v>
      </c>
      <c r="DX121">
        <v>0</v>
      </c>
      <c r="DY121">
        <v>0</v>
      </c>
      <c r="DZ121">
        <v>0</v>
      </c>
      <c r="EB121" t="s">
        <v>839</v>
      </c>
      <c r="EC121" t="s">
        <v>847</v>
      </c>
      <c r="ED121" t="s">
        <v>848</v>
      </c>
      <c r="EI121">
        <v>7</v>
      </c>
      <c r="EJ121" t="s">
        <v>841</v>
      </c>
      <c r="EO121">
        <v>7</v>
      </c>
      <c r="EP121" t="s">
        <v>841</v>
      </c>
      <c r="EZ121" t="s">
        <v>841</v>
      </c>
      <c r="FA121">
        <v>4</v>
      </c>
      <c r="FB121" t="s">
        <v>841</v>
      </c>
      <c r="FL121" t="s">
        <v>841</v>
      </c>
      <c r="FM121">
        <v>535</v>
      </c>
      <c r="FO121">
        <v>1</v>
      </c>
      <c r="FP121">
        <v>3</v>
      </c>
      <c r="FQ121">
        <v>4</v>
      </c>
      <c r="FS121" t="s">
        <v>842</v>
      </c>
      <c r="FT121" t="s">
        <v>839</v>
      </c>
      <c r="FU121" t="s">
        <v>839</v>
      </c>
      <c r="FV121" t="s">
        <v>839</v>
      </c>
      <c r="FW121" t="s">
        <v>682</v>
      </c>
      <c r="FY121" t="s">
        <v>842</v>
      </c>
      <c r="FZ121" t="s">
        <v>842</v>
      </c>
      <c r="GA121" t="s">
        <v>839</v>
      </c>
      <c r="GB121" t="s">
        <v>842</v>
      </c>
      <c r="GC121" t="s">
        <v>839</v>
      </c>
      <c r="GD121" t="s">
        <v>842</v>
      </c>
      <c r="GG121" t="s">
        <v>842</v>
      </c>
      <c r="GI121" t="s">
        <v>1635</v>
      </c>
      <c r="GJ121">
        <v>1</v>
      </c>
      <c r="GK121">
        <v>1</v>
      </c>
      <c r="GL121">
        <v>0</v>
      </c>
      <c r="GM121">
        <v>0</v>
      </c>
      <c r="GN121">
        <v>1</v>
      </c>
      <c r="GO121">
        <v>0</v>
      </c>
      <c r="GP121">
        <v>0</v>
      </c>
      <c r="GQ121">
        <v>0</v>
      </c>
      <c r="GR121">
        <v>1</v>
      </c>
      <c r="GS121">
        <v>0</v>
      </c>
      <c r="GT121">
        <v>1</v>
      </c>
      <c r="GU121">
        <v>1</v>
      </c>
      <c r="GV121">
        <v>0</v>
      </c>
      <c r="GW121">
        <v>0</v>
      </c>
      <c r="GX121">
        <v>1</v>
      </c>
      <c r="GY121">
        <v>0</v>
      </c>
      <c r="GZ121">
        <v>0</v>
      </c>
      <c r="HB121" t="s">
        <v>839</v>
      </c>
    </row>
    <row r="122" spans="1:211" x14ac:dyDescent="0.35">
      <c r="A122" t="s">
        <v>1636</v>
      </c>
      <c r="B122" s="151">
        <v>45190.864849537043</v>
      </c>
      <c r="C122" t="s">
        <v>1637</v>
      </c>
      <c r="D122" t="s">
        <v>1638</v>
      </c>
      <c r="E122" t="s">
        <v>875</v>
      </c>
      <c r="F122" t="s">
        <v>1639</v>
      </c>
      <c r="G122" t="s">
        <v>1639</v>
      </c>
      <c r="H122" t="s">
        <v>837</v>
      </c>
      <c r="I122" t="s">
        <v>838</v>
      </c>
      <c r="K122" t="s">
        <v>842</v>
      </c>
      <c r="O122">
        <v>20</v>
      </c>
      <c r="P122">
        <v>20</v>
      </c>
      <c r="Q122">
        <v>40</v>
      </c>
      <c r="S122" t="s">
        <v>841</v>
      </c>
      <c r="T122" t="s">
        <v>841</v>
      </c>
      <c r="U122" t="s">
        <v>841</v>
      </c>
      <c r="V122" t="s">
        <v>841</v>
      </c>
      <c r="Z122" t="s">
        <v>841</v>
      </c>
      <c r="AH122">
        <v>1</v>
      </c>
      <c r="AI122">
        <v>1</v>
      </c>
      <c r="AJ122">
        <v>1</v>
      </c>
      <c r="AK122">
        <v>1</v>
      </c>
      <c r="AL122">
        <v>0</v>
      </c>
      <c r="AM122">
        <v>0</v>
      </c>
      <c r="AN122">
        <v>0</v>
      </c>
      <c r="AO122">
        <v>1</v>
      </c>
      <c r="BM122" t="s">
        <v>841</v>
      </c>
      <c r="BV122" t="s">
        <v>842</v>
      </c>
      <c r="BX122" t="s">
        <v>842</v>
      </c>
      <c r="BZ122" t="s">
        <v>839</v>
      </c>
      <c r="CA122" t="s">
        <v>839</v>
      </c>
      <c r="CC122" t="s">
        <v>839</v>
      </c>
      <c r="CD122" t="s">
        <v>855</v>
      </c>
      <c r="CG122">
        <v>4</v>
      </c>
      <c r="CH122">
        <v>2</v>
      </c>
      <c r="CI122">
        <v>2</v>
      </c>
      <c r="CJ122">
        <v>0</v>
      </c>
      <c r="CK122" t="s">
        <v>681</v>
      </c>
      <c r="CM122" t="s">
        <v>844</v>
      </c>
      <c r="CN122">
        <v>1</v>
      </c>
      <c r="CO122">
        <v>0</v>
      </c>
      <c r="CP122">
        <v>0</v>
      </c>
      <c r="CQ122">
        <v>0</v>
      </c>
      <c r="CR122">
        <v>0</v>
      </c>
      <c r="CS122">
        <v>0</v>
      </c>
      <c r="CU122" t="s">
        <v>868</v>
      </c>
      <c r="CV122">
        <v>1</v>
      </c>
      <c r="CW122">
        <v>0</v>
      </c>
      <c r="CX122">
        <v>1</v>
      </c>
      <c r="CY122">
        <v>0</v>
      </c>
      <c r="CZ122">
        <v>0</v>
      </c>
      <c r="DA122">
        <v>0</v>
      </c>
      <c r="DB122">
        <v>0</v>
      </c>
      <c r="DC122">
        <v>0</v>
      </c>
      <c r="DD122">
        <v>1</v>
      </c>
      <c r="DE122">
        <v>1</v>
      </c>
      <c r="DF122">
        <v>0</v>
      </c>
      <c r="DJ122">
        <v>1</v>
      </c>
      <c r="DK122">
        <v>3</v>
      </c>
      <c r="DL122">
        <v>4</v>
      </c>
      <c r="DN122">
        <v>500</v>
      </c>
      <c r="DP122">
        <v>900</v>
      </c>
      <c r="DQ122" t="s">
        <v>879</v>
      </c>
      <c r="DR122">
        <v>1</v>
      </c>
      <c r="DS122">
        <v>0</v>
      </c>
      <c r="DT122">
        <v>0</v>
      </c>
      <c r="DU122">
        <v>0</v>
      </c>
      <c r="DV122">
        <v>1</v>
      </c>
      <c r="DW122">
        <v>0</v>
      </c>
      <c r="DX122">
        <v>0</v>
      </c>
      <c r="DY122">
        <v>0</v>
      </c>
      <c r="DZ122">
        <v>0</v>
      </c>
      <c r="EB122" t="s">
        <v>839</v>
      </c>
      <c r="EC122" t="s">
        <v>847</v>
      </c>
      <c r="ED122" t="s">
        <v>848</v>
      </c>
      <c r="EI122">
        <v>700</v>
      </c>
      <c r="EM122" t="s">
        <v>841</v>
      </c>
      <c r="EO122">
        <v>800</v>
      </c>
      <c r="ES122" t="s">
        <v>841</v>
      </c>
      <c r="EZ122" t="s">
        <v>841</v>
      </c>
      <c r="FA122">
        <v>7</v>
      </c>
      <c r="FB122" t="s">
        <v>841</v>
      </c>
      <c r="FG122">
        <v>8</v>
      </c>
      <c r="FH122" t="s">
        <v>841</v>
      </c>
      <c r="FM122">
        <v>1300</v>
      </c>
      <c r="FO122">
        <v>0</v>
      </c>
      <c r="FP122">
        <v>0</v>
      </c>
      <c r="FQ122">
        <v>0</v>
      </c>
      <c r="FS122" t="s">
        <v>842</v>
      </c>
      <c r="FT122" t="s">
        <v>842</v>
      </c>
      <c r="FU122" t="s">
        <v>842</v>
      </c>
      <c r="FV122" t="s">
        <v>842</v>
      </c>
      <c r="FW122" t="s">
        <v>839</v>
      </c>
      <c r="FX122" t="s">
        <v>890</v>
      </c>
      <c r="FY122" t="s">
        <v>842</v>
      </c>
      <c r="FZ122" t="s">
        <v>839</v>
      </c>
      <c r="GA122" t="s">
        <v>842</v>
      </c>
      <c r="GB122" t="s">
        <v>839</v>
      </c>
      <c r="GC122" t="s">
        <v>839</v>
      </c>
      <c r="GD122" t="s">
        <v>842</v>
      </c>
      <c r="GG122" t="s">
        <v>842</v>
      </c>
      <c r="GI122" t="s">
        <v>849</v>
      </c>
      <c r="GJ122">
        <v>1</v>
      </c>
      <c r="GK122">
        <v>0</v>
      </c>
      <c r="GL122">
        <v>0</v>
      </c>
      <c r="GM122">
        <v>0</v>
      </c>
      <c r="GN122">
        <v>0</v>
      </c>
      <c r="GO122">
        <v>0</v>
      </c>
      <c r="GP122">
        <v>0</v>
      </c>
      <c r="GQ122">
        <v>0</v>
      </c>
      <c r="GR122">
        <v>0</v>
      </c>
      <c r="GS122">
        <v>0</v>
      </c>
      <c r="GT122">
        <v>0</v>
      </c>
      <c r="GU122">
        <v>0</v>
      </c>
      <c r="GV122">
        <v>0</v>
      </c>
      <c r="GW122">
        <v>0</v>
      </c>
      <c r="GX122">
        <v>0</v>
      </c>
      <c r="GY122">
        <v>0</v>
      </c>
      <c r="GZ122">
        <v>0</v>
      </c>
      <c r="HB122" t="s">
        <v>839</v>
      </c>
    </row>
    <row r="123" spans="1:211" x14ac:dyDescent="0.35">
      <c r="A123" t="s">
        <v>1640</v>
      </c>
      <c r="B123" s="151">
        <v>45193.897233796299</v>
      </c>
      <c r="C123" t="s">
        <v>1641</v>
      </c>
      <c r="D123" t="s">
        <v>1642</v>
      </c>
      <c r="E123" t="s">
        <v>875</v>
      </c>
      <c r="F123" t="s">
        <v>1643</v>
      </c>
      <c r="G123" t="s">
        <v>1643</v>
      </c>
      <c r="H123" t="s">
        <v>839</v>
      </c>
      <c r="I123" t="s">
        <v>838</v>
      </c>
      <c r="K123" t="s">
        <v>839</v>
      </c>
      <c r="L123" t="s">
        <v>887</v>
      </c>
      <c r="O123">
        <v>234</v>
      </c>
      <c r="P123">
        <v>264</v>
      </c>
      <c r="Q123">
        <v>664</v>
      </c>
      <c r="S123" t="s">
        <v>841</v>
      </c>
      <c r="T123" t="s">
        <v>841</v>
      </c>
      <c r="U123" t="s">
        <v>841</v>
      </c>
      <c r="V123" t="s">
        <v>841</v>
      </c>
      <c r="W123" t="s">
        <v>841</v>
      </c>
      <c r="X123" t="s">
        <v>841</v>
      </c>
      <c r="Y123" t="s">
        <v>841</v>
      </c>
      <c r="Z123" t="s">
        <v>841</v>
      </c>
      <c r="AA123" t="s">
        <v>841</v>
      </c>
      <c r="AB123" t="s">
        <v>841</v>
      </c>
      <c r="AC123" t="s">
        <v>841</v>
      </c>
      <c r="AD123" t="s">
        <v>841</v>
      </c>
      <c r="AE123" t="s">
        <v>841</v>
      </c>
      <c r="AF123" t="s">
        <v>841</v>
      </c>
      <c r="AH123">
        <v>1</v>
      </c>
      <c r="AI123">
        <v>1</v>
      </c>
      <c r="AJ123">
        <v>1</v>
      </c>
      <c r="AK123">
        <v>1</v>
      </c>
      <c r="AL123">
        <v>1</v>
      </c>
      <c r="AM123">
        <v>1</v>
      </c>
      <c r="AN123">
        <v>2</v>
      </c>
      <c r="AO123">
        <v>2</v>
      </c>
      <c r="AP123">
        <v>2</v>
      </c>
      <c r="AQ123">
        <v>2</v>
      </c>
      <c r="AR123">
        <v>2</v>
      </c>
      <c r="AS123">
        <v>2</v>
      </c>
      <c r="AT123">
        <v>1</v>
      </c>
      <c r="AU123">
        <v>1</v>
      </c>
      <c r="AW123">
        <v>17</v>
      </c>
      <c r="AX123">
        <v>17</v>
      </c>
      <c r="AY123">
        <v>34</v>
      </c>
      <c r="BB123">
        <v>10</v>
      </c>
      <c r="BC123">
        <v>10</v>
      </c>
      <c r="BD123">
        <v>20</v>
      </c>
      <c r="BF123">
        <v>5</v>
      </c>
      <c r="BG123">
        <v>9</v>
      </c>
      <c r="BH123">
        <v>14</v>
      </c>
      <c r="BJ123">
        <v>62</v>
      </c>
      <c r="BK123">
        <v>62</v>
      </c>
      <c r="BL123">
        <v>124</v>
      </c>
      <c r="BP123">
        <v>17</v>
      </c>
      <c r="BQ123">
        <v>17</v>
      </c>
      <c r="BR123">
        <v>34</v>
      </c>
      <c r="BV123" t="s">
        <v>839</v>
      </c>
      <c r="BW123" t="s">
        <v>758</v>
      </c>
      <c r="BX123" t="s">
        <v>839</v>
      </c>
      <c r="BY123" t="s">
        <v>759</v>
      </c>
      <c r="BZ123" t="s">
        <v>839</v>
      </c>
      <c r="CA123" t="s">
        <v>839</v>
      </c>
      <c r="CC123" t="s">
        <v>839</v>
      </c>
      <c r="CD123" t="s">
        <v>855</v>
      </c>
      <c r="CG123">
        <v>17</v>
      </c>
      <c r="CH123">
        <v>8</v>
      </c>
      <c r="CI123">
        <v>8</v>
      </c>
      <c r="CJ123">
        <v>1</v>
      </c>
      <c r="CK123" t="s">
        <v>993</v>
      </c>
      <c r="CM123" t="s">
        <v>844</v>
      </c>
      <c r="CN123">
        <v>1</v>
      </c>
      <c r="CO123">
        <v>0</v>
      </c>
      <c r="CP123">
        <v>0</v>
      </c>
      <c r="CQ123">
        <v>0</v>
      </c>
      <c r="CR123">
        <v>0</v>
      </c>
      <c r="CS123">
        <v>0</v>
      </c>
      <c r="CU123" t="s">
        <v>1644</v>
      </c>
      <c r="CV123">
        <v>1</v>
      </c>
      <c r="CW123">
        <v>1</v>
      </c>
      <c r="CX123">
        <v>1</v>
      </c>
      <c r="CY123">
        <v>1</v>
      </c>
      <c r="CZ123">
        <v>1</v>
      </c>
      <c r="DA123">
        <v>0</v>
      </c>
      <c r="DB123">
        <v>1</v>
      </c>
      <c r="DC123">
        <v>1</v>
      </c>
      <c r="DD123">
        <v>1</v>
      </c>
      <c r="DE123">
        <v>1</v>
      </c>
      <c r="DF123">
        <v>0</v>
      </c>
      <c r="DJ123">
        <v>20</v>
      </c>
      <c r="DK123">
        <v>10</v>
      </c>
      <c r="DL123">
        <v>30</v>
      </c>
      <c r="DN123">
        <v>450</v>
      </c>
      <c r="DP123">
        <v>1200</v>
      </c>
      <c r="DQ123" t="s">
        <v>937</v>
      </c>
      <c r="DR123">
        <v>1</v>
      </c>
      <c r="DS123">
        <v>0</v>
      </c>
      <c r="DT123">
        <v>0</v>
      </c>
      <c r="DU123">
        <v>0</v>
      </c>
      <c r="DV123">
        <v>0</v>
      </c>
      <c r="DW123">
        <v>0</v>
      </c>
      <c r="DX123">
        <v>0</v>
      </c>
      <c r="DY123">
        <v>0</v>
      </c>
      <c r="DZ123">
        <v>0</v>
      </c>
      <c r="EB123" t="s">
        <v>839</v>
      </c>
      <c r="EC123" t="s">
        <v>869</v>
      </c>
      <c r="ED123" t="s">
        <v>848</v>
      </c>
      <c r="EI123">
        <v>150</v>
      </c>
      <c r="EM123" t="s">
        <v>841</v>
      </c>
      <c r="EO123">
        <v>200</v>
      </c>
      <c r="ES123" t="s">
        <v>841</v>
      </c>
      <c r="EU123">
        <v>3505</v>
      </c>
      <c r="EY123" t="s">
        <v>841</v>
      </c>
      <c r="FA123">
        <v>5</v>
      </c>
      <c r="FB123" t="s">
        <v>841</v>
      </c>
      <c r="FG123">
        <v>6</v>
      </c>
      <c r="FH123" t="s">
        <v>841</v>
      </c>
      <c r="FM123">
        <v>500</v>
      </c>
      <c r="FO123">
        <v>15</v>
      </c>
      <c r="FP123">
        <v>15</v>
      </c>
      <c r="FQ123">
        <v>30</v>
      </c>
      <c r="FS123" t="s">
        <v>839</v>
      </c>
      <c r="FT123" t="s">
        <v>839</v>
      </c>
      <c r="FU123" t="s">
        <v>839</v>
      </c>
      <c r="FV123" t="s">
        <v>839</v>
      </c>
      <c r="FW123" t="s">
        <v>839</v>
      </c>
      <c r="FX123" t="s">
        <v>890</v>
      </c>
      <c r="FY123" t="s">
        <v>839</v>
      </c>
      <c r="FZ123" t="s">
        <v>839</v>
      </c>
      <c r="GA123" t="s">
        <v>842</v>
      </c>
      <c r="GB123" t="s">
        <v>842</v>
      </c>
      <c r="GC123" t="s">
        <v>839</v>
      </c>
      <c r="GD123" t="s">
        <v>839</v>
      </c>
      <c r="GE123" t="s">
        <v>881</v>
      </c>
      <c r="GG123" t="s">
        <v>842</v>
      </c>
      <c r="GI123" t="s">
        <v>1645</v>
      </c>
      <c r="GJ123">
        <v>0</v>
      </c>
      <c r="GK123">
        <v>0</v>
      </c>
      <c r="GL123">
        <v>0</v>
      </c>
      <c r="GM123">
        <v>0</v>
      </c>
      <c r="GN123">
        <v>0</v>
      </c>
      <c r="GO123">
        <v>0</v>
      </c>
      <c r="GP123">
        <v>0</v>
      </c>
      <c r="GQ123">
        <v>1</v>
      </c>
      <c r="GR123">
        <v>0</v>
      </c>
      <c r="GS123">
        <v>0</v>
      </c>
      <c r="GT123">
        <v>0</v>
      </c>
      <c r="GU123">
        <v>0</v>
      </c>
      <c r="GV123">
        <v>0</v>
      </c>
      <c r="GW123">
        <v>1</v>
      </c>
      <c r="GX123">
        <v>0</v>
      </c>
      <c r="GY123">
        <v>0</v>
      </c>
      <c r="GZ123">
        <v>0</v>
      </c>
      <c r="HB123" t="s">
        <v>839</v>
      </c>
    </row>
    <row r="124" spans="1:211" x14ac:dyDescent="0.35">
      <c r="A124" t="s">
        <v>1646</v>
      </c>
      <c r="B124" s="151">
        <v>45194.635925925933</v>
      </c>
      <c r="C124" t="s">
        <v>1647</v>
      </c>
      <c r="D124" t="s">
        <v>1648</v>
      </c>
      <c r="E124" t="s">
        <v>875</v>
      </c>
      <c r="F124" t="s">
        <v>1649</v>
      </c>
      <c r="G124" t="s">
        <v>1649</v>
      </c>
      <c r="H124" t="s">
        <v>839</v>
      </c>
      <c r="I124" t="s">
        <v>838</v>
      </c>
      <c r="K124" t="s">
        <v>839</v>
      </c>
      <c r="L124" t="s">
        <v>887</v>
      </c>
      <c r="O124">
        <v>69</v>
      </c>
      <c r="P124">
        <v>82</v>
      </c>
      <c r="Q124">
        <v>150</v>
      </c>
      <c r="T124" t="s">
        <v>841</v>
      </c>
      <c r="U124" t="s">
        <v>841</v>
      </c>
      <c r="V124" t="s">
        <v>841</v>
      </c>
      <c r="W124" t="s">
        <v>841</v>
      </c>
      <c r="X124" t="s">
        <v>841</v>
      </c>
      <c r="Y124" t="s">
        <v>841</v>
      </c>
      <c r="Z124" t="s">
        <v>841</v>
      </c>
      <c r="AA124" t="s">
        <v>841</v>
      </c>
      <c r="AB124" t="s">
        <v>841</v>
      </c>
      <c r="AC124" t="s">
        <v>841</v>
      </c>
      <c r="AD124" t="s">
        <v>841</v>
      </c>
      <c r="AF124" t="s">
        <v>841</v>
      </c>
      <c r="AI124">
        <v>1</v>
      </c>
      <c r="AJ124">
        <v>1</v>
      </c>
      <c r="AK124">
        <v>1</v>
      </c>
      <c r="AL124">
        <v>1</v>
      </c>
      <c r="AM124">
        <v>1</v>
      </c>
      <c r="AN124">
        <v>1</v>
      </c>
      <c r="AO124">
        <v>1</v>
      </c>
      <c r="AP124">
        <v>1</v>
      </c>
      <c r="AQ124">
        <v>1</v>
      </c>
      <c r="AR124">
        <v>1</v>
      </c>
      <c r="AS124">
        <v>1</v>
      </c>
      <c r="AT124">
        <v>0</v>
      </c>
      <c r="AU124">
        <v>1</v>
      </c>
      <c r="AW124">
        <v>2</v>
      </c>
      <c r="AX124">
        <v>3</v>
      </c>
      <c r="AY124">
        <v>5</v>
      </c>
      <c r="BB124">
        <v>0</v>
      </c>
      <c r="BC124">
        <v>2</v>
      </c>
      <c r="BD124">
        <v>2</v>
      </c>
      <c r="BF124">
        <v>2</v>
      </c>
      <c r="BG124">
        <v>1</v>
      </c>
      <c r="BH124">
        <v>3</v>
      </c>
      <c r="BJ124">
        <v>5</v>
      </c>
      <c r="BK124">
        <v>7</v>
      </c>
      <c r="BL124">
        <v>12</v>
      </c>
      <c r="BP124">
        <v>2</v>
      </c>
      <c r="BQ124">
        <v>3</v>
      </c>
      <c r="BR124">
        <v>5</v>
      </c>
      <c r="BV124" t="s">
        <v>842</v>
      </c>
      <c r="BX124" t="s">
        <v>839</v>
      </c>
      <c r="BY124" t="s">
        <v>950</v>
      </c>
      <c r="BZ124" t="s">
        <v>839</v>
      </c>
      <c r="CA124" t="s">
        <v>839</v>
      </c>
      <c r="CC124" t="s">
        <v>839</v>
      </c>
      <c r="CD124" t="s">
        <v>855</v>
      </c>
      <c r="CG124">
        <v>14</v>
      </c>
      <c r="CH124">
        <v>7</v>
      </c>
      <c r="CI124">
        <v>7</v>
      </c>
      <c r="CJ124">
        <v>0</v>
      </c>
      <c r="CK124" t="s">
        <v>877</v>
      </c>
      <c r="CM124" t="s">
        <v>844</v>
      </c>
      <c r="CN124">
        <v>1</v>
      </c>
      <c r="CO124">
        <v>0</v>
      </c>
      <c r="CP124">
        <v>0</v>
      </c>
      <c r="CQ124">
        <v>0</v>
      </c>
      <c r="CR124">
        <v>0</v>
      </c>
      <c r="CS124">
        <v>0</v>
      </c>
      <c r="CU124" t="s">
        <v>1650</v>
      </c>
      <c r="CV124">
        <v>1</v>
      </c>
      <c r="CW124">
        <v>1</v>
      </c>
      <c r="CX124">
        <v>1</v>
      </c>
      <c r="CY124">
        <v>1</v>
      </c>
      <c r="CZ124">
        <v>0</v>
      </c>
      <c r="DA124">
        <v>0</v>
      </c>
      <c r="DB124">
        <v>1</v>
      </c>
      <c r="DC124">
        <v>0</v>
      </c>
      <c r="DD124">
        <v>1</v>
      </c>
      <c r="DE124">
        <v>1</v>
      </c>
      <c r="DF124">
        <v>0</v>
      </c>
      <c r="DJ124">
        <v>9</v>
      </c>
      <c r="DK124">
        <v>5</v>
      </c>
      <c r="DL124">
        <v>14</v>
      </c>
      <c r="DN124">
        <v>300</v>
      </c>
      <c r="DP124">
        <v>600</v>
      </c>
      <c r="DQ124" t="s">
        <v>937</v>
      </c>
      <c r="DR124">
        <v>1</v>
      </c>
      <c r="DS124">
        <v>0</v>
      </c>
      <c r="DT124">
        <v>0</v>
      </c>
      <c r="DU124">
        <v>0</v>
      </c>
      <c r="DV124">
        <v>0</v>
      </c>
      <c r="DW124">
        <v>0</v>
      </c>
      <c r="DX124">
        <v>0</v>
      </c>
      <c r="DY124">
        <v>0</v>
      </c>
      <c r="DZ124">
        <v>0</v>
      </c>
      <c r="EB124" t="s">
        <v>839</v>
      </c>
      <c r="EC124" t="s">
        <v>869</v>
      </c>
      <c r="ED124" t="s">
        <v>848</v>
      </c>
      <c r="EI124">
        <v>500</v>
      </c>
      <c r="EM124" t="s">
        <v>841</v>
      </c>
      <c r="EO124">
        <v>600</v>
      </c>
      <c r="ES124" t="s">
        <v>841</v>
      </c>
      <c r="EZ124" t="s">
        <v>841</v>
      </c>
      <c r="FA124">
        <v>5</v>
      </c>
      <c r="FB124" t="s">
        <v>841</v>
      </c>
      <c r="FG124">
        <v>5</v>
      </c>
      <c r="FH124" t="s">
        <v>841</v>
      </c>
      <c r="FM124">
        <v>400</v>
      </c>
      <c r="FO124">
        <v>5</v>
      </c>
      <c r="FP124">
        <v>3</v>
      </c>
      <c r="FQ124">
        <v>8</v>
      </c>
      <c r="FS124" t="s">
        <v>839</v>
      </c>
      <c r="FT124" t="s">
        <v>839</v>
      </c>
      <c r="FU124" t="s">
        <v>839</v>
      </c>
      <c r="FV124" t="s">
        <v>839</v>
      </c>
      <c r="FW124" t="s">
        <v>842</v>
      </c>
      <c r="FY124" t="s">
        <v>839</v>
      </c>
      <c r="FZ124" t="s">
        <v>839</v>
      </c>
      <c r="GA124" t="s">
        <v>842</v>
      </c>
      <c r="GB124" t="s">
        <v>842</v>
      </c>
      <c r="GC124" t="s">
        <v>839</v>
      </c>
      <c r="GD124" t="s">
        <v>839</v>
      </c>
      <c r="GE124" t="s">
        <v>881</v>
      </c>
      <c r="GG124" t="s">
        <v>842</v>
      </c>
      <c r="GI124" t="s">
        <v>1002</v>
      </c>
      <c r="GJ124">
        <v>0</v>
      </c>
      <c r="GK124">
        <v>1</v>
      </c>
      <c r="GL124">
        <v>0</v>
      </c>
      <c r="GM124">
        <v>0</v>
      </c>
      <c r="GN124">
        <v>0</v>
      </c>
      <c r="GO124">
        <v>0</v>
      </c>
      <c r="GP124">
        <v>0</v>
      </c>
      <c r="GQ124">
        <v>0</v>
      </c>
      <c r="GR124">
        <v>0</v>
      </c>
      <c r="GS124">
        <v>0</v>
      </c>
      <c r="GT124">
        <v>0</v>
      </c>
      <c r="GU124">
        <v>0</v>
      </c>
      <c r="GV124">
        <v>0</v>
      </c>
      <c r="GW124">
        <v>1</v>
      </c>
      <c r="GX124">
        <v>0</v>
      </c>
      <c r="GY124">
        <v>0</v>
      </c>
      <c r="GZ124">
        <v>0</v>
      </c>
      <c r="HB124" t="s">
        <v>839</v>
      </c>
    </row>
    <row r="125" spans="1:211" x14ac:dyDescent="0.35">
      <c r="A125" t="s">
        <v>1651</v>
      </c>
      <c r="B125" s="151">
        <v>45194.687025462961</v>
      </c>
      <c r="C125" t="s">
        <v>1652</v>
      </c>
      <c r="D125" t="s">
        <v>1653</v>
      </c>
      <c r="E125" t="s">
        <v>835</v>
      </c>
      <c r="F125" t="s">
        <v>1654</v>
      </c>
      <c r="H125" t="s">
        <v>839</v>
      </c>
      <c r="I125" t="s">
        <v>838</v>
      </c>
      <c r="K125" t="s">
        <v>842</v>
      </c>
      <c r="O125">
        <v>85</v>
      </c>
      <c r="P125">
        <v>75</v>
      </c>
      <c r="Q125">
        <v>160</v>
      </c>
      <c r="S125" t="s">
        <v>841</v>
      </c>
      <c r="T125" t="s">
        <v>841</v>
      </c>
      <c r="U125" t="s">
        <v>841</v>
      </c>
      <c r="V125" t="s">
        <v>841</v>
      </c>
      <c r="W125" t="s">
        <v>841</v>
      </c>
      <c r="X125" t="s">
        <v>841</v>
      </c>
      <c r="Y125" t="s">
        <v>841</v>
      </c>
      <c r="Z125" t="s">
        <v>841</v>
      </c>
      <c r="AA125" t="s">
        <v>841</v>
      </c>
      <c r="BV125" t="s">
        <v>842</v>
      </c>
      <c r="BX125" t="s">
        <v>839</v>
      </c>
      <c r="BY125" t="s">
        <v>759</v>
      </c>
      <c r="BZ125" t="s">
        <v>839</v>
      </c>
      <c r="CA125" t="s">
        <v>839</v>
      </c>
      <c r="CC125" t="s">
        <v>839</v>
      </c>
      <c r="CD125" t="s">
        <v>855</v>
      </c>
      <c r="CG125">
        <v>4</v>
      </c>
      <c r="CH125">
        <v>0</v>
      </c>
      <c r="CI125">
        <v>0</v>
      </c>
      <c r="CJ125">
        <v>4</v>
      </c>
      <c r="CK125" t="s">
        <v>856</v>
      </c>
      <c r="CM125" t="s">
        <v>844</v>
      </c>
      <c r="CN125">
        <v>1</v>
      </c>
      <c r="CO125">
        <v>0</v>
      </c>
      <c r="CP125">
        <v>0</v>
      </c>
      <c r="CQ125">
        <v>0</v>
      </c>
      <c r="CR125">
        <v>0</v>
      </c>
      <c r="CS125">
        <v>0</v>
      </c>
      <c r="CU125" t="s">
        <v>1655</v>
      </c>
      <c r="CV125">
        <v>1</v>
      </c>
      <c r="CW125">
        <v>0</v>
      </c>
      <c r="CX125">
        <v>1</v>
      </c>
      <c r="CY125">
        <v>1</v>
      </c>
      <c r="CZ125">
        <v>1</v>
      </c>
      <c r="DA125">
        <v>0</v>
      </c>
      <c r="DB125">
        <v>0</v>
      </c>
      <c r="DC125">
        <v>0</v>
      </c>
      <c r="DD125">
        <v>1</v>
      </c>
      <c r="DE125">
        <v>1</v>
      </c>
      <c r="DF125">
        <v>0</v>
      </c>
      <c r="DJ125">
        <v>5</v>
      </c>
      <c r="DK125">
        <v>11</v>
      </c>
      <c r="DL125">
        <v>16</v>
      </c>
      <c r="DN125">
        <v>500</v>
      </c>
      <c r="DP125">
        <v>1200</v>
      </c>
      <c r="DQ125" t="s">
        <v>889</v>
      </c>
      <c r="DR125">
        <v>1</v>
      </c>
      <c r="DS125">
        <v>1</v>
      </c>
      <c r="DT125">
        <v>0</v>
      </c>
      <c r="DU125">
        <v>0</v>
      </c>
      <c r="DV125">
        <v>1</v>
      </c>
      <c r="DW125">
        <v>0</v>
      </c>
      <c r="DX125">
        <v>0</v>
      </c>
      <c r="DY125">
        <v>0</v>
      </c>
      <c r="DZ125">
        <v>0</v>
      </c>
      <c r="EB125" t="s">
        <v>839</v>
      </c>
      <c r="EC125" t="s">
        <v>869</v>
      </c>
      <c r="ED125" t="s">
        <v>848</v>
      </c>
      <c r="EI125">
        <v>230</v>
      </c>
      <c r="EM125" t="s">
        <v>841</v>
      </c>
      <c r="EO125">
        <v>230</v>
      </c>
      <c r="ES125" t="s">
        <v>841</v>
      </c>
      <c r="EZ125" t="s">
        <v>841</v>
      </c>
      <c r="FA125">
        <v>30</v>
      </c>
      <c r="FC125" t="s">
        <v>841</v>
      </c>
      <c r="FG125">
        <v>20</v>
      </c>
      <c r="FI125" t="s">
        <v>841</v>
      </c>
      <c r="FM125">
        <v>450</v>
      </c>
      <c r="FO125">
        <v>0</v>
      </c>
      <c r="FP125">
        <v>0</v>
      </c>
      <c r="FQ125">
        <v>0</v>
      </c>
      <c r="FS125" t="s">
        <v>842</v>
      </c>
      <c r="FT125" t="s">
        <v>842</v>
      </c>
      <c r="FU125" t="s">
        <v>842</v>
      </c>
      <c r="FV125" t="s">
        <v>842</v>
      </c>
      <c r="FW125" t="s">
        <v>682</v>
      </c>
      <c r="FY125" t="s">
        <v>842</v>
      </c>
      <c r="FZ125" t="s">
        <v>839</v>
      </c>
      <c r="GA125" t="s">
        <v>842</v>
      </c>
      <c r="GB125" t="s">
        <v>839</v>
      </c>
      <c r="GC125" t="s">
        <v>842</v>
      </c>
      <c r="GD125" t="s">
        <v>842</v>
      </c>
      <c r="GG125" t="s">
        <v>842</v>
      </c>
      <c r="GI125" t="s">
        <v>849</v>
      </c>
      <c r="GJ125">
        <v>1</v>
      </c>
      <c r="GK125">
        <v>0</v>
      </c>
      <c r="GL125">
        <v>0</v>
      </c>
      <c r="GM125">
        <v>0</v>
      </c>
      <c r="GN125">
        <v>0</v>
      </c>
      <c r="GO125">
        <v>0</v>
      </c>
      <c r="GP125">
        <v>0</v>
      </c>
      <c r="GQ125">
        <v>0</v>
      </c>
      <c r="GR125">
        <v>0</v>
      </c>
      <c r="GS125">
        <v>0</v>
      </c>
      <c r="GT125">
        <v>0</v>
      </c>
      <c r="GU125">
        <v>0</v>
      </c>
      <c r="GV125">
        <v>0</v>
      </c>
      <c r="GW125">
        <v>0</v>
      </c>
      <c r="GX125">
        <v>0</v>
      </c>
      <c r="GY125">
        <v>0</v>
      </c>
      <c r="GZ125">
        <v>0</v>
      </c>
      <c r="HB125" t="s">
        <v>839</v>
      </c>
    </row>
    <row r="126" spans="1:211" x14ac:dyDescent="0.35">
      <c r="A126" t="s">
        <v>1656</v>
      </c>
      <c r="B126" s="151">
        <v>45194.941388888888</v>
      </c>
      <c r="C126" t="s">
        <v>1657</v>
      </c>
      <c r="D126" t="s">
        <v>1658</v>
      </c>
      <c r="E126" t="s">
        <v>835</v>
      </c>
      <c r="F126" t="s">
        <v>1659</v>
      </c>
      <c r="H126" t="s">
        <v>839</v>
      </c>
      <c r="I126" t="s">
        <v>896</v>
      </c>
      <c r="K126" t="s">
        <v>842</v>
      </c>
      <c r="O126">
        <v>123</v>
      </c>
      <c r="P126">
        <v>130</v>
      </c>
      <c r="Q126">
        <v>253</v>
      </c>
      <c r="T126" t="s">
        <v>841</v>
      </c>
      <c r="U126" t="s">
        <v>841</v>
      </c>
      <c r="V126" t="s">
        <v>841</v>
      </c>
      <c r="W126" t="s">
        <v>841</v>
      </c>
      <c r="X126" t="s">
        <v>841</v>
      </c>
      <c r="Y126" t="s">
        <v>841</v>
      </c>
      <c r="Z126" t="s">
        <v>841</v>
      </c>
      <c r="AA126" t="s">
        <v>841</v>
      </c>
      <c r="AB126" t="s">
        <v>841</v>
      </c>
      <c r="AC126" t="s">
        <v>841</v>
      </c>
      <c r="AD126" t="s">
        <v>841</v>
      </c>
      <c r="AE126" t="s">
        <v>841</v>
      </c>
      <c r="AF126" t="s">
        <v>841</v>
      </c>
      <c r="AI126">
        <v>1</v>
      </c>
      <c r="AJ126">
        <v>1</v>
      </c>
      <c r="AK126">
        <v>1</v>
      </c>
      <c r="AL126">
        <v>1</v>
      </c>
      <c r="AM126">
        <v>1</v>
      </c>
      <c r="AN126">
        <v>1</v>
      </c>
      <c r="AO126">
        <v>1</v>
      </c>
      <c r="AP126">
        <v>1</v>
      </c>
      <c r="AQ126">
        <v>1</v>
      </c>
      <c r="AR126">
        <v>1</v>
      </c>
      <c r="AS126">
        <v>1</v>
      </c>
      <c r="AT126">
        <v>1</v>
      </c>
      <c r="AU126">
        <v>1</v>
      </c>
      <c r="AZ126" t="s">
        <v>841</v>
      </c>
      <c r="BJ126">
        <v>5</v>
      </c>
      <c r="BK126">
        <v>5</v>
      </c>
      <c r="BL126">
        <v>10</v>
      </c>
      <c r="BS126" t="s">
        <v>841</v>
      </c>
      <c r="BV126" t="s">
        <v>839</v>
      </c>
      <c r="BW126" t="s">
        <v>950</v>
      </c>
      <c r="BX126" t="s">
        <v>839</v>
      </c>
      <c r="BY126" t="s">
        <v>759</v>
      </c>
      <c r="BZ126" t="s">
        <v>839</v>
      </c>
      <c r="CA126" t="s">
        <v>839</v>
      </c>
      <c r="CC126" t="s">
        <v>839</v>
      </c>
      <c r="CD126" t="s">
        <v>855</v>
      </c>
      <c r="CG126">
        <v>7</v>
      </c>
      <c r="CH126">
        <v>1</v>
      </c>
      <c r="CI126">
        <v>1</v>
      </c>
      <c r="CJ126">
        <v>5</v>
      </c>
      <c r="CK126" t="s">
        <v>877</v>
      </c>
      <c r="CM126" t="s">
        <v>844</v>
      </c>
      <c r="CN126">
        <v>1</v>
      </c>
      <c r="CO126">
        <v>0</v>
      </c>
      <c r="CP126">
        <v>0</v>
      </c>
      <c r="CQ126">
        <v>0</v>
      </c>
      <c r="CR126">
        <v>0</v>
      </c>
      <c r="CS126">
        <v>0</v>
      </c>
      <c r="CU126" t="s">
        <v>1660</v>
      </c>
      <c r="CV126">
        <v>1</v>
      </c>
      <c r="CW126">
        <v>1</v>
      </c>
      <c r="CX126">
        <v>1</v>
      </c>
      <c r="CY126">
        <v>0</v>
      </c>
      <c r="CZ126">
        <v>1</v>
      </c>
      <c r="DA126">
        <v>1</v>
      </c>
      <c r="DB126">
        <v>0</v>
      </c>
      <c r="DC126">
        <v>0</v>
      </c>
      <c r="DD126">
        <v>1</v>
      </c>
      <c r="DE126">
        <v>1</v>
      </c>
      <c r="DF126">
        <v>0</v>
      </c>
      <c r="DJ126">
        <v>8</v>
      </c>
      <c r="DK126">
        <v>8</v>
      </c>
      <c r="DL126">
        <v>16</v>
      </c>
      <c r="DN126">
        <v>400</v>
      </c>
      <c r="DP126">
        <v>800</v>
      </c>
      <c r="DQ126" t="s">
        <v>1181</v>
      </c>
      <c r="DR126">
        <v>1</v>
      </c>
      <c r="DS126">
        <v>0</v>
      </c>
      <c r="DT126">
        <v>1</v>
      </c>
      <c r="DU126">
        <v>0</v>
      </c>
      <c r="DV126">
        <v>1</v>
      </c>
      <c r="DW126">
        <v>0</v>
      </c>
      <c r="DX126">
        <v>0</v>
      </c>
      <c r="DY126">
        <v>0</v>
      </c>
      <c r="DZ126">
        <v>0</v>
      </c>
      <c r="EB126" t="s">
        <v>839</v>
      </c>
      <c r="EC126" t="s">
        <v>869</v>
      </c>
      <c r="ED126" t="s">
        <v>848</v>
      </c>
      <c r="EI126">
        <v>350</v>
      </c>
      <c r="EM126" t="s">
        <v>841</v>
      </c>
      <c r="EO126">
        <v>380</v>
      </c>
      <c r="ES126" t="s">
        <v>841</v>
      </c>
      <c r="EU126">
        <v>500</v>
      </c>
      <c r="EY126" t="s">
        <v>841</v>
      </c>
      <c r="FA126">
        <v>5</v>
      </c>
      <c r="FB126" t="s">
        <v>841</v>
      </c>
      <c r="FG126">
        <v>4</v>
      </c>
      <c r="FH126" t="s">
        <v>841</v>
      </c>
      <c r="FM126">
        <v>171</v>
      </c>
      <c r="FO126">
        <v>9</v>
      </c>
      <c r="FP126">
        <v>5</v>
      </c>
      <c r="FQ126">
        <v>14</v>
      </c>
      <c r="FS126" t="s">
        <v>839</v>
      </c>
      <c r="FT126" t="s">
        <v>839</v>
      </c>
      <c r="FU126" t="s">
        <v>839</v>
      </c>
      <c r="FV126" t="s">
        <v>839</v>
      </c>
      <c r="FW126" t="s">
        <v>842</v>
      </c>
      <c r="FY126" t="s">
        <v>839</v>
      </c>
      <c r="FZ126" t="s">
        <v>839</v>
      </c>
      <c r="GA126" t="s">
        <v>842</v>
      </c>
      <c r="GB126" t="s">
        <v>842</v>
      </c>
      <c r="GC126" t="s">
        <v>842</v>
      </c>
      <c r="GD126" t="s">
        <v>839</v>
      </c>
      <c r="GE126" t="s">
        <v>929</v>
      </c>
      <c r="GG126" t="s">
        <v>839</v>
      </c>
      <c r="GI126" t="s">
        <v>1196</v>
      </c>
      <c r="GJ126">
        <v>0</v>
      </c>
      <c r="GK126">
        <v>0</v>
      </c>
      <c r="GL126">
        <v>0</v>
      </c>
      <c r="GM126">
        <v>0</v>
      </c>
      <c r="GN126">
        <v>0</v>
      </c>
      <c r="GO126">
        <v>1</v>
      </c>
      <c r="GP126">
        <v>0</v>
      </c>
      <c r="GQ126">
        <v>0</v>
      </c>
      <c r="GR126">
        <v>0</v>
      </c>
      <c r="GS126">
        <v>0</v>
      </c>
      <c r="GT126">
        <v>0</v>
      </c>
      <c r="GU126">
        <v>0</v>
      </c>
      <c r="GV126">
        <v>0</v>
      </c>
      <c r="GW126">
        <v>0</v>
      </c>
      <c r="GX126">
        <v>0</v>
      </c>
      <c r="GY126">
        <v>0</v>
      </c>
      <c r="GZ126">
        <v>0</v>
      </c>
      <c r="HB126" t="s">
        <v>839</v>
      </c>
    </row>
    <row r="127" spans="1:211" x14ac:dyDescent="0.35">
      <c r="A127" t="s">
        <v>1661</v>
      </c>
      <c r="B127" s="151">
        <v>45195.660925925928</v>
      </c>
      <c r="C127" t="s">
        <v>1662</v>
      </c>
      <c r="D127" t="s">
        <v>1663</v>
      </c>
      <c r="E127" t="s">
        <v>835</v>
      </c>
      <c r="F127" t="s">
        <v>1664</v>
      </c>
      <c r="G127" t="s">
        <v>1665</v>
      </c>
      <c r="H127" t="s">
        <v>837</v>
      </c>
      <c r="I127" t="s">
        <v>896</v>
      </c>
      <c r="K127" t="s">
        <v>842</v>
      </c>
      <c r="O127">
        <v>20</v>
      </c>
      <c r="P127">
        <v>30</v>
      </c>
      <c r="Q127">
        <v>50</v>
      </c>
      <c r="S127" t="s">
        <v>841</v>
      </c>
      <c r="T127" t="s">
        <v>841</v>
      </c>
      <c r="U127" t="s">
        <v>841</v>
      </c>
      <c r="V127" t="s">
        <v>841</v>
      </c>
      <c r="W127" t="s">
        <v>841</v>
      </c>
      <c r="AH127">
        <v>1</v>
      </c>
      <c r="AI127">
        <v>1</v>
      </c>
      <c r="AJ127">
        <v>1</v>
      </c>
      <c r="AK127">
        <v>1</v>
      </c>
      <c r="AL127">
        <v>1</v>
      </c>
      <c r="AM127">
        <v>0</v>
      </c>
      <c r="AN127">
        <v>0</v>
      </c>
      <c r="AO127">
        <v>0</v>
      </c>
      <c r="AP127">
        <v>0</v>
      </c>
      <c r="AQ127">
        <v>0</v>
      </c>
      <c r="AR127">
        <v>0</v>
      </c>
      <c r="AS127">
        <v>0</v>
      </c>
      <c r="AT127">
        <v>0</v>
      </c>
      <c r="AU127">
        <v>0</v>
      </c>
      <c r="AZ127" t="s">
        <v>841</v>
      </c>
      <c r="BM127" t="s">
        <v>841</v>
      </c>
      <c r="BS127" t="s">
        <v>841</v>
      </c>
      <c r="BV127" t="s">
        <v>839</v>
      </c>
      <c r="BW127" t="s">
        <v>759</v>
      </c>
      <c r="BX127" t="s">
        <v>842</v>
      </c>
      <c r="BZ127" t="s">
        <v>839</v>
      </c>
      <c r="CA127" t="s">
        <v>839</v>
      </c>
      <c r="CC127" t="s">
        <v>839</v>
      </c>
      <c r="CD127" t="s">
        <v>855</v>
      </c>
      <c r="CG127">
        <v>10</v>
      </c>
      <c r="CH127">
        <v>5</v>
      </c>
      <c r="CI127">
        <v>5</v>
      </c>
      <c r="CJ127">
        <v>4</v>
      </c>
      <c r="CK127" t="s">
        <v>877</v>
      </c>
      <c r="CM127" t="s">
        <v>867</v>
      </c>
      <c r="CN127">
        <v>0</v>
      </c>
      <c r="CO127">
        <v>1</v>
      </c>
      <c r="CP127">
        <v>0</v>
      </c>
      <c r="CQ127">
        <v>0</v>
      </c>
      <c r="CR127">
        <v>0</v>
      </c>
      <c r="CS127">
        <v>0</v>
      </c>
      <c r="CU127" t="s">
        <v>1666</v>
      </c>
      <c r="CV127">
        <v>1</v>
      </c>
      <c r="CW127">
        <v>1</v>
      </c>
      <c r="CX127">
        <v>1</v>
      </c>
      <c r="CY127">
        <v>0</v>
      </c>
      <c r="CZ127">
        <v>0</v>
      </c>
      <c r="DA127">
        <v>1</v>
      </c>
      <c r="DB127">
        <v>0</v>
      </c>
      <c r="DC127">
        <v>1</v>
      </c>
      <c r="DD127">
        <v>1</v>
      </c>
      <c r="DE127">
        <v>1</v>
      </c>
      <c r="DF127">
        <v>0</v>
      </c>
      <c r="DJ127">
        <v>0</v>
      </c>
      <c r="DK127">
        <v>15</v>
      </c>
      <c r="DL127">
        <v>15</v>
      </c>
      <c r="DN127">
        <v>500</v>
      </c>
      <c r="DP127">
        <v>1500</v>
      </c>
      <c r="DQ127" t="s">
        <v>1181</v>
      </c>
      <c r="DR127">
        <v>1</v>
      </c>
      <c r="DS127">
        <v>0</v>
      </c>
      <c r="DT127">
        <v>1</v>
      </c>
      <c r="DU127">
        <v>0</v>
      </c>
      <c r="DV127">
        <v>1</v>
      </c>
      <c r="DW127">
        <v>0</v>
      </c>
      <c r="DX127">
        <v>0</v>
      </c>
      <c r="DY127">
        <v>0</v>
      </c>
      <c r="DZ127">
        <v>0</v>
      </c>
      <c r="EB127" t="s">
        <v>839</v>
      </c>
      <c r="EC127" t="s">
        <v>957</v>
      </c>
      <c r="ED127" t="s">
        <v>848</v>
      </c>
      <c r="EI127">
        <v>180</v>
      </c>
      <c r="EM127" t="s">
        <v>841</v>
      </c>
      <c r="EO127">
        <v>180</v>
      </c>
      <c r="ES127" t="s">
        <v>841</v>
      </c>
      <c r="EU127">
        <v>180</v>
      </c>
      <c r="EY127" t="s">
        <v>841</v>
      </c>
      <c r="EZ127" t="s">
        <v>841</v>
      </c>
      <c r="FA127">
        <v>3</v>
      </c>
      <c r="FB127" t="s">
        <v>841</v>
      </c>
      <c r="FG127" t="s">
        <v>1667</v>
      </c>
      <c r="FL127" t="s">
        <v>841</v>
      </c>
      <c r="FM127">
        <v>2000</v>
      </c>
      <c r="FO127">
        <v>0</v>
      </c>
      <c r="FP127">
        <v>0</v>
      </c>
      <c r="FQ127">
        <v>0</v>
      </c>
      <c r="FS127" t="s">
        <v>839</v>
      </c>
      <c r="FT127" t="s">
        <v>839</v>
      </c>
      <c r="FU127" t="s">
        <v>839</v>
      </c>
      <c r="FV127" t="s">
        <v>839</v>
      </c>
      <c r="FW127" t="s">
        <v>842</v>
      </c>
      <c r="FY127" t="s">
        <v>839</v>
      </c>
      <c r="FZ127" t="s">
        <v>839</v>
      </c>
      <c r="GA127" t="s">
        <v>842</v>
      </c>
      <c r="GB127" t="s">
        <v>839</v>
      </c>
      <c r="GC127" t="s">
        <v>842</v>
      </c>
      <c r="GD127" t="s">
        <v>842</v>
      </c>
      <c r="GG127" t="s">
        <v>668</v>
      </c>
      <c r="GI127" t="s">
        <v>1076</v>
      </c>
      <c r="GJ127">
        <v>0</v>
      </c>
      <c r="GK127">
        <v>0</v>
      </c>
      <c r="GL127">
        <v>0</v>
      </c>
      <c r="GM127">
        <v>0</v>
      </c>
      <c r="GN127">
        <v>0</v>
      </c>
      <c r="GO127">
        <v>0</v>
      </c>
      <c r="GP127">
        <v>0</v>
      </c>
      <c r="GQ127">
        <v>0</v>
      </c>
      <c r="GR127">
        <v>0</v>
      </c>
      <c r="GS127">
        <v>0</v>
      </c>
      <c r="GT127">
        <v>0</v>
      </c>
      <c r="GU127">
        <v>0</v>
      </c>
      <c r="GV127">
        <v>0</v>
      </c>
      <c r="GW127">
        <v>0</v>
      </c>
      <c r="GX127">
        <v>0</v>
      </c>
      <c r="GY127">
        <v>0</v>
      </c>
      <c r="GZ127">
        <v>1</v>
      </c>
      <c r="HB127" t="s">
        <v>842</v>
      </c>
      <c r="HC127" t="s">
        <v>1668</v>
      </c>
    </row>
    <row r="128" spans="1:211" x14ac:dyDescent="0.35">
      <c r="A128" t="s">
        <v>1669</v>
      </c>
      <c r="B128" s="151">
        <v>45196.503645833327</v>
      </c>
      <c r="C128" t="s">
        <v>1670</v>
      </c>
      <c r="D128" t="s">
        <v>1671</v>
      </c>
      <c r="E128" t="s">
        <v>875</v>
      </c>
      <c r="F128" t="s">
        <v>1672</v>
      </c>
      <c r="G128" t="s">
        <v>1672</v>
      </c>
      <c r="H128" t="s">
        <v>839</v>
      </c>
      <c r="I128" t="s">
        <v>896</v>
      </c>
      <c r="K128" t="s">
        <v>839</v>
      </c>
      <c r="L128" t="s">
        <v>887</v>
      </c>
      <c r="O128">
        <v>22</v>
      </c>
      <c r="P128">
        <v>28</v>
      </c>
      <c r="Q128">
        <v>50</v>
      </c>
      <c r="S128" t="s">
        <v>841</v>
      </c>
      <c r="T128" t="s">
        <v>841</v>
      </c>
      <c r="U128" t="s">
        <v>841</v>
      </c>
      <c r="V128" t="s">
        <v>841</v>
      </c>
      <c r="W128" t="s">
        <v>841</v>
      </c>
      <c r="AH128">
        <v>1</v>
      </c>
      <c r="AI128">
        <v>1</v>
      </c>
      <c r="AJ128">
        <v>1</v>
      </c>
      <c r="AK128">
        <v>1</v>
      </c>
      <c r="AL128">
        <v>1</v>
      </c>
      <c r="BV128" t="s">
        <v>839</v>
      </c>
      <c r="BW128" t="s">
        <v>950</v>
      </c>
      <c r="BX128" t="s">
        <v>839</v>
      </c>
      <c r="BY128" t="s">
        <v>759</v>
      </c>
      <c r="BZ128" t="s">
        <v>839</v>
      </c>
      <c r="CA128" t="s">
        <v>839</v>
      </c>
      <c r="CC128" t="s">
        <v>839</v>
      </c>
      <c r="CD128" t="s">
        <v>855</v>
      </c>
      <c r="CG128">
        <v>4</v>
      </c>
      <c r="CH128">
        <v>2</v>
      </c>
      <c r="CI128">
        <v>2</v>
      </c>
      <c r="CJ128">
        <v>0</v>
      </c>
      <c r="CK128" t="s">
        <v>681</v>
      </c>
      <c r="CM128" t="s">
        <v>844</v>
      </c>
      <c r="CN128">
        <v>1</v>
      </c>
      <c r="CO128">
        <v>0</v>
      </c>
      <c r="CP128">
        <v>0</v>
      </c>
      <c r="CQ128">
        <v>0</v>
      </c>
      <c r="CR128">
        <v>0</v>
      </c>
      <c r="CS128">
        <v>0</v>
      </c>
      <c r="CU128" t="s">
        <v>1030</v>
      </c>
      <c r="CV128">
        <v>1</v>
      </c>
      <c r="CW128">
        <v>1</v>
      </c>
      <c r="CX128">
        <v>1</v>
      </c>
      <c r="CY128">
        <v>0</v>
      </c>
      <c r="CZ128">
        <v>0</v>
      </c>
      <c r="DA128">
        <v>0</v>
      </c>
      <c r="DB128">
        <v>0</v>
      </c>
      <c r="DC128">
        <v>0</v>
      </c>
      <c r="DD128">
        <v>0</v>
      </c>
      <c r="DE128">
        <v>0</v>
      </c>
      <c r="DF128">
        <v>0</v>
      </c>
      <c r="DJ128">
        <v>1</v>
      </c>
      <c r="DK128">
        <v>6</v>
      </c>
      <c r="DL128">
        <v>7</v>
      </c>
      <c r="DN128">
        <v>300</v>
      </c>
      <c r="DP128">
        <v>600</v>
      </c>
      <c r="DQ128" t="s">
        <v>1070</v>
      </c>
      <c r="DR128">
        <v>1</v>
      </c>
      <c r="DS128">
        <v>1</v>
      </c>
      <c r="DT128">
        <v>0</v>
      </c>
      <c r="DU128">
        <v>0</v>
      </c>
      <c r="DV128">
        <v>0</v>
      </c>
      <c r="DW128">
        <v>0</v>
      </c>
      <c r="DX128">
        <v>0</v>
      </c>
      <c r="DY128">
        <v>0</v>
      </c>
      <c r="DZ128">
        <v>0</v>
      </c>
      <c r="EB128" t="s">
        <v>839</v>
      </c>
      <c r="EC128" t="s">
        <v>869</v>
      </c>
      <c r="ED128" t="s">
        <v>848</v>
      </c>
      <c r="EI128">
        <v>1400</v>
      </c>
      <c r="EM128" t="s">
        <v>841</v>
      </c>
      <c r="EO128">
        <v>1400</v>
      </c>
      <c r="ES128" t="s">
        <v>841</v>
      </c>
      <c r="EU128">
        <v>1500</v>
      </c>
      <c r="EY128" t="s">
        <v>841</v>
      </c>
      <c r="FA128">
        <v>750</v>
      </c>
      <c r="FE128" t="s">
        <v>841</v>
      </c>
      <c r="FG128">
        <v>700</v>
      </c>
      <c r="FK128" t="s">
        <v>841</v>
      </c>
      <c r="FM128">
        <v>1700</v>
      </c>
      <c r="FO128">
        <v>0</v>
      </c>
      <c r="FP128">
        <v>0</v>
      </c>
      <c r="FQ128">
        <v>0</v>
      </c>
      <c r="FS128" t="s">
        <v>839</v>
      </c>
      <c r="FT128" t="s">
        <v>839</v>
      </c>
      <c r="FU128" t="s">
        <v>839</v>
      </c>
      <c r="FV128" t="s">
        <v>839</v>
      </c>
      <c r="FW128" t="s">
        <v>842</v>
      </c>
      <c r="FY128" t="s">
        <v>839</v>
      </c>
      <c r="FZ128" t="s">
        <v>839</v>
      </c>
      <c r="GA128" t="s">
        <v>842</v>
      </c>
      <c r="GB128" t="s">
        <v>842</v>
      </c>
      <c r="GC128" t="s">
        <v>842</v>
      </c>
      <c r="GD128" t="s">
        <v>842</v>
      </c>
      <c r="GG128" t="s">
        <v>839</v>
      </c>
      <c r="GI128" t="s">
        <v>1025</v>
      </c>
      <c r="GJ128">
        <v>1</v>
      </c>
      <c r="GK128">
        <v>0</v>
      </c>
      <c r="GL128">
        <v>0</v>
      </c>
      <c r="GM128">
        <v>0</v>
      </c>
      <c r="GN128">
        <v>0</v>
      </c>
      <c r="GO128">
        <v>1</v>
      </c>
      <c r="GP128">
        <v>0</v>
      </c>
      <c r="GQ128">
        <v>0</v>
      </c>
      <c r="GR128">
        <v>0</v>
      </c>
      <c r="GS128">
        <v>0</v>
      </c>
      <c r="GT128">
        <v>0</v>
      </c>
      <c r="GU128">
        <v>0</v>
      </c>
      <c r="GV128">
        <v>0</v>
      </c>
      <c r="GW128">
        <v>0</v>
      </c>
      <c r="GX128">
        <v>0</v>
      </c>
      <c r="GY128">
        <v>0</v>
      </c>
      <c r="GZ128">
        <v>0</v>
      </c>
      <c r="HB128" t="s">
        <v>839</v>
      </c>
    </row>
    <row r="129" spans="1:210" x14ac:dyDescent="0.35">
      <c r="A129" t="s">
        <v>1673</v>
      </c>
      <c r="B129" s="151">
        <v>45196.671388888892</v>
      </c>
      <c r="C129" t="s">
        <v>1674</v>
      </c>
      <c r="D129" t="s">
        <v>1675</v>
      </c>
      <c r="E129" t="s">
        <v>835</v>
      </c>
      <c r="F129" t="s">
        <v>1676</v>
      </c>
      <c r="G129" t="s">
        <v>1676</v>
      </c>
      <c r="H129" t="s">
        <v>839</v>
      </c>
      <c r="I129" t="s">
        <v>896</v>
      </c>
      <c r="K129" t="s">
        <v>839</v>
      </c>
      <c r="L129" t="s">
        <v>897</v>
      </c>
      <c r="O129">
        <v>115</v>
      </c>
      <c r="P129">
        <v>120</v>
      </c>
      <c r="Q129">
        <v>235</v>
      </c>
      <c r="S129" t="s">
        <v>841</v>
      </c>
      <c r="T129" t="s">
        <v>841</v>
      </c>
      <c r="U129" t="s">
        <v>841</v>
      </c>
      <c r="V129" t="s">
        <v>841</v>
      </c>
      <c r="W129" t="s">
        <v>841</v>
      </c>
      <c r="X129" t="s">
        <v>841</v>
      </c>
      <c r="Y129" t="s">
        <v>841</v>
      </c>
      <c r="Z129" t="s">
        <v>841</v>
      </c>
      <c r="AA129" t="s">
        <v>841</v>
      </c>
      <c r="AB129" t="s">
        <v>841</v>
      </c>
      <c r="AC129" t="s">
        <v>841</v>
      </c>
      <c r="AD129" t="s">
        <v>841</v>
      </c>
      <c r="AH129">
        <v>1</v>
      </c>
      <c r="AI129">
        <v>1</v>
      </c>
      <c r="AJ129">
        <v>1</v>
      </c>
      <c r="AK129">
        <v>1</v>
      </c>
      <c r="AL129">
        <v>1</v>
      </c>
      <c r="AM129">
        <v>1</v>
      </c>
      <c r="AN129">
        <v>1</v>
      </c>
      <c r="AO129">
        <v>1</v>
      </c>
      <c r="AP129">
        <v>1</v>
      </c>
      <c r="AQ129">
        <v>1</v>
      </c>
      <c r="AR129">
        <v>1</v>
      </c>
      <c r="AS129">
        <v>1</v>
      </c>
      <c r="BB129">
        <v>0</v>
      </c>
      <c r="BC129">
        <v>0</v>
      </c>
      <c r="BD129">
        <v>0</v>
      </c>
      <c r="BF129">
        <v>0</v>
      </c>
      <c r="BG129">
        <v>0</v>
      </c>
      <c r="BH129">
        <v>0</v>
      </c>
      <c r="BJ129">
        <v>7</v>
      </c>
      <c r="BK129">
        <v>7</v>
      </c>
      <c r="BL129">
        <v>14</v>
      </c>
      <c r="BP129">
        <v>0</v>
      </c>
      <c r="BQ129">
        <v>0</v>
      </c>
      <c r="BR129">
        <v>0</v>
      </c>
      <c r="BT129" t="s">
        <v>841</v>
      </c>
      <c r="BV129" t="s">
        <v>839</v>
      </c>
      <c r="BW129" t="s">
        <v>759</v>
      </c>
      <c r="BX129" t="s">
        <v>839</v>
      </c>
      <c r="BY129" t="s">
        <v>759</v>
      </c>
      <c r="BZ129" t="s">
        <v>839</v>
      </c>
      <c r="CA129" t="s">
        <v>839</v>
      </c>
      <c r="CC129" t="s">
        <v>839</v>
      </c>
      <c r="CD129" t="s">
        <v>855</v>
      </c>
      <c r="CG129">
        <v>4</v>
      </c>
      <c r="CH129">
        <v>1</v>
      </c>
      <c r="CI129">
        <v>1</v>
      </c>
      <c r="CJ129">
        <v>2</v>
      </c>
      <c r="CK129" t="s">
        <v>877</v>
      </c>
      <c r="CM129" t="s">
        <v>844</v>
      </c>
      <c r="CN129">
        <v>1</v>
      </c>
      <c r="CO129">
        <v>0</v>
      </c>
      <c r="CP129">
        <v>0</v>
      </c>
      <c r="CQ129">
        <v>0</v>
      </c>
      <c r="CR129">
        <v>0</v>
      </c>
      <c r="CS129">
        <v>0</v>
      </c>
      <c r="CU129" t="s">
        <v>1301</v>
      </c>
      <c r="CV129">
        <v>1</v>
      </c>
      <c r="CW129">
        <v>0</v>
      </c>
      <c r="CX129">
        <v>1</v>
      </c>
      <c r="CY129">
        <v>0</v>
      </c>
      <c r="CZ129">
        <v>0</v>
      </c>
      <c r="DA129">
        <v>1</v>
      </c>
      <c r="DB129">
        <v>0</v>
      </c>
      <c r="DC129">
        <v>0</v>
      </c>
      <c r="DD129">
        <v>1</v>
      </c>
      <c r="DE129">
        <v>1</v>
      </c>
      <c r="DF129">
        <v>0</v>
      </c>
      <c r="DJ129">
        <v>6</v>
      </c>
      <c r="DK129">
        <v>9</v>
      </c>
      <c r="DL129">
        <v>15</v>
      </c>
      <c r="DN129">
        <v>400</v>
      </c>
      <c r="DP129">
        <v>800</v>
      </c>
      <c r="DQ129" t="s">
        <v>1250</v>
      </c>
      <c r="DR129">
        <v>1</v>
      </c>
      <c r="DS129">
        <v>0</v>
      </c>
      <c r="DT129">
        <v>1</v>
      </c>
      <c r="DU129">
        <v>1</v>
      </c>
      <c r="DV129">
        <v>0</v>
      </c>
      <c r="DW129">
        <v>0</v>
      </c>
      <c r="DX129">
        <v>0</v>
      </c>
      <c r="DY129">
        <v>0</v>
      </c>
      <c r="DZ129">
        <v>0</v>
      </c>
      <c r="EB129" t="s">
        <v>839</v>
      </c>
      <c r="EC129" t="s">
        <v>847</v>
      </c>
      <c r="ED129" t="s">
        <v>848</v>
      </c>
      <c r="EI129">
        <v>195</v>
      </c>
      <c r="EM129" t="s">
        <v>841</v>
      </c>
      <c r="EO129">
        <v>195</v>
      </c>
      <c r="ES129" t="s">
        <v>841</v>
      </c>
      <c r="EU129">
        <v>210</v>
      </c>
      <c r="EY129" t="s">
        <v>841</v>
      </c>
      <c r="FA129">
        <v>4</v>
      </c>
      <c r="FB129" t="s">
        <v>841</v>
      </c>
      <c r="FL129" t="s">
        <v>841</v>
      </c>
      <c r="FM129">
        <v>1450</v>
      </c>
      <c r="FO129">
        <v>1</v>
      </c>
      <c r="FP129">
        <v>2</v>
      </c>
      <c r="FQ129">
        <v>3</v>
      </c>
      <c r="FS129" t="s">
        <v>839</v>
      </c>
      <c r="FT129" t="s">
        <v>839</v>
      </c>
      <c r="FU129" t="s">
        <v>839</v>
      </c>
      <c r="FV129" t="s">
        <v>839</v>
      </c>
      <c r="FW129" t="s">
        <v>839</v>
      </c>
      <c r="FX129" t="s">
        <v>890</v>
      </c>
      <c r="FY129" t="s">
        <v>839</v>
      </c>
      <c r="FZ129" t="s">
        <v>839</v>
      </c>
      <c r="GA129" t="s">
        <v>839</v>
      </c>
      <c r="GB129" t="s">
        <v>839</v>
      </c>
      <c r="GC129" t="s">
        <v>839</v>
      </c>
      <c r="GD129" t="s">
        <v>839</v>
      </c>
      <c r="GE129" t="s">
        <v>881</v>
      </c>
      <c r="GG129" t="s">
        <v>839</v>
      </c>
      <c r="GI129" t="s">
        <v>1677</v>
      </c>
      <c r="GJ129">
        <v>1</v>
      </c>
      <c r="GK129">
        <v>0</v>
      </c>
      <c r="GL129">
        <v>0</v>
      </c>
      <c r="GM129">
        <v>0</v>
      </c>
      <c r="GN129">
        <v>0</v>
      </c>
      <c r="GO129">
        <v>0</v>
      </c>
      <c r="GP129">
        <v>0</v>
      </c>
      <c r="GQ129">
        <v>0</v>
      </c>
      <c r="GR129">
        <v>0</v>
      </c>
      <c r="GS129">
        <v>0</v>
      </c>
      <c r="GT129">
        <v>0</v>
      </c>
      <c r="GU129">
        <v>1</v>
      </c>
      <c r="GV129">
        <v>0</v>
      </c>
      <c r="GW129">
        <v>1</v>
      </c>
      <c r="GX129">
        <v>1</v>
      </c>
      <c r="GY129">
        <v>0</v>
      </c>
      <c r="GZ129">
        <v>0</v>
      </c>
      <c r="HB129" t="s">
        <v>839</v>
      </c>
    </row>
    <row r="130" spans="1:210" x14ac:dyDescent="0.35">
      <c r="A130" t="s">
        <v>1678</v>
      </c>
      <c r="B130" s="151">
        <v>45197.745844907397</v>
      </c>
      <c r="C130" t="s">
        <v>1679</v>
      </c>
      <c r="D130" t="s">
        <v>1680</v>
      </c>
      <c r="E130" t="s">
        <v>835</v>
      </c>
      <c r="F130" t="s">
        <v>1681</v>
      </c>
      <c r="G130" t="s">
        <v>1682</v>
      </c>
      <c r="H130" t="s">
        <v>839</v>
      </c>
      <c r="I130" t="s">
        <v>896</v>
      </c>
      <c r="K130" t="s">
        <v>839</v>
      </c>
      <c r="L130" t="s">
        <v>887</v>
      </c>
      <c r="O130">
        <v>28</v>
      </c>
      <c r="P130">
        <v>22</v>
      </c>
      <c r="Q130">
        <v>50</v>
      </c>
      <c r="S130" t="s">
        <v>841</v>
      </c>
      <c r="T130" t="s">
        <v>841</v>
      </c>
      <c r="U130" t="s">
        <v>841</v>
      </c>
      <c r="V130" t="s">
        <v>841</v>
      </c>
      <c r="W130" t="s">
        <v>841</v>
      </c>
      <c r="X130" t="s">
        <v>841</v>
      </c>
      <c r="Y130" t="s">
        <v>841</v>
      </c>
      <c r="AB130" t="s">
        <v>841</v>
      </c>
      <c r="AI130">
        <v>0</v>
      </c>
      <c r="AJ130">
        <v>0</v>
      </c>
      <c r="AK130">
        <v>0</v>
      </c>
      <c r="AL130">
        <v>0</v>
      </c>
      <c r="AM130">
        <v>0</v>
      </c>
      <c r="AQ130">
        <v>0</v>
      </c>
      <c r="AZ130" t="s">
        <v>841</v>
      </c>
      <c r="BJ130">
        <v>0</v>
      </c>
      <c r="BK130">
        <v>0</v>
      </c>
      <c r="BL130">
        <v>0</v>
      </c>
      <c r="BM130" t="s">
        <v>841</v>
      </c>
      <c r="BS130" t="s">
        <v>841</v>
      </c>
      <c r="BV130" t="s">
        <v>839</v>
      </c>
      <c r="BW130" t="s">
        <v>759</v>
      </c>
      <c r="BX130" t="s">
        <v>839</v>
      </c>
      <c r="BY130" t="s">
        <v>950</v>
      </c>
      <c r="BZ130" t="s">
        <v>839</v>
      </c>
      <c r="CA130" t="s">
        <v>839</v>
      </c>
      <c r="CC130" t="s">
        <v>842</v>
      </c>
      <c r="CD130" t="s">
        <v>855</v>
      </c>
      <c r="CG130">
        <v>3</v>
      </c>
      <c r="CH130">
        <v>1</v>
      </c>
      <c r="CI130">
        <v>1</v>
      </c>
      <c r="CJ130">
        <v>1</v>
      </c>
      <c r="CK130" t="s">
        <v>877</v>
      </c>
      <c r="CM130" t="s">
        <v>1023</v>
      </c>
      <c r="CN130">
        <v>0</v>
      </c>
      <c r="CO130">
        <v>0</v>
      </c>
      <c r="CP130">
        <v>0</v>
      </c>
      <c r="CQ130">
        <v>1</v>
      </c>
      <c r="CR130">
        <v>0</v>
      </c>
      <c r="CS130">
        <v>0</v>
      </c>
      <c r="CU130" t="s">
        <v>1064</v>
      </c>
      <c r="CV130">
        <v>1</v>
      </c>
      <c r="CW130">
        <v>0</v>
      </c>
      <c r="CX130">
        <v>0</v>
      </c>
      <c r="CY130">
        <v>0</v>
      </c>
      <c r="CZ130">
        <v>0</v>
      </c>
      <c r="DA130">
        <v>0</v>
      </c>
      <c r="DB130">
        <v>0</v>
      </c>
      <c r="DC130">
        <v>0</v>
      </c>
      <c r="DD130">
        <v>1</v>
      </c>
      <c r="DE130">
        <v>1</v>
      </c>
      <c r="DF130">
        <v>0</v>
      </c>
      <c r="DJ130">
        <v>2</v>
      </c>
      <c r="DK130">
        <v>6</v>
      </c>
      <c r="DL130">
        <v>8</v>
      </c>
      <c r="DN130">
        <v>300</v>
      </c>
      <c r="DP130">
        <v>500</v>
      </c>
      <c r="DQ130" t="s">
        <v>1181</v>
      </c>
      <c r="DR130">
        <v>1</v>
      </c>
      <c r="DS130">
        <v>0</v>
      </c>
      <c r="DT130">
        <v>1</v>
      </c>
      <c r="DU130">
        <v>0</v>
      </c>
      <c r="DV130">
        <v>1</v>
      </c>
      <c r="DW130">
        <v>0</v>
      </c>
      <c r="DX130">
        <v>0</v>
      </c>
      <c r="DY130">
        <v>0</v>
      </c>
      <c r="DZ130">
        <v>0</v>
      </c>
      <c r="EB130" t="s">
        <v>839</v>
      </c>
      <c r="EC130" t="s">
        <v>869</v>
      </c>
      <c r="ED130" t="s">
        <v>848</v>
      </c>
      <c r="EI130">
        <v>360</v>
      </c>
      <c r="EM130" t="s">
        <v>841</v>
      </c>
      <c r="EO130">
        <v>370</v>
      </c>
      <c r="ES130" t="s">
        <v>841</v>
      </c>
      <c r="EZ130" t="s">
        <v>841</v>
      </c>
      <c r="FA130">
        <v>8</v>
      </c>
      <c r="FB130" t="s">
        <v>841</v>
      </c>
      <c r="FG130">
        <v>2</v>
      </c>
      <c r="FH130" t="s">
        <v>841</v>
      </c>
      <c r="FM130">
        <v>1000</v>
      </c>
      <c r="FO130">
        <v>0</v>
      </c>
      <c r="FP130">
        <v>0</v>
      </c>
      <c r="FQ130">
        <v>0</v>
      </c>
      <c r="FS130" t="s">
        <v>839</v>
      </c>
      <c r="FT130" t="s">
        <v>839</v>
      </c>
      <c r="FU130" t="s">
        <v>839</v>
      </c>
      <c r="FV130" t="s">
        <v>839</v>
      </c>
      <c r="FW130" t="s">
        <v>839</v>
      </c>
      <c r="FX130" t="s">
        <v>965</v>
      </c>
      <c r="FY130" t="s">
        <v>839</v>
      </c>
      <c r="FZ130" t="s">
        <v>839</v>
      </c>
      <c r="GA130" t="s">
        <v>839</v>
      </c>
      <c r="GB130" t="s">
        <v>839</v>
      </c>
      <c r="GC130" t="s">
        <v>842</v>
      </c>
      <c r="GD130" t="s">
        <v>842</v>
      </c>
      <c r="GG130" t="s">
        <v>839</v>
      </c>
      <c r="GI130" t="s">
        <v>1683</v>
      </c>
      <c r="GJ130">
        <v>1</v>
      </c>
      <c r="GK130">
        <v>0</v>
      </c>
      <c r="GL130">
        <v>1</v>
      </c>
      <c r="GM130">
        <v>0</v>
      </c>
      <c r="GN130">
        <v>0</v>
      </c>
      <c r="GO130">
        <v>0</v>
      </c>
      <c r="GP130">
        <v>0</v>
      </c>
      <c r="GQ130">
        <v>0</v>
      </c>
      <c r="GR130">
        <v>1</v>
      </c>
      <c r="GS130">
        <v>0</v>
      </c>
      <c r="GT130">
        <v>0</v>
      </c>
      <c r="GU130">
        <v>0</v>
      </c>
      <c r="GV130">
        <v>0</v>
      </c>
      <c r="GW130">
        <v>0</v>
      </c>
      <c r="GX130">
        <v>0</v>
      </c>
      <c r="GY130">
        <v>0</v>
      </c>
      <c r="GZ130">
        <v>0</v>
      </c>
      <c r="HB130" t="s">
        <v>839</v>
      </c>
    </row>
    <row r="131" spans="1:210" x14ac:dyDescent="0.35">
      <c r="A131" t="s">
        <v>1684</v>
      </c>
      <c r="B131" s="151">
        <v>45198.561851851853</v>
      </c>
      <c r="C131" t="s">
        <v>1685</v>
      </c>
      <c r="D131" t="s">
        <v>1686</v>
      </c>
      <c r="E131" t="s">
        <v>875</v>
      </c>
      <c r="F131" t="s">
        <v>1687</v>
      </c>
      <c r="G131" t="s">
        <v>1688</v>
      </c>
      <c r="H131" t="s">
        <v>839</v>
      </c>
      <c r="I131" t="s">
        <v>896</v>
      </c>
      <c r="K131" t="s">
        <v>842</v>
      </c>
      <c r="O131">
        <v>198</v>
      </c>
      <c r="P131">
        <v>252</v>
      </c>
      <c r="Q131">
        <v>450</v>
      </c>
      <c r="S131" t="s">
        <v>841</v>
      </c>
      <c r="T131" t="s">
        <v>841</v>
      </c>
      <c r="U131" t="s">
        <v>841</v>
      </c>
      <c r="V131" t="s">
        <v>841</v>
      </c>
      <c r="W131" t="s">
        <v>841</v>
      </c>
      <c r="X131" t="s">
        <v>841</v>
      </c>
      <c r="Y131" t="s">
        <v>841</v>
      </c>
      <c r="Z131" t="s">
        <v>841</v>
      </c>
      <c r="AA131" t="s">
        <v>841</v>
      </c>
      <c r="AB131" t="s">
        <v>841</v>
      </c>
      <c r="AC131" t="s">
        <v>841</v>
      </c>
      <c r="AH131">
        <v>1</v>
      </c>
      <c r="AI131">
        <v>1</v>
      </c>
      <c r="AJ131">
        <v>1</v>
      </c>
      <c r="AK131">
        <v>1</v>
      </c>
      <c r="AL131">
        <v>1</v>
      </c>
      <c r="AM131">
        <v>1</v>
      </c>
      <c r="AN131">
        <v>2</v>
      </c>
      <c r="AO131">
        <v>1</v>
      </c>
      <c r="AP131">
        <v>1</v>
      </c>
      <c r="AQ131">
        <v>1</v>
      </c>
      <c r="AR131">
        <v>1</v>
      </c>
      <c r="AS131">
        <v>0</v>
      </c>
      <c r="AT131">
        <v>0</v>
      </c>
      <c r="AU131">
        <v>0</v>
      </c>
      <c r="AZ131" t="s">
        <v>841</v>
      </c>
      <c r="BM131" t="s">
        <v>841</v>
      </c>
      <c r="BS131" t="s">
        <v>841</v>
      </c>
      <c r="BV131" t="s">
        <v>842</v>
      </c>
      <c r="BX131" t="s">
        <v>839</v>
      </c>
      <c r="BY131" t="s">
        <v>950</v>
      </c>
      <c r="BZ131" t="s">
        <v>839</v>
      </c>
      <c r="CA131" t="s">
        <v>839</v>
      </c>
      <c r="CC131" t="s">
        <v>839</v>
      </c>
      <c r="CD131" t="s">
        <v>855</v>
      </c>
      <c r="CG131">
        <v>2</v>
      </c>
      <c r="CH131">
        <v>1</v>
      </c>
      <c r="CI131">
        <v>1</v>
      </c>
      <c r="CJ131">
        <v>0</v>
      </c>
      <c r="CK131" t="s">
        <v>877</v>
      </c>
      <c r="CM131" t="s">
        <v>867</v>
      </c>
      <c r="CN131">
        <v>0</v>
      </c>
      <c r="CO131">
        <v>1</v>
      </c>
      <c r="CP131">
        <v>0</v>
      </c>
      <c r="CQ131">
        <v>0</v>
      </c>
      <c r="CR131">
        <v>0</v>
      </c>
      <c r="CS131">
        <v>0</v>
      </c>
      <c r="CU131" t="s">
        <v>1689</v>
      </c>
      <c r="CV131">
        <v>1</v>
      </c>
      <c r="CW131">
        <v>1</v>
      </c>
      <c r="CX131">
        <v>1</v>
      </c>
      <c r="CY131">
        <v>0</v>
      </c>
      <c r="CZ131">
        <v>0</v>
      </c>
      <c r="DA131">
        <v>1</v>
      </c>
      <c r="DB131">
        <v>1</v>
      </c>
      <c r="DC131">
        <v>1</v>
      </c>
      <c r="DD131">
        <v>1</v>
      </c>
      <c r="DE131">
        <v>1</v>
      </c>
      <c r="DF131">
        <v>0</v>
      </c>
      <c r="DJ131">
        <v>4</v>
      </c>
      <c r="DK131">
        <v>8</v>
      </c>
      <c r="DL131">
        <v>12</v>
      </c>
      <c r="DN131">
        <v>350</v>
      </c>
      <c r="DP131">
        <v>450</v>
      </c>
      <c r="DQ131" t="s">
        <v>937</v>
      </c>
      <c r="DR131">
        <v>1</v>
      </c>
      <c r="DS131">
        <v>0</v>
      </c>
      <c r="DT131">
        <v>0</v>
      </c>
      <c r="DU131">
        <v>0</v>
      </c>
      <c r="DV131">
        <v>0</v>
      </c>
      <c r="DW131">
        <v>0</v>
      </c>
      <c r="DX131">
        <v>0</v>
      </c>
      <c r="DY131">
        <v>0</v>
      </c>
      <c r="DZ131">
        <v>0</v>
      </c>
      <c r="EB131" t="s">
        <v>839</v>
      </c>
      <c r="EC131" t="s">
        <v>847</v>
      </c>
      <c r="ED131" t="s">
        <v>848</v>
      </c>
      <c r="EI131">
        <v>410</v>
      </c>
      <c r="EM131" t="s">
        <v>841</v>
      </c>
      <c r="EO131">
        <v>410</v>
      </c>
      <c r="ES131" t="s">
        <v>841</v>
      </c>
      <c r="EZ131" t="s">
        <v>841</v>
      </c>
      <c r="FA131">
        <v>6</v>
      </c>
      <c r="FB131" t="s">
        <v>841</v>
      </c>
      <c r="FG131">
        <v>4</v>
      </c>
      <c r="FH131" t="s">
        <v>841</v>
      </c>
      <c r="FM131">
        <v>900</v>
      </c>
      <c r="FO131">
        <v>0</v>
      </c>
      <c r="FP131">
        <v>0</v>
      </c>
      <c r="FQ131">
        <v>0</v>
      </c>
      <c r="FS131" t="s">
        <v>839</v>
      </c>
      <c r="FT131" t="s">
        <v>839</v>
      </c>
      <c r="FU131" t="s">
        <v>839</v>
      </c>
      <c r="FV131" t="s">
        <v>839</v>
      </c>
      <c r="FW131" t="s">
        <v>682</v>
      </c>
      <c r="FY131" t="s">
        <v>839</v>
      </c>
      <c r="FZ131" t="s">
        <v>839</v>
      </c>
      <c r="GA131" t="s">
        <v>842</v>
      </c>
      <c r="GB131" t="s">
        <v>842</v>
      </c>
      <c r="GC131" t="s">
        <v>842</v>
      </c>
      <c r="GD131" t="s">
        <v>842</v>
      </c>
      <c r="GG131" t="s">
        <v>668</v>
      </c>
      <c r="GI131" t="s">
        <v>1690</v>
      </c>
      <c r="GJ131">
        <v>1</v>
      </c>
      <c r="GK131">
        <v>1</v>
      </c>
      <c r="GL131">
        <v>1</v>
      </c>
      <c r="GM131">
        <v>0</v>
      </c>
      <c r="GN131">
        <v>1</v>
      </c>
      <c r="GO131">
        <v>1</v>
      </c>
      <c r="GP131">
        <v>0</v>
      </c>
      <c r="GQ131">
        <v>0</v>
      </c>
      <c r="GR131">
        <v>1</v>
      </c>
      <c r="GS131">
        <v>0</v>
      </c>
      <c r="GT131">
        <v>0</v>
      </c>
      <c r="GU131">
        <v>1</v>
      </c>
      <c r="GV131">
        <v>1</v>
      </c>
      <c r="GW131">
        <v>0</v>
      </c>
      <c r="GX131">
        <v>0</v>
      </c>
      <c r="GY131">
        <v>0</v>
      </c>
      <c r="GZ131">
        <v>0</v>
      </c>
      <c r="HB131" t="s">
        <v>839</v>
      </c>
    </row>
    <row r="132" spans="1:210" x14ac:dyDescent="0.35">
      <c r="A132" t="s">
        <v>1691</v>
      </c>
      <c r="B132" s="151">
        <v>45199.700150462973</v>
      </c>
      <c r="C132" t="s">
        <v>1692</v>
      </c>
      <c r="D132" t="s">
        <v>1693</v>
      </c>
      <c r="E132" t="s">
        <v>875</v>
      </c>
      <c r="F132" t="s">
        <v>1694</v>
      </c>
      <c r="G132" t="s">
        <v>1694</v>
      </c>
      <c r="H132" t="s">
        <v>839</v>
      </c>
      <c r="I132" t="s">
        <v>838</v>
      </c>
      <c r="K132" t="s">
        <v>839</v>
      </c>
      <c r="L132" t="s">
        <v>887</v>
      </c>
      <c r="O132">
        <v>100</v>
      </c>
      <c r="P132">
        <v>130</v>
      </c>
      <c r="Q132">
        <v>230</v>
      </c>
      <c r="S132" t="s">
        <v>841</v>
      </c>
      <c r="T132" t="s">
        <v>841</v>
      </c>
      <c r="U132" t="s">
        <v>841</v>
      </c>
      <c r="V132" t="s">
        <v>841</v>
      </c>
      <c r="W132" t="s">
        <v>841</v>
      </c>
      <c r="X132" t="s">
        <v>841</v>
      </c>
      <c r="Y132" t="s">
        <v>841</v>
      </c>
      <c r="Z132" t="s">
        <v>841</v>
      </c>
      <c r="AA132" t="s">
        <v>841</v>
      </c>
      <c r="AB132" t="s">
        <v>841</v>
      </c>
      <c r="AC132" t="s">
        <v>841</v>
      </c>
      <c r="AD132" t="s">
        <v>841</v>
      </c>
      <c r="AE132" t="s">
        <v>841</v>
      </c>
      <c r="AF132" t="s">
        <v>841</v>
      </c>
      <c r="AH132">
        <v>1</v>
      </c>
      <c r="AI132">
        <v>1</v>
      </c>
      <c r="AJ132">
        <v>1</v>
      </c>
      <c r="AK132">
        <v>1</v>
      </c>
      <c r="AL132">
        <v>1</v>
      </c>
      <c r="AM132">
        <v>1</v>
      </c>
      <c r="AN132">
        <v>1</v>
      </c>
      <c r="AO132">
        <v>1</v>
      </c>
      <c r="AP132">
        <v>1</v>
      </c>
      <c r="AQ132">
        <v>1</v>
      </c>
      <c r="AR132">
        <v>1</v>
      </c>
      <c r="AS132">
        <v>1</v>
      </c>
      <c r="AT132">
        <v>1</v>
      </c>
      <c r="AU132">
        <v>1</v>
      </c>
      <c r="AW132">
        <v>3</v>
      </c>
      <c r="AX132">
        <v>6</v>
      </c>
      <c r="AY132">
        <v>9</v>
      </c>
      <c r="AZ132" t="s">
        <v>841</v>
      </c>
      <c r="BM132" t="s">
        <v>841</v>
      </c>
      <c r="BP132">
        <v>2</v>
      </c>
      <c r="BQ132">
        <v>6</v>
      </c>
      <c r="BR132">
        <v>8</v>
      </c>
      <c r="BV132" t="s">
        <v>842</v>
      </c>
      <c r="BX132" t="s">
        <v>839</v>
      </c>
      <c r="BY132" t="s">
        <v>759</v>
      </c>
      <c r="BZ132" t="s">
        <v>839</v>
      </c>
      <c r="CA132" t="s">
        <v>839</v>
      </c>
      <c r="CC132" t="s">
        <v>839</v>
      </c>
      <c r="CD132" t="s">
        <v>855</v>
      </c>
      <c r="CG132">
        <v>4</v>
      </c>
      <c r="CH132">
        <v>2</v>
      </c>
      <c r="CI132">
        <v>2</v>
      </c>
      <c r="CJ132">
        <v>0</v>
      </c>
      <c r="CK132" t="s">
        <v>877</v>
      </c>
      <c r="CM132" t="s">
        <v>867</v>
      </c>
      <c r="CN132">
        <v>0</v>
      </c>
      <c r="CO132">
        <v>1</v>
      </c>
      <c r="CP132">
        <v>0</v>
      </c>
      <c r="CQ132">
        <v>0</v>
      </c>
      <c r="CR132">
        <v>0</v>
      </c>
      <c r="CS132">
        <v>0</v>
      </c>
      <c r="CU132" t="s">
        <v>1280</v>
      </c>
      <c r="CV132">
        <v>0</v>
      </c>
      <c r="CW132">
        <v>0</v>
      </c>
      <c r="CX132">
        <v>1</v>
      </c>
      <c r="CY132">
        <v>0</v>
      </c>
      <c r="CZ132">
        <v>0</v>
      </c>
      <c r="DA132">
        <v>0</v>
      </c>
      <c r="DB132">
        <v>0</v>
      </c>
      <c r="DC132">
        <v>0</v>
      </c>
      <c r="DD132">
        <v>0</v>
      </c>
      <c r="DE132">
        <v>1</v>
      </c>
      <c r="DF132">
        <v>0</v>
      </c>
      <c r="DJ132">
        <v>4</v>
      </c>
      <c r="DK132">
        <v>7</v>
      </c>
      <c r="DL132">
        <v>11</v>
      </c>
      <c r="DN132">
        <v>300</v>
      </c>
      <c r="DP132">
        <v>500</v>
      </c>
      <c r="DQ132" t="s">
        <v>681</v>
      </c>
      <c r="DR132">
        <v>0</v>
      </c>
      <c r="DS132">
        <v>0</v>
      </c>
      <c r="DT132">
        <v>0</v>
      </c>
      <c r="DU132">
        <v>0</v>
      </c>
      <c r="DV132">
        <v>0</v>
      </c>
      <c r="DW132">
        <v>0</v>
      </c>
      <c r="DX132">
        <v>0</v>
      </c>
      <c r="DY132">
        <v>0</v>
      </c>
      <c r="DZ132">
        <v>1</v>
      </c>
      <c r="EB132" t="s">
        <v>839</v>
      </c>
      <c r="EC132" t="s">
        <v>847</v>
      </c>
      <c r="ED132" t="s">
        <v>848</v>
      </c>
      <c r="EI132" s="157">
        <v>320</v>
      </c>
      <c r="EJ132" s="157"/>
      <c r="EK132" s="157"/>
      <c r="EL132" s="157"/>
      <c r="EM132" s="157" t="s">
        <v>841</v>
      </c>
      <c r="EN132" s="157"/>
      <c r="EO132" s="157">
        <v>300</v>
      </c>
      <c r="EP132" s="157"/>
      <c r="EQ132" s="157"/>
      <c r="ER132" s="157"/>
      <c r="ES132" s="157" t="s">
        <v>841</v>
      </c>
      <c r="ET132" s="157"/>
      <c r="EU132" s="157"/>
      <c r="EV132" s="157"/>
      <c r="EW132" s="157"/>
      <c r="EX132" s="157"/>
      <c r="EY132" s="157"/>
      <c r="EZ132" s="157" t="s">
        <v>841</v>
      </c>
      <c r="FA132" s="157">
        <v>6</v>
      </c>
      <c r="FB132" s="157" t="s">
        <v>841</v>
      </c>
      <c r="FC132" s="157"/>
      <c r="FD132" s="157"/>
      <c r="FE132" s="157"/>
      <c r="FF132" s="157"/>
      <c r="FG132" s="157">
        <v>4</v>
      </c>
      <c r="FH132" s="157" t="s">
        <v>841</v>
      </c>
      <c r="FI132" s="157"/>
      <c r="FJ132" s="157"/>
      <c r="FK132" s="157"/>
      <c r="FL132" s="157"/>
      <c r="FM132">
        <v>150</v>
      </c>
      <c r="FO132">
        <v>0</v>
      </c>
      <c r="FP132">
        <v>0</v>
      </c>
      <c r="FQ132">
        <v>0</v>
      </c>
      <c r="FS132" t="s">
        <v>839</v>
      </c>
      <c r="FT132" t="s">
        <v>839</v>
      </c>
      <c r="FU132" t="s">
        <v>839</v>
      </c>
      <c r="FV132" t="s">
        <v>839</v>
      </c>
      <c r="FW132" t="s">
        <v>682</v>
      </c>
      <c r="FY132" t="s">
        <v>839</v>
      </c>
      <c r="FZ132" t="s">
        <v>839</v>
      </c>
      <c r="GA132" t="s">
        <v>839</v>
      </c>
      <c r="GB132" t="s">
        <v>842</v>
      </c>
      <c r="GC132" t="s">
        <v>842</v>
      </c>
      <c r="GD132" t="s">
        <v>839</v>
      </c>
      <c r="GE132" t="s">
        <v>881</v>
      </c>
      <c r="GG132" t="s">
        <v>668</v>
      </c>
      <c r="GI132" t="s">
        <v>849</v>
      </c>
      <c r="GJ132">
        <v>1</v>
      </c>
      <c r="GK132">
        <v>0</v>
      </c>
      <c r="GL132">
        <v>0</v>
      </c>
      <c r="GM132">
        <v>0</v>
      </c>
      <c r="GN132">
        <v>0</v>
      </c>
      <c r="GO132">
        <v>0</v>
      </c>
      <c r="GP132">
        <v>0</v>
      </c>
      <c r="GQ132">
        <v>0</v>
      </c>
      <c r="GR132">
        <v>0</v>
      </c>
      <c r="GS132">
        <v>0</v>
      </c>
      <c r="GT132">
        <v>0</v>
      </c>
      <c r="GU132">
        <v>0</v>
      </c>
      <c r="GV132">
        <v>0</v>
      </c>
      <c r="GW132">
        <v>0</v>
      </c>
      <c r="GX132">
        <v>0</v>
      </c>
      <c r="GY132">
        <v>0</v>
      </c>
      <c r="GZ132">
        <v>0</v>
      </c>
      <c r="HB132" t="s">
        <v>839</v>
      </c>
    </row>
    <row r="133" spans="1:210" x14ac:dyDescent="0.35">
      <c r="A133" t="s">
        <v>1695</v>
      </c>
      <c r="B133" s="151">
        <v>45201.669756944437</v>
      </c>
      <c r="C133" t="s">
        <v>1696</v>
      </c>
      <c r="D133" t="s">
        <v>1697</v>
      </c>
      <c r="E133" t="s">
        <v>875</v>
      </c>
      <c r="F133" t="s">
        <v>1698</v>
      </c>
      <c r="G133" t="s">
        <v>1698</v>
      </c>
      <c r="H133" t="s">
        <v>839</v>
      </c>
      <c r="I133" t="s">
        <v>838</v>
      </c>
      <c r="K133" t="s">
        <v>839</v>
      </c>
      <c r="L133" t="s">
        <v>887</v>
      </c>
      <c r="O133">
        <v>46</v>
      </c>
      <c r="P133">
        <v>49</v>
      </c>
      <c r="Q133">
        <v>95</v>
      </c>
      <c r="U133" t="s">
        <v>841</v>
      </c>
      <c r="W133" t="s">
        <v>841</v>
      </c>
      <c r="X133" t="s">
        <v>841</v>
      </c>
      <c r="Y133" t="s">
        <v>841</v>
      </c>
      <c r="Z133" t="s">
        <v>841</v>
      </c>
      <c r="AA133" t="s">
        <v>841</v>
      </c>
      <c r="AB133" t="s">
        <v>841</v>
      </c>
      <c r="AC133" t="s">
        <v>841</v>
      </c>
      <c r="AD133" t="s">
        <v>841</v>
      </c>
      <c r="AE133" t="s">
        <v>841</v>
      </c>
      <c r="AF133" t="s">
        <v>841</v>
      </c>
      <c r="AH133">
        <v>0</v>
      </c>
      <c r="AI133">
        <v>0</v>
      </c>
      <c r="AJ133">
        <v>1</v>
      </c>
      <c r="AK133">
        <v>0</v>
      </c>
      <c r="AL133">
        <v>1</v>
      </c>
      <c r="AM133">
        <v>1</v>
      </c>
      <c r="AN133">
        <v>1</v>
      </c>
      <c r="AO133">
        <v>1</v>
      </c>
      <c r="AP133">
        <v>1</v>
      </c>
      <c r="AQ133">
        <v>1</v>
      </c>
      <c r="AR133">
        <v>1</v>
      </c>
      <c r="AS133">
        <v>1</v>
      </c>
      <c r="AT133">
        <v>1</v>
      </c>
      <c r="AU133">
        <v>1</v>
      </c>
      <c r="AW133">
        <v>5</v>
      </c>
      <c r="AX133">
        <v>3</v>
      </c>
      <c r="AY133">
        <v>8</v>
      </c>
      <c r="BB133">
        <v>3</v>
      </c>
      <c r="BC133">
        <v>2</v>
      </c>
      <c r="BD133">
        <v>5</v>
      </c>
      <c r="BF133">
        <v>1</v>
      </c>
      <c r="BG133">
        <v>0</v>
      </c>
      <c r="BH133">
        <v>1</v>
      </c>
      <c r="BJ133">
        <v>4</v>
      </c>
      <c r="BK133">
        <v>2</v>
      </c>
      <c r="BL133">
        <v>6</v>
      </c>
      <c r="BP133">
        <v>5</v>
      </c>
      <c r="BQ133">
        <v>3</v>
      </c>
      <c r="BR133">
        <v>8</v>
      </c>
      <c r="BV133" t="s">
        <v>842</v>
      </c>
      <c r="BX133" t="s">
        <v>839</v>
      </c>
      <c r="BY133" t="s">
        <v>759</v>
      </c>
      <c r="BZ133" t="s">
        <v>839</v>
      </c>
      <c r="CA133" t="s">
        <v>839</v>
      </c>
      <c r="CC133" t="s">
        <v>839</v>
      </c>
      <c r="CD133" t="s">
        <v>855</v>
      </c>
      <c r="CG133">
        <v>6</v>
      </c>
      <c r="CH133">
        <v>3</v>
      </c>
      <c r="CI133">
        <v>3</v>
      </c>
      <c r="CJ133">
        <v>0</v>
      </c>
      <c r="CK133" t="s">
        <v>681</v>
      </c>
      <c r="CM133" t="s">
        <v>867</v>
      </c>
      <c r="CN133">
        <v>0</v>
      </c>
      <c r="CO133">
        <v>1</v>
      </c>
      <c r="CP133">
        <v>0</v>
      </c>
      <c r="CQ133">
        <v>0</v>
      </c>
      <c r="CR133">
        <v>0</v>
      </c>
      <c r="CS133">
        <v>0</v>
      </c>
      <c r="CU133" t="s">
        <v>987</v>
      </c>
      <c r="CV133">
        <v>1</v>
      </c>
      <c r="CW133">
        <v>0</v>
      </c>
      <c r="CX133">
        <v>1</v>
      </c>
      <c r="CY133">
        <v>0</v>
      </c>
      <c r="CZ133">
        <v>0</v>
      </c>
      <c r="DA133">
        <v>0</v>
      </c>
      <c r="DB133">
        <v>0</v>
      </c>
      <c r="DC133">
        <v>0</v>
      </c>
      <c r="DD133">
        <v>0</v>
      </c>
      <c r="DE133">
        <v>0</v>
      </c>
      <c r="DF133">
        <v>0</v>
      </c>
      <c r="DJ133">
        <v>6</v>
      </c>
      <c r="DK133">
        <v>5</v>
      </c>
      <c r="DL133">
        <v>11</v>
      </c>
      <c r="DN133">
        <v>400</v>
      </c>
      <c r="DP133">
        <v>700</v>
      </c>
      <c r="DQ133" t="s">
        <v>1699</v>
      </c>
      <c r="DR133">
        <v>0</v>
      </c>
      <c r="DS133">
        <v>1</v>
      </c>
      <c r="DT133">
        <v>0</v>
      </c>
      <c r="DU133">
        <v>0</v>
      </c>
      <c r="DV133">
        <v>1</v>
      </c>
      <c r="DW133">
        <v>0</v>
      </c>
      <c r="DX133">
        <v>0</v>
      </c>
      <c r="DY133">
        <v>0</v>
      </c>
      <c r="DZ133">
        <v>0</v>
      </c>
      <c r="EB133" t="s">
        <v>842</v>
      </c>
      <c r="EC133" t="s">
        <v>1243</v>
      </c>
      <c r="ED133" t="s">
        <v>900</v>
      </c>
      <c r="EI133">
        <v>500</v>
      </c>
      <c r="EM133" t="s">
        <v>841</v>
      </c>
      <c r="EO133">
        <v>500</v>
      </c>
      <c r="ES133" t="s">
        <v>841</v>
      </c>
      <c r="EZ133" t="s">
        <v>841</v>
      </c>
      <c r="FA133">
        <v>300</v>
      </c>
      <c r="FE133" t="s">
        <v>841</v>
      </c>
      <c r="FG133">
        <v>300</v>
      </c>
      <c r="FK133" t="s">
        <v>841</v>
      </c>
      <c r="FM133">
        <v>1180</v>
      </c>
      <c r="FO133">
        <v>1</v>
      </c>
      <c r="FP133">
        <v>2</v>
      </c>
      <c r="FQ133">
        <v>3</v>
      </c>
      <c r="FS133" t="s">
        <v>842</v>
      </c>
      <c r="FT133" t="s">
        <v>839</v>
      </c>
      <c r="FU133" t="s">
        <v>839</v>
      </c>
      <c r="FV133" t="s">
        <v>842</v>
      </c>
      <c r="FW133" t="s">
        <v>842</v>
      </c>
      <c r="FY133" t="s">
        <v>842</v>
      </c>
      <c r="FZ133" t="s">
        <v>842</v>
      </c>
      <c r="GA133" t="s">
        <v>842</v>
      </c>
      <c r="GB133" t="s">
        <v>842</v>
      </c>
      <c r="GC133" t="s">
        <v>842</v>
      </c>
      <c r="GD133" t="s">
        <v>842</v>
      </c>
      <c r="GG133" t="s">
        <v>668</v>
      </c>
      <c r="GI133" t="s">
        <v>1700</v>
      </c>
      <c r="GJ133">
        <v>0</v>
      </c>
      <c r="GK133">
        <v>1</v>
      </c>
      <c r="GL133">
        <v>0</v>
      </c>
      <c r="GM133">
        <v>1</v>
      </c>
      <c r="GN133">
        <v>1</v>
      </c>
      <c r="GO133">
        <v>1</v>
      </c>
      <c r="GP133">
        <v>1</v>
      </c>
      <c r="GQ133">
        <v>0</v>
      </c>
      <c r="GR133">
        <v>0</v>
      </c>
      <c r="GS133">
        <v>0</v>
      </c>
      <c r="GT133">
        <v>1</v>
      </c>
      <c r="GU133">
        <v>1</v>
      </c>
      <c r="GV133">
        <v>1</v>
      </c>
      <c r="GW133">
        <v>1</v>
      </c>
      <c r="GX133">
        <v>1</v>
      </c>
      <c r="GY133">
        <v>0</v>
      </c>
      <c r="GZ133">
        <v>0</v>
      </c>
      <c r="HB133" t="s">
        <v>839</v>
      </c>
    </row>
    <row r="134" spans="1:210" x14ac:dyDescent="0.35">
      <c r="A134" t="s">
        <v>1701</v>
      </c>
      <c r="B134" s="151">
        <v>45204.274224537039</v>
      </c>
      <c r="C134" t="s">
        <v>1702</v>
      </c>
      <c r="D134" t="s">
        <v>1703</v>
      </c>
      <c r="E134" t="s">
        <v>875</v>
      </c>
      <c r="F134" t="s">
        <v>1704</v>
      </c>
      <c r="G134" t="s">
        <v>1705</v>
      </c>
      <c r="H134" t="s">
        <v>837</v>
      </c>
      <c r="I134" t="s">
        <v>896</v>
      </c>
      <c r="K134" t="s">
        <v>839</v>
      </c>
      <c r="L134" t="s">
        <v>887</v>
      </c>
      <c r="O134">
        <v>130</v>
      </c>
      <c r="P134">
        <v>170</v>
      </c>
      <c r="Q134">
        <v>300</v>
      </c>
      <c r="S134" t="s">
        <v>841</v>
      </c>
      <c r="T134" t="s">
        <v>841</v>
      </c>
      <c r="U134" t="s">
        <v>841</v>
      </c>
      <c r="V134" t="s">
        <v>841</v>
      </c>
      <c r="W134" t="s">
        <v>841</v>
      </c>
      <c r="X134" t="s">
        <v>841</v>
      </c>
      <c r="Y134" t="s">
        <v>841</v>
      </c>
      <c r="Z134" t="s">
        <v>841</v>
      </c>
      <c r="AA134" t="s">
        <v>841</v>
      </c>
      <c r="AB134" t="s">
        <v>841</v>
      </c>
      <c r="AC134" t="s">
        <v>841</v>
      </c>
      <c r="AD134" t="s">
        <v>841</v>
      </c>
      <c r="AH134">
        <v>1</v>
      </c>
      <c r="AI134">
        <v>1</v>
      </c>
      <c r="AJ134">
        <v>1</v>
      </c>
      <c r="AK134">
        <v>1</v>
      </c>
      <c r="AL134">
        <v>2</v>
      </c>
      <c r="AM134">
        <v>1</v>
      </c>
      <c r="AN134">
        <v>1</v>
      </c>
      <c r="AO134">
        <v>1</v>
      </c>
      <c r="AP134">
        <v>1</v>
      </c>
      <c r="AQ134">
        <v>1</v>
      </c>
      <c r="AR134">
        <v>1</v>
      </c>
      <c r="AS134">
        <v>1</v>
      </c>
      <c r="AZ134" t="s">
        <v>841</v>
      </c>
      <c r="BJ134">
        <v>4</v>
      </c>
      <c r="BK134">
        <v>9</v>
      </c>
      <c r="BL134">
        <v>13</v>
      </c>
      <c r="BS134" t="s">
        <v>841</v>
      </c>
      <c r="BV134" t="s">
        <v>839</v>
      </c>
      <c r="BW134" t="s">
        <v>759</v>
      </c>
      <c r="BX134" t="s">
        <v>839</v>
      </c>
      <c r="BY134" t="s">
        <v>759</v>
      </c>
      <c r="BZ134" t="s">
        <v>839</v>
      </c>
      <c r="CA134" t="s">
        <v>839</v>
      </c>
      <c r="CC134" t="s">
        <v>839</v>
      </c>
      <c r="CD134" t="s">
        <v>626</v>
      </c>
      <c r="CG134">
        <v>3</v>
      </c>
      <c r="CH134">
        <v>1</v>
      </c>
      <c r="CI134">
        <v>2</v>
      </c>
      <c r="CJ134">
        <v>0</v>
      </c>
      <c r="CK134" t="s">
        <v>681</v>
      </c>
      <c r="CM134" t="s">
        <v>951</v>
      </c>
      <c r="CN134">
        <v>1</v>
      </c>
      <c r="CO134">
        <v>1</v>
      </c>
      <c r="CP134">
        <v>0</v>
      </c>
      <c r="CQ134">
        <v>0</v>
      </c>
      <c r="CR134">
        <v>0</v>
      </c>
      <c r="CS134">
        <v>0</v>
      </c>
      <c r="CU134" t="s">
        <v>1575</v>
      </c>
      <c r="CV134">
        <v>0</v>
      </c>
      <c r="CW134">
        <v>0</v>
      </c>
      <c r="CX134">
        <v>1</v>
      </c>
      <c r="CY134">
        <v>0</v>
      </c>
      <c r="CZ134">
        <v>0</v>
      </c>
      <c r="DA134">
        <v>0</v>
      </c>
      <c r="DB134">
        <v>0</v>
      </c>
      <c r="DC134">
        <v>0</v>
      </c>
      <c r="DD134">
        <v>1</v>
      </c>
      <c r="DE134">
        <v>1</v>
      </c>
      <c r="DF134">
        <v>0</v>
      </c>
      <c r="DJ134">
        <v>6</v>
      </c>
      <c r="DK134">
        <v>10</v>
      </c>
      <c r="DL134">
        <v>16</v>
      </c>
      <c r="DN134">
        <v>300</v>
      </c>
      <c r="DP134">
        <v>1000</v>
      </c>
      <c r="DQ134" t="s">
        <v>1048</v>
      </c>
      <c r="DR134">
        <v>1</v>
      </c>
      <c r="DS134">
        <v>0</v>
      </c>
      <c r="DT134">
        <v>1</v>
      </c>
      <c r="DU134">
        <v>0</v>
      </c>
      <c r="DV134">
        <v>1</v>
      </c>
      <c r="DW134">
        <v>1</v>
      </c>
      <c r="DX134">
        <v>0</v>
      </c>
      <c r="DY134">
        <v>0</v>
      </c>
      <c r="DZ134">
        <v>0</v>
      </c>
      <c r="EB134" t="s">
        <v>839</v>
      </c>
      <c r="EC134" t="s">
        <v>847</v>
      </c>
      <c r="ED134" t="s">
        <v>848</v>
      </c>
      <c r="EI134">
        <v>2</v>
      </c>
      <c r="EJ134" t="s">
        <v>841</v>
      </c>
      <c r="EO134">
        <v>2</v>
      </c>
      <c r="EP134" t="s">
        <v>841</v>
      </c>
      <c r="EZ134" t="s">
        <v>841</v>
      </c>
      <c r="FA134">
        <v>4.5</v>
      </c>
      <c r="FB134" t="s">
        <v>841</v>
      </c>
      <c r="FG134">
        <v>2</v>
      </c>
      <c r="FH134" t="s">
        <v>841</v>
      </c>
      <c r="FM134">
        <v>1200</v>
      </c>
      <c r="FO134">
        <v>10</v>
      </c>
      <c r="FP134">
        <v>15</v>
      </c>
      <c r="FQ134">
        <v>25</v>
      </c>
      <c r="FS134" t="s">
        <v>842</v>
      </c>
      <c r="FT134" t="s">
        <v>842</v>
      </c>
      <c r="FU134" t="s">
        <v>839</v>
      </c>
      <c r="FV134" t="s">
        <v>839</v>
      </c>
      <c r="FW134" t="s">
        <v>839</v>
      </c>
      <c r="FX134" t="s">
        <v>880</v>
      </c>
      <c r="FY134" t="s">
        <v>839</v>
      </c>
      <c r="FZ134" t="s">
        <v>839</v>
      </c>
      <c r="GA134" t="s">
        <v>839</v>
      </c>
      <c r="GB134" t="s">
        <v>839</v>
      </c>
      <c r="GC134" t="s">
        <v>842</v>
      </c>
      <c r="GD134" t="s">
        <v>842</v>
      </c>
      <c r="GG134" t="s">
        <v>842</v>
      </c>
      <c r="GI134" t="s">
        <v>849</v>
      </c>
      <c r="GJ134">
        <v>1</v>
      </c>
      <c r="GK134">
        <v>0</v>
      </c>
      <c r="GL134">
        <v>0</v>
      </c>
      <c r="GM134">
        <v>0</v>
      </c>
      <c r="GN134">
        <v>0</v>
      </c>
      <c r="GO134">
        <v>0</v>
      </c>
      <c r="GP134">
        <v>0</v>
      </c>
      <c r="GQ134">
        <v>0</v>
      </c>
      <c r="GR134">
        <v>0</v>
      </c>
      <c r="GS134">
        <v>0</v>
      </c>
      <c r="GT134">
        <v>0</v>
      </c>
      <c r="GU134">
        <v>0</v>
      </c>
      <c r="GV134">
        <v>0</v>
      </c>
      <c r="GW134">
        <v>0</v>
      </c>
      <c r="GX134">
        <v>0</v>
      </c>
      <c r="GY134">
        <v>0</v>
      </c>
      <c r="GZ134">
        <v>0</v>
      </c>
      <c r="HB134" t="s">
        <v>839</v>
      </c>
    </row>
    <row r="135" spans="1:210" x14ac:dyDescent="0.35">
      <c r="A135" t="s">
        <v>1706</v>
      </c>
      <c r="B135" s="151">
        <v>45204.513252314813</v>
      </c>
      <c r="C135" t="s">
        <v>1707</v>
      </c>
      <c r="D135" t="s">
        <v>1708</v>
      </c>
      <c r="E135" t="s">
        <v>875</v>
      </c>
      <c r="F135" t="s">
        <v>1709</v>
      </c>
      <c r="G135" t="s">
        <v>1709</v>
      </c>
      <c r="H135" t="s">
        <v>839</v>
      </c>
      <c r="I135" t="s">
        <v>896</v>
      </c>
      <c r="K135" t="s">
        <v>842</v>
      </c>
      <c r="O135">
        <v>26</v>
      </c>
      <c r="P135">
        <v>34</v>
      </c>
      <c r="Q135">
        <v>60</v>
      </c>
      <c r="S135" t="s">
        <v>841</v>
      </c>
      <c r="T135" t="s">
        <v>841</v>
      </c>
      <c r="U135" t="s">
        <v>841</v>
      </c>
      <c r="V135" t="s">
        <v>841</v>
      </c>
      <c r="W135" t="s">
        <v>841</v>
      </c>
      <c r="X135" t="s">
        <v>841</v>
      </c>
      <c r="Y135" t="s">
        <v>841</v>
      </c>
      <c r="AH135">
        <v>1</v>
      </c>
      <c r="AI135">
        <v>1</v>
      </c>
      <c r="AJ135">
        <v>1</v>
      </c>
      <c r="AK135">
        <v>1</v>
      </c>
      <c r="AL135">
        <v>1</v>
      </c>
      <c r="AM135">
        <v>1</v>
      </c>
      <c r="AN135">
        <v>1</v>
      </c>
      <c r="AO135">
        <v>0</v>
      </c>
      <c r="AP135">
        <v>0</v>
      </c>
      <c r="AZ135" t="s">
        <v>841</v>
      </c>
      <c r="BM135" t="s">
        <v>841</v>
      </c>
      <c r="BS135" t="s">
        <v>841</v>
      </c>
      <c r="BV135" t="s">
        <v>842</v>
      </c>
      <c r="BX135" t="s">
        <v>839</v>
      </c>
      <c r="BY135" t="s">
        <v>950</v>
      </c>
      <c r="BZ135" t="s">
        <v>839</v>
      </c>
      <c r="CA135" t="s">
        <v>839</v>
      </c>
      <c r="CC135" t="s">
        <v>839</v>
      </c>
      <c r="CD135" t="s">
        <v>855</v>
      </c>
      <c r="CG135">
        <v>4</v>
      </c>
      <c r="CH135">
        <v>2</v>
      </c>
      <c r="CI135">
        <v>2</v>
      </c>
      <c r="CJ135">
        <v>0</v>
      </c>
      <c r="CK135" t="s">
        <v>877</v>
      </c>
      <c r="CM135" t="s">
        <v>844</v>
      </c>
      <c r="CN135">
        <v>1</v>
      </c>
      <c r="CO135">
        <v>0</v>
      </c>
      <c r="CP135">
        <v>0</v>
      </c>
      <c r="CQ135">
        <v>0</v>
      </c>
      <c r="CR135">
        <v>0</v>
      </c>
      <c r="CS135">
        <v>0</v>
      </c>
      <c r="CU135" t="s">
        <v>1301</v>
      </c>
      <c r="CV135">
        <v>1</v>
      </c>
      <c r="CW135">
        <v>0</v>
      </c>
      <c r="CX135">
        <v>1</v>
      </c>
      <c r="CY135">
        <v>0</v>
      </c>
      <c r="CZ135">
        <v>0</v>
      </c>
      <c r="DA135">
        <v>1</v>
      </c>
      <c r="DB135">
        <v>0</v>
      </c>
      <c r="DC135">
        <v>0</v>
      </c>
      <c r="DD135">
        <v>1</v>
      </c>
      <c r="DE135">
        <v>1</v>
      </c>
      <c r="DF135">
        <v>0</v>
      </c>
      <c r="DJ135">
        <v>2</v>
      </c>
      <c r="DK135">
        <v>5</v>
      </c>
      <c r="DL135">
        <v>7</v>
      </c>
      <c r="DN135">
        <v>300</v>
      </c>
      <c r="DP135">
        <v>800</v>
      </c>
      <c r="DQ135" t="s">
        <v>1048</v>
      </c>
      <c r="DR135">
        <v>1</v>
      </c>
      <c r="DS135">
        <v>0</v>
      </c>
      <c r="DT135">
        <v>1</v>
      </c>
      <c r="DU135">
        <v>0</v>
      </c>
      <c r="DV135">
        <v>1</v>
      </c>
      <c r="DW135">
        <v>1</v>
      </c>
      <c r="DX135">
        <v>0</v>
      </c>
      <c r="DY135">
        <v>0</v>
      </c>
      <c r="DZ135">
        <v>0</v>
      </c>
      <c r="EB135" t="s">
        <v>839</v>
      </c>
      <c r="EC135" t="s">
        <v>957</v>
      </c>
      <c r="ED135" t="s">
        <v>848</v>
      </c>
      <c r="EI135">
        <v>280</v>
      </c>
      <c r="EM135" t="s">
        <v>841</v>
      </c>
      <c r="EO135">
        <v>300</v>
      </c>
      <c r="ES135" t="s">
        <v>841</v>
      </c>
      <c r="EZ135" t="s">
        <v>841</v>
      </c>
      <c r="FA135">
        <v>10</v>
      </c>
      <c r="FB135" t="s">
        <v>841</v>
      </c>
      <c r="FG135">
        <v>6</v>
      </c>
      <c r="FH135" t="s">
        <v>841</v>
      </c>
      <c r="FM135">
        <v>625</v>
      </c>
      <c r="FO135">
        <v>4</v>
      </c>
      <c r="FP135">
        <v>2</v>
      </c>
      <c r="FQ135">
        <v>6</v>
      </c>
      <c r="FS135" t="s">
        <v>839</v>
      </c>
      <c r="FT135" t="s">
        <v>839</v>
      </c>
      <c r="FU135" t="s">
        <v>839</v>
      </c>
      <c r="FV135" t="s">
        <v>839</v>
      </c>
      <c r="FW135" t="s">
        <v>839</v>
      </c>
      <c r="FX135" t="s">
        <v>890</v>
      </c>
      <c r="FY135" t="s">
        <v>839</v>
      </c>
      <c r="FZ135" t="s">
        <v>839</v>
      </c>
      <c r="GA135" t="s">
        <v>839</v>
      </c>
      <c r="GB135" t="s">
        <v>842</v>
      </c>
      <c r="GC135" t="s">
        <v>842</v>
      </c>
      <c r="GD135" t="s">
        <v>842</v>
      </c>
      <c r="GG135" t="s">
        <v>668</v>
      </c>
      <c r="GI135" t="s">
        <v>1710</v>
      </c>
      <c r="GJ135">
        <v>1</v>
      </c>
      <c r="GK135">
        <v>0</v>
      </c>
      <c r="GL135">
        <v>0</v>
      </c>
      <c r="GM135">
        <v>0</v>
      </c>
      <c r="GN135">
        <v>0</v>
      </c>
      <c r="GO135">
        <v>0</v>
      </c>
      <c r="GP135">
        <v>1</v>
      </c>
      <c r="GQ135">
        <v>0</v>
      </c>
      <c r="GR135">
        <v>0</v>
      </c>
      <c r="GS135">
        <v>0</v>
      </c>
      <c r="GT135">
        <v>0</v>
      </c>
      <c r="GU135">
        <v>1</v>
      </c>
      <c r="GV135">
        <v>1</v>
      </c>
      <c r="GW135">
        <v>1</v>
      </c>
      <c r="GX135">
        <v>0</v>
      </c>
      <c r="GY135">
        <v>0</v>
      </c>
      <c r="GZ135">
        <v>0</v>
      </c>
      <c r="HB135" t="s">
        <v>839</v>
      </c>
    </row>
    <row r="136" spans="1:210" x14ac:dyDescent="0.35">
      <c r="A136" t="s">
        <v>1711</v>
      </c>
      <c r="B136" s="151">
        <v>45204.573263888888</v>
      </c>
      <c r="C136" t="s">
        <v>1712</v>
      </c>
      <c r="D136" t="s">
        <v>1713</v>
      </c>
      <c r="E136" t="s">
        <v>835</v>
      </c>
      <c r="F136" t="s">
        <v>1714</v>
      </c>
      <c r="G136" t="s">
        <v>1714</v>
      </c>
      <c r="H136" t="s">
        <v>839</v>
      </c>
      <c r="I136" t="s">
        <v>838</v>
      </c>
      <c r="K136" t="s">
        <v>839</v>
      </c>
      <c r="L136" t="s">
        <v>887</v>
      </c>
      <c r="O136">
        <v>88</v>
      </c>
      <c r="P136">
        <v>95</v>
      </c>
      <c r="Q136">
        <v>183</v>
      </c>
      <c r="T136" t="s">
        <v>841</v>
      </c>
      <c r="U136" t="s">
        <v>841</v>
      </c>
      <c r="V136" t="s">
        <v>841</v>
      </c>
      <c r="W136" t="s">
        <v>841</v>
      </c>
      <c r="X136" t="s">
        <v>841</v>
      </c>
      <c r="Y136" t="s">
        <v>841</v>
      </c>
      <c r="Z136" t="s">
        <v>841</v>
      </c>
      <c r="AA136" t="s">
        <v>841</v>
      </c>
      <c r="AB136" t="s">
        <v>841</v>
      </c>
      <c r="AC136" t="s">
        <v>841</v>
      </c>
      <c r="AD136" t="s">
        <v>841</v>
      </c>
      <c r="AE136" t="s">
        <v>841</v>
      </c>
      <c r="AF136" t="s">
        <v>841</v>
      </c>
      <c r="AH136">
        <v>0</v>
      </c>
      <c r="AI136">
        <v>1</v>
      </c>
      <c r="AJ136">
        <v>1</v>
      </c>
      <c r="AK136">
        <v>1</v>
      </c>
      <c r="AL136">
        <v>1</v>
      </c>
      <c r="AM136">
        <v>1</v>
      </c>
      <c r="AN136">
        <v>1</v>
      </c>
      <c r="AO136">
        <v>1</v>
      </c>
      <c r="AP136">
        <v>1</v>
      </c>
      <c r="AQ136">
        <v>1</v>
      </c>
      <c r="AR136">
        <v>1</v>
      </c>
      <c r="AS136">
        <v>1</v>
      </c>
      <c r="AT136">
        <v>1</v>
      </c>
      <c r="AU136">
        <v>1</v>
      </c>
      <c r="AW136">
        <v>7</v>
      </c>
      <c r="AX136">
        <v>2</v>
      </c>
      <c r="AY136">
        <v>9</v>
      </c>
      <c r="BB136">
        <v>0</v>
      </c>
      <c r="BC136">
        <v>0</v>
      </c>
      <c r="BD136">
        <v>0</v>
      </c>
      <c r="BF136">
        <v>0</v>
      </c>
      <c r="BG136">
        <v>0</v>
      </c>
      <c r="BH136">
        <v>0</v>
      </c>
      <c r="BJ136">
        <v>3</v>
      </c>
      <c r="BK136">
        <v>8</v>
      </c>
      <c r="BL136">
        <v>11</v>
      </c>
      <c r="BP136">
        <v>7</v>
      </c>
      <c r="BQ136">
        <v>2</v>
      </c>
      <c r="BR136">
        <v>9</v>
      </c>
      <c r="BV136" t="s">
        <v>842</v>
      </c>
      <c r="BX136" t="s">
        <v>839</v>
      </c>
      <c r="BY136" t="s">
        <v>759</v>
      </c>
      <c r="BZ136" t="s">
        <v>839</v>
      </c>
      <c r="CA136" t="s">
        <v>839</v>
      </c>
      <c r="CC136" t="s">
        <v>839</v>
      </c>
      <c r="CD136" t="s">
        <v>855</v>
      </c>
      <c r="CG136">
        <v>2</v>
      </c>
      <c r="CH136">
        <v>1</v>
      </c>
      <c r="CI136">
        <v>1</v>
      </c>
      <c r="CJ136">
        <v>0</v>
      </c>
      <c r="CK136" t="s">
        <v>993</v>
      </c>
      <c r="CM136" t="s">
        <v>844</v>
      </c>
      <c r="CN136">
        <v>1</v>
      </c>
      <c r="CO136">
        <v>0</v>
      </c>
      <c r="CP136">
        <v>0</v>
      </c>
      <c r="CQ136">
        <v>0</v>
      </c>
      <c r="CR136">
        <v>0</v>
      </c>
      <c r="CS136">
        <v>0</v>
      </c>
      <c r="CU136" t="s">
        <v>868</v>
      </c>
      <c r="CV136">
        <v>1</v>
      </c>
      <c r="CW136">
        <v>0</v>
      </c>
      <c r="CX136">
        <v>1</v>
      </c>
      <c r="CY136">
        <v>0</v>
      </c>
      <c r="CZ136">
        <v>0</v>
      </c>
      <c r="DA136">
        <v>0</v>
      </c>
      <c r="DB136">
        <v>0</v>
      </c>
      <c r="DC136">
        <v>0</v>
      </c>
      <c r="DD136">
        <v>1</v>
      </c>
      <c r="DE136">
        <v>1</v>
      </c>
      <c r="DF136">
        <v>0</v>
      </c>
      <c r="DJ136">
        <v>7</v>
      </c>
      <c r="DK136">
        <v>15</v>
      </c>
      <c r="DL136">
        <v>22</v>
      </c>
      <c r="DN136">
        <v>300</v>
      </c>
      <c r="DP136">
        <v>2000</v>
      </c>
      <c r="DQ136" t="s">
        <v>995</v>
      </c>
      <c r="DR136">
        <v>1</v>
      </c>
      <c r="DS136">
        <v>1</v>
      </c>
      <c r="DT136">
        <v>1</v>
      </c>
      <c r="DU136">
        <v>0</v>
      </c>
      <c r="DV136">
        <v>0</v>
      </c>
      <c r="DW136">
        <v>0</v>
      </c>
      <c r="DX136">
        <v>0</v>
      </c>
      <c r="DY136">
        <v>0</v>
      </c>
      <c r="DZ136">
        <v>0</v>
      </c>
      <c r="EB136" t="s">
        <v>842</v>
      </c>
      <c r="EC136" t="s">
        <v>957</v>
      </c>
      <c r="ED136" t="s">
        <v>900</v>
      </c>
      <c r="EI136" s="157">
        <v>200</v>
      </c>
      <c r="EJ136" s="157"/>
      <c r="EK136" s="157"/>
      <c r="EL136" s="157"/>
      <c r="EM136" s="157" t="s">
        <v>841</v>
      </c>
      <c r="EN136" s="157"/>
      <c r="EO136" s="157">
        <v>210</v>
      </c>
      <c r="EP136" s="157"/>
      <c r="EQ136" s="157"/>
      <c r="ER136" s="157"/>
      <c r="ES136" s="157" t="s">
        <v>841</v>
      </c>
      <c r="ET136" s="157"/>
      <c r="EU136" s="157">
        <v>400</v>
      </c>
      <c r="EV136" s="157"/>
      <c r="EW136" s="157"/>
      <c r="EX136" s="157"/>
      <c r="EY136" s="157" t="s">
        <v>841</v>
      </c>
      <c r="EZ136" s="157"/>
      <c r="FA136" s="157">
        <v>4.5</v>
      </c>
      <c r="FB136" s="157" t="s">
        <v>841</v>
      </c>
      <c r="FC136" s="157"/>
      <c r="FD136" s="157"/>
      <c r="FE136" s="157"/>
      <c r="FF136" s="157"/>
      <c r="FG136" s="157">
        <v>2</v>
      </c>
      <c r="FH136" s="157" t="s">
        <v>841</v>
      </c>
      <c r="FI136" s="157"/>
      <c r="FJ136" s="157"/>
      <c r="FK136" s="157"/>
      <c r="FL136" s="157"/>
      <c r="FM136">
        <v>1310</v>
      </c>
      <c r="FO136">
        <v>10</v>
      </c>
      <c r="FP136">
        <v>15</v>
      </c>
      <c r="FQ136">
        <v>25</v>
      </c>
      <c r="FS136" t="s">
        <v>839</v>
      </c>
      <c r="FT136" t="s">
        <v>839</v>
      </c>
      <c r="FU136" t="s">
        <v>839</v>
      </c>
      <c r="FV136" t="s">
        <v>839</v>
      </c>
      <c r="FW136" t="s">
        <v>842</v>
      </c>
      <c r="FY136" t="s">
        <v>842</v>
      </c>
      <c r="FZ136" t="s">
        <v>839</v>
      </c>
      <c r="GA136" t="s">
        <v>839</v>
      </c>
      <c r="GB136" t="s">
        <v>842</v>
      </c>
      <c r="GC136" t="s">
        <v>842</v>
      </c>
      <c r="GD136" t="s">
        <v>839</v>
      </c>
      <c r="GE136" t="s">
        <v>929</v>
      </c>
      <c r="GG136" t="s">
        <v>842</v>
      </c>
      <c r="GI136" t="s">
        <v>1715</v>
      </c>
      <c r="GJ136">
        <v>1</v>
      </c>
      <c r="GK136">
        <v>1</v>
      </c>
      <c r="GL136">
        <v>1</v>
      </c>
      <c r="GM136">
        <v>0</v>
      </c>
      <c r="GN136">
        <v>1</v>
      </c>
      <c r="GO136">
        <v>0</v>
      </c>
      <c r="GP136">
        <v>0</v>
      </c>
      <c r="GQ136">
        <v>0</v>
      </c>
      <c r="GR136">
        <v>1</v>
      </c>
      <c r="GS136">
        <v>1</v>
      </c>
      <c r="GT136">
        <v>0</v>
      </c>
      <c r="GU136">
        <v>0</v>
      </c>
      <c r="GV136">
        <v>1</v>
      </c>
      <c r="GW136">
        <v>1</v>
      </c>
      <c r="GX136">
        <v>0</v>
      </c>
      <c r="GY136">
        <v>0</v>
      </c>
      <c r="GZ136">
        <v>0</v>
      </c>
      <c r="HB136" t="s">
        <v>839</v>
      </c>
    </row>
    <row r="137" spans="1:210" x14ac:dyDescent="0.35">
      <c r="A137" t="s">
        <v>1716</v>
      </c>
      <c r="B137" s="151">
        <v>45209.377500000002</v>
      </c>
      <c r="C137" t="s">
        <v>1717</v>
      </c>
      <c r="D137" t="s">
        <v>1718</v>
      </c>
      <c r="E137" t="s">
        <v>875</v>
      </c>
      <c r="F137" t="s">
        <v>1719</v>
      </c>
      <c r="G137" t="s">
        <v>1719</v>
      </c>
      <c r="H137" t="s">
        <v>839</v>
      </c>
      <c r="I137" t="s">
        <v>838</v>
      </c>
      <c r="K137" t="s">
        <v>839</v>
      </c>
      <c r="L137" t="s">
        <v>887</v>
      </c>
      <c r="O137">
        <v>43</v>
      </c>
      <c r="P137">
        <v>67</v>
      </c>
      <c r="Q137">
        <v>100</v>
      </c>
      <c r="S137" t="s">
        <v>841</v>
      </c>
      <c r="T137" t="s">
        <v>841</v>
      </c>
      <c r="U137" t="s">
        <v>841</v>
      </c>
      <c r="V137" t="s">
        <v>841</v>
      </c>
      <c r="W137" t="s">
        <v>841</v>
      </c>
      <c r="X137" t="s">
        <v>841</v>
      </c>
      <c r="Y137" t="s">
        <v>841</v>
      </c>
      <c r="Z137" t="s">
        <v>841</v>
      </c>
      <c r="AA137" t="s">
        <v>841</v>
      </c>
      <c r="AB137" t="s">
        <v>841</v>
      </c>
      <c r="AC137" t="s">
        <v>841</v>
      </c>
      <c r="AD137" t="s">
        <v>841</v>
      </c>
      <c r="AH137">
        <v>1</v>
      </c>
      <c r="AI137">
        <v>1</v>
      </c>
      <c r="AJ137">
        <v>1</v>
      </c>
      <c r="AK137">
        <v>1</v>
      </c>
      <c r="AL137">
        <v>1</v>
      </c>
      <c r="AM137">
        <v>1</v>
      </c>
      <c r="AN137">
        <v>1</v>
      </c>
      <c r="AO137">
        <v>1</v>
      </c>
      <c r="AP137">
        <v>1</v>
      </c>
      <c r="AQ137">
        <v>1</v>
      </c>
      <c r="AR137">
        <v>1</v>
      </c>
      <c r="AS137">
        <v>1</v>
      </c>
      <c r="AT137">
        <v>0</v>
      </c>
      <c r="AU137">
        <v>0</v>
      </c>
      <c r="AZ137" t="s">
        <v>841</v>
      </c>
      <c r="BJ137">
        <v>2</v>
      </c>
      <c r="BK137">
        <v>4</v>
      </c>
      <c r="BL137">
        <v>6</v>
      </c>
      <c r="BP137">
        <v>0</v>
      </c>
      <c r="BQ137">
        <v>0</v>
      </c>
      <c r="BR137">
        <v>0</v>
      </c>
      <c r="BS137" t="s">
        <v>841</v>
      </c>
      <c r="BV137" t="s">
        <v>842</v>
      </c>
      <c r="BX137" t="s">
        <v>839</v>
      </c>
      <c r="BY137" t="s">
        <v>759</v>
      </c>
      <c r="BZ137" t="s">
        <v>839</v>
      </c>
      <c r="CA137" t="s">
        <v>839</v>
      </c>
      <c r="CC137" t="s">
        <v>842</v>
      </c>
      <c r="CD137" t="s">
        <v>626</v>
      </c>
      <c r="CE137" t="s">
        <v>1720</v>
      </c>
      <c r="CG137">
        <v>6</v>
      </c>
      <c r="CH137">
        <v>3</v>
      </c>
      <c r="CI137">
        <v>3</v>
      </c>
      <c r="CJ137">
        <v>0</v>
      </c>
      <c r="CK137" t="s">
        <v>877</v>
      </c>
      <c r="CM137" t="s">
        <v>844</v>
      </c>
      <c r="CN137">
        <v>1</v>
      </c>
      <c r="CO137">
        <v>0</v>
      </c>
      <c r="CP137">
        <v>0</v>
      </c>
      <c r="CQ137">
        <v>0</v>
      </c>
      <c r="CR137">
        <v>0</v>
      </c>
      <c r="CS137">
        <v>0</v>
      </c>
      <c r="CU137" t="s">
        <v>868</v>
      </c>
      <c r="CV137">
        <v>1</v>
      </c>
      <c r="CW137">
        <v>0</v>
      </c>
      <c r="CX137">
        <v>1</v>
      </c>
      <c r="CY137">
        <v>0</v>
      </c>
      <c r="CZ137">
        <v>0</v>
      </c>
      <c r="DA137">
        <v>0</v>
      </c>
      <c r="DB137">
        <v>0</v>
      </c>
      <c r="DC137">
        <v>0</v>
      </c>
      <c r="DD137">
        <v>1</v>
      </c>
      <c r="DE137">
        <v>1</v>
      </c>
      <c r="DF137">
        <v>0</v>
      </c>
      <c r="DJ137">
        <v>11</v>
      </c>
      <c r="DK137">
        <v>3</v>
      </c>
      <c r="DL137">
        <v>14</v>
      </c>
      <c r="DN137">
        <v>300</v>
      </c>
      <c r="DP137">
        <v>800</v>
      </c>
      <c r="DQ137" t="s">
        <v>1007</v>
      </c>
      <c r="DR137">
        <v>1</v>
      </c>
      <c r="DS137">
        <v>0</v>
      </c>
      <c r="DT137">
        <v>0</v>
      </c>
      <c r="DU137">
        <v>0</v>
      </c>
      <c r="DV137">
        <v>0</v>
      </c>
      <c r="DW137">
        <v>1</v>
      </c>
      <c r="DX137">
        <v>0</v>
      </c>
      <c r="DY137">
        <v>0</v>
      </c>
      <c r="DZ137">
        <v>0</v>
      </c>
      <c r="EB137" t="s">
        <v>839</v>
      </c>
      <c r="EC137" t="s">
        <v>869</v>
      </c>
      <c r="ED137" t="s">
        <v>848</v>
      </c>
      <c r="EI137">
        <v>400</v>
      </c>
      <c r="EM137" t="s">
        <v>841</v>
      </c>
      <c r="EO137">
        <v>450</v>
      </c>
      <c r="ES137" t="s">
        <v>841</v>
      </c>
      <c r="EZ137" t="s">
        <v>841</v>
      </c>
      <c r="FC137" t="s">
        <v>841</v>
      </c>
      <c r="FG137">
        <v>25</v>
      </c>
      <c r="FI137" t="s">
        <v>841</v>
      </c>
      <c r="FM137">
        <v>0</v>
      </c>
      <c r="FO137">
        <v>0</v>
      </c>
      <c r="FP137">
        <v>0</v>
      </c>
      <c r="FQ137">
        <v>0</v>
      </c>
      <c r="FS137" t="s">
        <v>842</v>
      </c>
      <c r="FT137" t="s">
        <v>842</v>
      </c>
      <c r="FU137" t="s">
        <v>839</v>
      </c>
      <c r="FV137" t="s">
        <v>839</v>
      </c>
      <c r="FW137" t="s">
        <v>839</v>
      </c>
      <c r="FX137" t="s">
        <v>880</v>
      </c>
      <c r="FY137" t="s">
        <v>842</v>
      </c>
      <c r="FZ137" t="s">
        <v>839</v>
      </c>
      <c r="GA137" t="s">
        <v>842</v>
      </c>
      <c r="GB137" t="s">
        <v>842</v>
      </c>
      <c r="GC137" t="s">
        <v>842</v>
      </c>
      <c r="GD137" t="s">
        <v>842</v>
      </c>
      <c r="GG137" t="s">
        <v>668</v>
      </c>
      <c r="GI137" t="s">
        <v>1721</v>
      </c>
      <c r="GJ137">
        <v>1</v>
      </c>
      <c r="GK137">
        <v>1</v>
      </c>
      <c r="GL137">
        <v>0</v>
      </c>
      <c r="GM137">
        <v>0</v>
      </c>
      <c r="GN137">
        <v>0</v>
      </c>
      <c r="GO137">
        <v>0</v>
      </c>
      <c r="GP137">
        <v>0</v>
      </c>
      <c r="GQ137">
        <v>0</v>
      </c>
      <c r="GR137">
        <v>0</v>
      </c>
      <c r="GS137">
        <v>0</v>
      </c>
      <c r="GT137">
        <v>0</v>
      </c>
      <c r="GU137">
        <v>0</v>
      </c>
      <c r="GV137">
        <v>0</v>
      </c>
      <c r="GW137">
        <v>0</v>
      </c>
      <c r="GX137">
        <v>1</v>
      </c>
      <c r="GY137">
        <v>0</v>
      </c>
      <c r="GZ137">
        <v>0</v>
      </c>
      <c r="HB137" t="s">
        <v>839</v>
      </c>
    </row>
    <row r="138" spans="1:210" x14ac:dyDescent="0.35">
      <c r="A138" t="s">
        <v>1722</v>
      </c>
      <c r="B138" s="151">
        <v>45209.480104166672</v>
      </c>
      <c r="C138" t="s">
        <v>1723</v>
      </c>
      <c r="D138" t="s">
        <v>1724</v>
      </c>
      <c r="E138" t="s">
        <v>875</v>
      </c>
      <c r="F138" t="s">
        <v>1725</v>
      </c>
      <c r="G138" t="s">
        <v>1725</v>
      </c>
      <c r="H138" t="s">
        <v>839</v>
      </c>
      <c r="I138" t="s">
        <v>896</v>
      </c>
      <c r="K138" t="s">
        <v>839</v>
      </c>
      <c r="L138" t="s">
        <v>887</v>
      </c>
      <c r="O138">
        <v>249</v>
      </c>
      <c r="P138">
        <v>201</v>
      </c>
      <c r="Q138">
        <v>450</v>
      </c>
      <c r="T138" t="s">
        <v>841</v>
      </c>
      <c r="U138" t="s">
        <v>841</v>
      </c>
      <c r="V138" t="s">
        <v>841</v>
      </c>
      <c r="W138" t="s">
        <v>841</v>
      </c>
      <c r="X138" t="s">
        <v>841</v>
      </c>
      <c r="Y138" t="s">
        <v>841</v>
      </c>
      <c r="Z138" t="s">
        <v>841</v>
      </c>
      <c r="AA138" t="s">
        <v>841</v>
      </c>
      <c r="AB138" t="s">
        <v>841</v>
      </c>
      <c r="AC138" t="s">
        <v>841</v>
      </c>
      <c r="AD138" t="s">
        <v>841</v>
      </c>
      <c r="AE138" t="s">
        <v>841</v>
      </c>
      <c r="AF138" t="s">
        <v>841</v>
      </c>
      <c r="AI138">
        <v>1</v>
      </c>
      <c r="AJ138">
        <v>1</v>
      </c>
      <c r="AK138">
        <v>1</v>
      </c>
      <c r="AL138">
        <v>1</v>
      </c>
      <c r="AM138">
        <v>1</v>
      </c>
      <c r="AN138">
        <v>1</v>
      </c>
      <c r="AO138">
        <v>1</v>
      </c>
      <c r="AP138">
        <v>1</v>
      </c>
      <c r="AQ138">
        <v>1</v>
      </c>
      <c r="AR138">
        <v>1</v>
      </c>
      <c r="AS138">
        <v>1</v>
      </c>
      <c r="AT138">
        <v>1</v>
      </c>
      <c r="AU138">
        <v>1</v>
      </c>
      <c r="AW138">
        <v>14</v>
      </c>
      <c r="AX138">
        <v>11</v>
      </c>
      <c r="AY138">
        <v>25</v>
      </c>
      <c r="BJ138">
        <v>9</v>
      </c>
      <c r="BK138">
        <v>15</v>
      </c>
      <c r="BL138">
        <v>24</v>
      </c>
      <c r="BP138">
        <v>14</v>
      </c>
      <c r="BQ138">
        <v>11</v>
      </c>
      <c r="BR138">
        <v>25</v>
      </c>
      <c r="BV138" t="s">
        <v>839</v>
      </c>
      <c r="BW138" t="s">
        <v>759</v>
      </c>
      <c r="BX138" t="s">
        <v>839</v>
      </c>
      <c r="BY138" t="s">
        <v>950</v>
      </c>
      <c r="BZ138" t="s">
        <v>839</v>
      </c>
      <c r="CA138" t="s">
        <v>839</v>
      </c>
      <c r="CC138" t="s">
        <v>839</v>
      </c>
      <c r="CD138" t="s">
        <v>855</v>
      </c>
      <c r="CG138">
        <v>4</v>
      </c>
      <c r="CH138">
        <v>2</v>
      </c>
      <c r="CI138">
        <v>2</v>
      </c>
      <c r="CJ138">
        <v>0</v>
      </c>
      <c r="CK138" t="s">
        <v>856</v>
      </c>
      <c r="CM138" t="s">
        <v>867</v>
      </c>
      <c r="CN138">
        <v>0</v>
      </c>
      <c r="CO138">
        <v>1</v>
      </c>
      <c r="CP138">
        <v>0</v>
      </c>
      <c r="CQ138">
        <v>0</v>
      </c>
      <c r="CR138">
        <v>0</v>
      </c>
      <c r="CS138">
        <v>0</v>
      </c>
      <c r="CU138" t="s">
        <v>926</v>
      </c>
      <c r="CV138">
        <v>1</v>
      </c>
      <c r="CW138">
        <v>0</v>
      </c>
      <c r="CX138">
        <v>1</v>
      </c>
      <c r="CY138">
        <v>1</v>
      </c>
      <c r="CZ138">
        <v>0</v>
      </c>
      <c r="DA138">
        <v>0</v>
      </c>
      <c r="DB138">
        <v>0</v>
      </c>
      <c r="DC138">
        <v>0</v>
      </c>
      <c r="DD138">
        <v>1</v>
      </c>
      <c r="DE138">
        <v>1</v>
      </c>
      <c r="DF138">
        <v>0</v>
      </c>
      <c r="DJ138">
        <v>12</v>
      </c>
      <c r="DK138">
        <v>10</v>
      </c>
      <c r="DL138">
        <v>22</v>
      </c>
      <c r="DN138">
        <v>204</v>
      </c>
      <c r="DP138">
        <v>1542</v>
      </c>
      <c r="DQ138" t="s">
        <v>1070</v>
      </c>
      <c r="DR138">
        <v>1</v>
      </c>
      <c r="DS138">
        <v>1</v>
      </c>
      <c r="DT138">
        <v>0</v>
      </c>
      <c r="DU138">
        <v>0</v>
      </c>
      <c r="DV138">
        <v>0</v>
      </c>
      <c r="DW138">
        <v>0</v>
      </c>
      <c r="DX138">
        <v>0</v>
      </c>
      <c r="DY138">
        <v>0</v>
      </c>
      <c r="DZ138">
        <v>0</v>
      </c>
      <c r="EB138" t="s">
        <v>842</v>
      </c>
      <c r="EC138" t="s">
        <v>847</v>
      </c>
      <c r="ED138" t="s">
        <v>848</v>
      </c>
      <c r="EI138">
        <v>5</v>
      </c>
      <c r="EJ138" t="s">
        <v>841</v>
      </c>
      <c r="EO138">
        <v>6</v>
      </c>
      <c r="EP138" t="s">
        <v>841</v>
      </c>
      <c r="EU138">
        <v>7.5</v>
      </c>
      <c r="EV138" t="s">
        <v>841</v>
      </c>
      <c r="FA138">
        <v>8</v>
      </c>
      <c r="FB138" t="s">
        <v>841</v>
      </c>
      <c r="FG138">
        <v>5</v>
      </c>
      <c r="FH138" t="s">
        <v>841</v>
      </c>
      <c r="FM138">
        <v>285</v>
      </c>
      <c r="FO138">
        <v>10</v>
      </c>
      <c r="FP138">
        <v>16</v>
      </c>
      <c r="FQ138">
        <v>26</v>
      </c>
      <c r="FS138" t="s">
        <v>839</v>
      </c>
      <c r="FT138" t="s">
        <v>839</v>
      </c>
      <c r="FU138" t="s">
        <v>839</v>
      </c>
      <c r="FV138" t="s">
        <v>839</v>
      </c>
      <c r="FW138" t="s">
        <v>842</v>
      </c>
      <c r="FY138" t="s">
        <v>842</v>
      </c>
      <c r="FZ138" t="s">
        <v>839</v>
      </c>
      <c r="GA138" t="s">
        <v>839</v>
      </c>
      <c r="GB138" t="s">
        <v>842</v>
      </c>
      <c r="GC138" t="s">
        <v>839</v>
      </c>
      <c r="GD138" t="s">
        <v>839</v>
      </c>
      <c r="GE138" t="s">
        <v>929</v>
      </c>
      <c r="GG138" t="s">
        <v>839</v>
      </c>
      <c r="GI138" t="s">
        <v>1726</v>
      </c>
      <c r="GJ138">
        <v>1</v>
      </c>
      <c r="GK138">
        <v>1</v>
      </c>
      <c r="GL138">
        <v>1</v>
      </c>
      <c r="GM138">
        <v>1</v>
      </c>
      <c r="GN138">
        <v>1</v>
      </c>
      <c r="GO138">
        <v>1</v>
      </c>
      <c r="GP138">
        <v>1</v>
      </c>
      <c r="GQ138">
        <v>0</v>
      </c>
      <c r="GR138">
        <v>1</v>
      </c>
      <c r="GS138">
        <v>0</v>
      </c>
      <c r="GT138">
        <v>0</v>
      </c>
      <c r="GU138">
        <v>0</v>
      </c>
      <c r="GV138">
        <v>0</v>
      </c>
      <c r="GW138">
        <v>0</v>
      </c>
      <c r="GX138">
        <v>0</v>
      </c>
      <c r="GY138">
        <v>0</v>
      </c>
      <c r="GZ138">
        <v>0</v>
      </c>
      <c r="HB138" t="s">
        <v>839</v>
      </c>
    </row>
    <row r="139" spans="1:210" x14ac:dyDescent="0.35">
      <c r="A139" t="s">
        <v>1727</v>
      </c>
      <c r="B139" s="151">
        <v>45209.56422453704</v>
      </c>
      <c r="C139" t="s">
        <v>1728</v>
      </c>
      <c r="D139" t="s">
        <v>1729</v>
      </c>
      <c r="E139" t="s">
        <v>875</v>
      </c>
      <c r="F139" t="s">
        <v>1730</v>
      </c>
      <c r="G139" t="s">
        <v>1730</v>
      </c>
      <c r="H139" t="s">
        <v>839</v>
      </c>
      <c r="I139" t="s">
        <v>838</v>
      </c>
      <c r="K139" t="s">
        <v>842</v>
      </c>
      <c r="O139">
        <v>35</v>
      </c>
      <c r="P139">
        <v>40</v>
      </c>
      <c r="Q139">
        <v>75</v>
      </c>
      <c r="T139" t="s">
        <v>841</v>
      </c>
      <c r="U139" t="s">
        <v>841</v>
      </c>
      <c r="V139" t="s">
        <v>841</v>
      </c>
      <c r="W139" t="s">
        <v>841</v>
      </c>
      <c r="X139" t="s">
        <v>841</v>
      </c>
      <c r="Y139" t="s">
        <v>841</v>
      </c>
      <c r="Z139" t="s">
        <v>841</v>
      </c>
      <c r="AA139" t="s">
        <v>841</v>
      </c>
      <c r="AB139" t="s">
        <v>841</v>
      </c>
      <c r="AC139" t="s">
        <v>841</v>
      </c>
      <c r="AD139" t="s">
        <v>841</v>
      </c>
      <c r="AE139" t="s">
        <v>841</v>
      </c>
      <c r="AI139">
        <v>1</v>
      </c>
      <c r="AJ139">
        <v>1</v>
      </c>
      <c r="AK139">
        <v>1</v>
      </c>
      <c r="AL139">
        <v>1</v>
      </c>
      <c r="AM139">
        <v>1</v>
      </c>
      <c r="AN139">
        <v>1</v>
      </c>
      <c r="AO139">
        <v>1</v>
      </c>
      <c r="AP139">
        <v>1</v>
      </c>
      <c r="AQ139">
        <v>1</v>
      </c>
      <c r="AR139">
        <v>1</v>
      </c>
      <c r="AS139">
        <v>1</v>
      </c>
      <c r="AT139">
        <v>1</v>
      </c>
      <c r="AZ139" t="s">
        <v>841</v>
      </c>
      <c r="BJ139">
        <v>2</v>
      </c>
      <c r="BK139">
        <v>3</v>
      </c>
      <c r="BL139">
        <v>5</v>
      </c>
      <c r="BS139" t="s">
        <v>841</v>
      </c>
      <c r="BV139" t="s">
        <v>842</v>
      </c>
      <c r="BX139" t="s">
        <v>842</v>
      </c>
      <c r="BZ139" t="s">
        <v>839</v>
      </c>
      <c r="CA139" t="s">
        <v>839</v>
      </c>
      <c r="CC139" t="s">
        <v>839</v>
      </c>
      <c r="CD139" t="s">
        <v>855</v>
      </c>
      <c r="CG139">
        <v>10</v>
      </c>
      <c r="CH139">
        <v>3</v>
      </c>
      <c r="CI139">
        <v>7</v>
      </c>
      <c r="CJ139">
        <v>0</v>
      </c>
      <c r="CK139" t="s">
        <v>681</v>
      </c>
      <c r="CM139" t="s">
        <v>867</v>
      </c>
      <c r="CN139">
        <v>0</v>
      </c>
      <c r="CO139">
        <v>1</v>
      </c>
      <c r="CP139">
        <v>0</v>
      </c>
      <c r="CQ139">
        <v>0</v>
      </c>
      <c r="CR139">
        <v>0</v>
      </c>
      <c r="CS139">
        <v>0</v>
      </c>
      <c r="CU139" t="s">
        <v>1731</v>
      </c>
      <c r="CV139">
        <v>0</v>
      </c>
      <c r="CW139">
        <v>0</v>
      </c>
      <c r="CX139">
        <v>1</v>
      </c>
      <c r="CY139">
        <v>1</v>
      </c>
      <c r="CZ139">
        <v>0</v>
      </c>
      <c r="DA139">
        <v>0</v>
      </c>
      <c r="DB139">
        <v>0</v>
      </c>
      <c r="DC139">
        <v>0</v>
      </c>
      <c r="DD139">
        <v>1</v>
      </c>
      <c r="DE139">
        <v>0</v>
      </c>
      <c r="DF139">
        <v>0</v>
      </c>
      <c r="DJ139">
        <v>5</v>
      </c>
      <c r="DK139">
        <v>3</v>
      </c>
      <c r="DL139">
        <v>8</v>
      </c>
      <c r="DN139">
        <v>250</v>
      </c>
      <c r="DP139">
        <v>300</v>
      </c>
      <c r="DQ139" t="s">
        <v>1732</v>
      </c>
      <c r="DR139">
        <v>0</v>
      </c>
      <c r="DS139">
        <v>0</v>
      </c>
      <c r="DT139">
        <v>0</v>
      </c>
      <c r="DU139">
        <v>0</v>
      </c>
      <c r="DV139">
        <v>1</v>
      </c>
      <c r="DW139">
        <v>0</v>
      </c>
      <c r="DX139">
        <v>0</v>
      </c>
      <c r="DY139">
        <v>0</v>
      </c>
      <c r="DZ139">
        <v>0</v>
      </c>
      <c r="EB139" t="s">
        <v>842</v>
      </c>
      <c r="EC139" t="s">
        <v>847</v>
      </c>
      <c r="ED139" t="s">
        <v>900</v>
      </c>
      <c r="EI139">
        <v>50</v>
      </c>
      <c r="EL139" t="s">
        <v>841</v>
      </c>
      <c r="ET139" t="s">
        <v>841</v>
      </c>
      <c r="EZ139" t="s">
        <v>841</v>
      </c>
      <c r="FA139">
        <v>4</v>
      </c>
      <c r="FB139" t="s">
        <v>841</v>
      </c>
      <c r="FL139" t="s">
        <v>841</v>
      </c>
      <c r="FM139">
        <v>500</v>
      </c>
      <c r="FO139">
        <v>0</v>
      </c>
      <c r="FP139">
        <v>0</v>
      </c>
      <c r="FQ139">
        <v>0</v>
      </c>
      <c r="FS139" t="s">
        <v>842</v>
      </c>
      <c r="FT139" t="s">
        <v>839</v>
      </c>
      <c r="FU139" t="s">
        <v>842</v>
      </c>
      <c r="FV139" t="s">
        <v>839</v>
      </c>
      <c r="FW139" t="s">
        <v>842</v>
      </c>
      <c r="FY139" t="s">
        <v>842</v>
      </c>
      <c r="FZ139" t="s">
        <v>839</v>
      </c>
      <c r="GA139" t="s">
        <v>839</v>
      </c>
      <c r="GB139" t="s">
        <v>842</v>
      </c>
      <c r="GC139" t="s">
        <v>842</v>
      </c>
      <c r="GD139" t="s">
        <v>842</v>
      </c>
      <c r="GG139" t="s">
        <v>842</v>
      </c>
      <c r="GI139" t="s">
        <v>882</v>
      </c>
      <c r="GJ139">
        <v>0</v>
      </c>
      <c r="GK139">
        <v>1</v>
      </c>
      <c r="GL139">
        <v>0</v>
      </c>
      <c r="GM139">
        <v>0</v>
      </c>
      <c r="GN139">
        <v>0</v>
      </c>
      <c r="GO139">
        <v>0</v>
      </c>
      <c r="GP139">
        <v>0</v>
      </c>
      <c r="GQ139">
        <v>0</v>
      </c>
      <c r="GR139">
        <v>0</v>
      </c>
      <c r="GS139">
        <v>0</v>
      </c>
      <c r="GT139">
        <v>0</v>
      </c>
      <c r="GU139">
        <v>0</v>
      </c>
      <c r="GV139">
        <v>0</v>
      </c>
      <c r="GW139">
        <v>0</v>
      </c>
      <c r="GX139">
        <v>0</v>
      </c>
      <c r="GY139">
        <v>0</v>
      </c>
      <c r="GZ139">
        <v>0</v>
      </c>
      <c r="HB139" t="s">
        <v>839</v>
      </c>
    </row>
    <row r="140" spans="1:210" x14ac:dyDescent="0.35">
      <c r="A140" t="s">
        <v>1733</v>
      </c>
      <c r="B140" s="151">
        <v>45209.583807870367</v>
      </c>
      <c r="C140" t="s">
        <v>1734</v>
      </c>
      <c r="D140" t="s">
        <v>1735</v>
      </c>
      <c r="E140" t="s">
        <v>875</v>
      </c>
      <c r="F140" t="s">
        <v>1736</v>
      </c>
      <c r="G140" t="s">
        <v>842</v>
      </c>
      <c r="H140" t="s">
        <v>839</v>
      </c>
      <c r="I140" t="s">
        <v>896</v>
      </c>
      <c r="K140" t="s">
        <v>839</v>
      </c>
      <c r="L140" t="s">
        <v>887</v>
      </c>
      <c r="O140">
        <v>35</v>
      </c>
      <c r="P140">
        <v>45</v>
      </c>
      <c r="Q140">
        <v>80</v>
      </c>
      <c r="T140" t="s">
        <v>841</v>
      </c>
      <c r="U140" t="s">
        <v>841</v>
      </c>
      <c r="V140" t="s">
        <v>841</v>
      </c>
      <c r="W140" t="s">
        <v>841</v>
      </c>
      <c r="X140" t="s">
        <v>841</v>
      </c>
      <c r="Y140" t="s">
        <v>841</v>
      </c>
      <c r="Z140" t="s">
        <v>841</v>
      </c>
      <c r="AA140" t="s">
        <v>841</v>
      </c>
      <c r="AB140" t="s">
        <v>841</v>
      </c>
      <c r="AC140" t="s">
        <v>841</v>
      </c>
      <c r="AD140" t="s">
        <v>841</v>
      </c>
      <c r="AE140" t="s">
        <v>841</v>
      </c>
      <c r="AF140" t="s">
        <v>841</v>
      </c>
      <c r="AI140">
        <v>1</v>
      </c>
      <c r="AJ140">
        <v>1</v>
      </c>
      <c r="AK140">
        <v>1</v>
      </c>
      <c r="AL140">
        <v>1</v>
      </c>
      <c r="AM140">
        <v>1</v>
      </c>
      <c r="AN140">
        <v>1</v>
      </c>
      <c r="AO140">
        <v>1</v>
      </c>
      <c r="AP140">
        <v>1</v>
      </c>
      <c r="AQ140">
        <v>1</v>
      </c>
      <c r="AR140">
        <v>1</v>
      </c>
      <c r="AS140">
        <v>1</v>
      </c>
      <c r="AT140">
        <v>1</v>
      </c>
      <c r="AU140">
        <v>1</v>
      </c>
      <c r="AW140">
        <v>12</v>
      </c>
      <c r="AX140">
        <v>14</v>
      </c>
      <c r="AY140">
        <v>26</v>
      </c>
      <c r="BB140">
        <v>0</v>
      </c>
      <c r="BC140">
        <v>0</v>
      </c>
      <c r="BD140">
        <v>0</v>
      </c>
      <c r="BF140">
        <v>0</v>
      </c>
      <c r="BG140">
        <v>2</v>
      </c>
      <c r="BH140">
        <v>2</v>
      </c>
      <c r="BJ140">
        <v>6</v>
      </c>
      <c r="BK140">
        <v>1</v>
      </c>
      <c r="BL140">
        <v>7</v>
      </c>
      <c r="BS140" t="s">
        <v>841</v>
      </c>
      <c r="BV140" t="s">
        <v>842</v>
      </c>
      <c r="BX140" t="s">
        <v>839</v>
      </c>
      <c r="BY140" t="s">
        <v>759</v>
      </c>
      <c r="BZ140" t="s">
        <v>839</v>
      </c>
      <c r="CA140" t="s">
        <v>925</v>
      </c>
      <c r="CC140" t="s">
        <v>839</v>
      </c>
      <c r="CD140" t="s">
        <v>855</v>
      </c>
      <c r="CG140">
        <v>2</v>
      </c>
      <c r="CH140">
        <v>1</v>
      </c>
      <c r="CI140">
        <v>1</v>
      </c>
      <c r="CJ140">
        <v>0</v>
      </c>
      <c r="CK140" t="s">
        <v>681</v>
      </c>
      <c r="CM140" t="s">
        <v>681</v>
      </c>
      <c r="CN140">
        <v>0</v>
      </c>
      <c r="CO140">
        <v>0</v>
      </c>
      <c r="CP140">
        <v>0</v>
      </c>
      <c r="CQ140">
        <v>0</v>
      </c>
      <c r="CR140">
        <v>1</v>
      </c>
      <c r="CS140">
        <v>0</v>
      </c>
      <c r="CU140" t="s">
        <v>1194</v>
      </c>
      <c r="CV140">
        <v>1</v>
      </c>
      <c r="CW140">
        <v>0</v>
      </c>
      <c r="CX140">
        <v>1</v>
      </c>
      <c r="CY140">
        <v>0</v>
      </c>
      <c r="CZ140">
        <v>0</v>
      </c>
      <c r="DA140">
        <v>0</v>
      </c>
      <c r="DB140">
        <v>0</v>
      </c>
      <c r="DC140">
        <v>0</v>
      </c>
      <c r="DD140">
        <v>0</v>
      </c>
      <c r="DE140">
        <v>1</v>
      </c>
      <c r="DF140">
        <v>0</v>
      </c>
      <c r="DJ140">
        <v>3</v>
      </c>
      <c r="DK140">
        <v>9</v>
      </c>
      <c r="DL140">
        <v>12</v>
      </c>
      <c r="DN140">
        <v>300</v>
      </c>
      <c r="DP140">
        <v>500</v>
      </c>
      <c r="DQ140" t="s">
        <v>681</v>
      </c>
      <c r="DR140">
        <v>0</v>
      </c>
      <c r="DS140">
        <v>0</v>
      </c>
      <c r="DT140">
        <v>0</v>
      </c>
      <c r="DU140">
        <v>0</v>
      </c>
      <c r="DV140">
        <v>0</v>
      </c>
      <c r="DW140">
        <v>0</v>
      </c>
      <c r="DX140">
        <v>0</v>
      </c>
      <c r="DY140">
        <v>0</v>
      </c>
      <c r="DZ140">
        <v>1</v>
      </c>
      <c r="EB140" t="s">
        <v>842</v>
      </c>
      <c r="EC140" t="s">
        <v>909</v>
      </c>
      <c r="ED140" t="s">
        <v>848</v>
      </c>
      <c r="EI140">
        <v>200</v>
      </c>
      <c r="EM140" t="s">
        <v>841</v>
      </c>
      <c r="EO140">
        <v>200</v>
      </c>
      <c r="ES140" t="s">
        <v>1016</v>
      </c>
      <c r="EZ140" t="s">
        <v>841</v>
      </c>
      <c r="FA140">
        <v>6</v>
      </c>
      <c r="FB140" t="s">
        <v>841</v>
      </c>
      <c r="FG140">
        <v>3</v>
      </c>
      <c r="FH140" t="s">
        <v>841</v>
      </c>
      <c r="FM140">
        <v>200</v>
      </c>
      <c r="FO140">
        <v>2</v>
      </c>
      <c r="FP140">
        <v>1</v>
      </c>
      <c r="FQ140">
        <v>3</v>
      </c>
      <c r="FS140" t="s">
        <v>842</v>
      </c>
      <c r="FT140" t="s">
        <v>842</v>
      </c>
      <c r="FU140" t="s">
        <v>842</v>
      </c>
      <c r="FV140" t="s">
        <v>839</v>
      </c>
      <c r="FW140" t="s">
        <v>842</v>
      </c>
      <c r="FY140" t="s">
        <v>842</v>
      </c>
      <c r="FZ140" t="s">
        <v>839</v>
      </c>
      <c r="GA140" t="s">
        <v>842</v>
      </c>
      <c r="GB140" t="s">
        <v>842</v>
      </c>
      <c r="GC140" t="s">
        <v>842</v>
      </c>
      <c r="GD140" t="s">
        <v>842</v>
      </c>
      <c r="GG140" t="s">
        <v>842</v>
      </c>
      <c r="GI140" t="s">
        <v>849</v>
      </c>
      <c r="GJ140">
        <v>1</v>
      </c>
      <c r="GK140">
        <v>0</v>
      </c>
      <c r="GL140">
        <v>0</v>
      </c>
      <c r="GM140">
        <v>0</v>
      </c>
      <c r="GN140">
        <v>0</v>
      </c>
      <c r="GO140">
        <v>0</v>
      </c>
      <c r="GP140">
        <v>0</v>
      </c>
      <c r="GQ140">
        <v>0</v>
      </c>
      <c r="GR140">
        <v>0</v>
      </c>
      <c r="GS140">
        <v>0</v>
      </c>
      <c r="GT140">
        <v>0</v>
      </c>
      <c r="GU140">
        <v>0</v>
      </c>
      <c r="GV140">
        <v>0</v>
      </c>
      <c r="GW140">
        <v>0</v>
      </c>
      <c r="GX140">
        <v>0</v>
      </c>
      <c r="GY140">
        <v>0</v>
      </c>
      <c r="GZ140">
        <v>0</v>
      </c>
      <c r="HB140" t="s">
        <v>839</v>
      </c>
    </row>
    <row r="141" spans="1:210" x14ac:dyDescent="0.35">
      <c r="A141" t="s">
        <v>1737</v>
      </c>
      <c r="B141" s="151">
        <v>45210.322453703702</v>
      </c>
      <c r="C141" t="s">
        <v>1738</v>
      </c>
      <c r="D141" t="s">
        <v>1739</v>
      </c>
      <c r="E141" t="s">
        <v>875</v>
      </c>
      <c r="F141" t="s">
        <v>1740</v>
      </c>
      <c r="G141" t="s">
        <v>1740</v>
      </c>
      <c r="H141" t="s">
        <v>839</v>
      </c>
      <c r="I141" t="s">
        <v>838</v>
      </c>
      <c r="K141" t="s">
        <v>839</v>
      </c>
      <c r="L141" t="s">
        <v>887</v>
      </c>
      <c r="O141">
        <v>54</v>
      </c>
      <c r="P141">
        <v>50</v>
      </c>
      <c r="Q141">
        <v>108</v>
      </c>
      <c r="T141" t="s">
        <v>841</v>
      </c>
      <c r="U141" t="s">
        <v>841</v>
      </c>
      <c r="V141" t="s">
        <v>841</v>
      </c>
      <c r="W141" t="s">
        <v>841</v>
      </c>
      <c r="X141" t="s">
        <v>841</v>
      </c>
      <c r="Y141" t="s">
        <v>841</v>
      </c>
      <c r="Z141" t="s">
        <v>841</v>
      </c>
      <c r="AA141" t="s">
        <v>841</v>
      </c>
      <c r="AB141" t="s">
        <v>841</v>
      </c>
      <c r="AC141" t="s">
        <v>841</v>
      </c>
      <c r="AI141">
        <v>1</v>
      </c>
      <c r="AJ141">
        <v>1</v>
      </c>
      <c r="AK141">
        <v>1</v>
      </c>
      <c r="AL141">
        <v>1</v>
      </c>
      <c r="AM141">
        <v>1</v>
      </c>
      <c r="AN141">
        <v>1</v>
      </c>
      <c r="AO141">
        <v>1</v>
      </c>
      <c r="AP141">
        <v>1</v>
      </c>
      <c r="AQ141">
        <v>1</v>
      </c>
      <c r="AR141">
        <v>1</v>
      </c>
      <c r="BV141" t="s">
        <v>842</v>
      </c>
      <c r="BX141" t="s">
        <v>839</v>
      </c>
      <c r="BY141" t="s">
        <v>759</v>
      </c>
      <c r="BZ141" t="s">
        <v>839</v>
      </c>
      <c r="CA141" t="s">
        <v>839</v>
      </c>
      <c r="CC141" t="s">
        <v>839</v>
      </c>
      <c r="CD141" t="s">
        <v>855</v>
      </c>
      <c r="CG141">
        <v>3</v>
      </c>
      <c r="CH141">
        <v>1</v>
      </c>
      <c r="CI141">
        <v>1</v>
      </c>
      <c r="CJ141">
        <v>1</v>
      </c>
      <c r="CK141" t="s">
        <v>877</v>
      </c>
      <c r="CM141" t="s">
        <v>844</v>
      </c>
      <c r="CN141">
        <v>1</v>
      </c>
      <c r="CO141">
        <v>0</v>
      </c>
      <c r="CP141">
        <v>0</v>
      </c>
      <c r="CQ141">
        <v>0</v>
      </c>
      <c r="CR141">
        <v>0</v>
      </c>
      <c r="CS141">
        <v>0</v>
      </c>
      <c r="CU141" t="s">
        <v>987</v>
      </c>
      <c r="CV141">
        <v>1</v>
      </c>
      <c r="CW141">
        <v>0</v>
      </c>
      <c r="CX141">
        <v>1</v>
      </c>
      <c r="CY141">
        <v>0</v>
      </c>
      <c r="CZ141">
        <v>0</v>
      </c>
      <c r="DA141">
        <v>0</v>
      </c>
      <c r="DB141">
        <v>0</v>
      </c>
      <c r="DC141">
        <v>0</v>
      </c>
      <c r="DD141">
        <v>0</v>
      </c>
      <c r="DE141">
        <v>0</v>
      </c>
      <c r="DF141">
        <v>0</v>
      </c>
      <c r="DJ141">
        <v>5</v>
      </c>
      <c r="DK141">
        <v>3</v>
      </c>
      <c r="DL141">
        <v>8</v>
      </c>
      <c r="DN141">
        <v>220</v>
      </c>
      <c r="DP141">
        <v>250</v>
      </c>
      <c r="DQ141" t="s">
        <v>681</v>
      </c>
      <c r="DR141">
        <v>0</v>
      </c>
      <c r="DS141">
        <v>0</v>
      </c>
      <c r="DT141">
        <v>0</v>
      </c>
      <c r="DU141">
        <v>0</v>
      </c>
      <c r="DV141">
        <v>0</v>
      </c>
      <c r="DW141">
        <v>0</v>
      </c>
      <c r="DX141">
        <v>0</v>
      </c>
      <c r="DY141">
        <v>0</v>
      </c>
      <c r="DZ141">
        <v>1</v>
      </c>
      <c r="EB141" t="s">
        <v>839</v>
      </c>
      <c r="EC141" t="s">
        <v>847</v>
      </c>
      <c r="ED141" t="s">
        <v>848</v>
      </c>
      <c r="EI141" s="157">
        <v>582</v>
      </c>
      <c r="EJ141" s="157"/>
      <c r="EK141" s="157"/>
      <c r="EL141" s="157"/>
      <c r="EM141" s="157" t="s">
        <v>841</v>
      </c>
      <c r="EN141" s="157"/>
      <c r="EO141" s="157">
        <v>582</v>
      </c>
      <c r="EP141" s="157"/>
      <c r="EQ141" s="157"/>
      <c r="ER141" s="157"/>
      <c r="ES141" s="157" t="s">
        <v>841</v>
      </c>
      <c r="ET141" s="157"/>
      <c r="EU141" s="157"/>
      <c r="EV141" s="157"/>
      <c r="EW141" s="157"/>
      <c r="EX141" s="157"/>
      <c r="EY141" s="157"/>
      <c r="EZ141" s="157" t="s">
        <v>841</v>
      </c>
      <c r="FA141" s="157">
        <v>8</v>
      </c>
      <c r="FB141" s="157" t="s">
        <v>841</v>
      </c>
      <c r="FC141" s="157"/>
      <c r="FD141" s="157"/>
      <c r="FE141" s="157"/>
      <c r="FF141" s="157"/>
      <c r="FG141" s="157"/>
      <c r="FH141" s="157"/>
      <c r="FI141" s="157"/>
      <c r="FJ141" s="157"/>
      <c r="FK141" s="157"/>
      <c r="FL141" s="157" t="s">
        <v>841</v>
      </c>
      <c r="FM141">
        <v>0</v>
      </c>
      <c r="FO141">
        <v>0</v>
      </c>
      <c r="FP141">
        <v>0</v>
      </c>
      <c r="FQ141">
        <v>0</v>
      </c>
      <c r="FS141" t="s">
        <v>842</v>
      </c>
      <c r="FT141" t="s">
        <v>839</v>
      </c>
      <c r="FU141" t="s">
        <v>839</v>
      </c>
      <c r="FV141" t="s">
        <v>842</v>
      </c>
      <c r="FW141" t="s">
        <v>842</v>
      </c>
      <c r="FY141" t="s">
        <v>842</v>
      </c>
      <c r="FZ141" t="s">
        <v>839</v>
      </c>
      <c r="GA141" t="s">
        <v>842</v>
      </c>
      <c r="GB141" t="s">
        <v>839</v>
      </c>
      <c r="GC141" t="s">
        <v>842</v>
      </c>
      <c r="GD141" t="s">
        <v>842</v>
      </c>
      <c r="GG141" t="s">
        <v>668</v>
      </c>
      <c r="GI141" t="s">
        <v>849</v>
      </c>
      <c r="GJ141">
        <v>1</v>
      </c>
      <c r="GK141">
        <v>0</v>
      </c>
      <c r="GL141">
        <v>0</v>
      </c>
      <c r="GM141">
        <v>0</v>
      </c>
      <c r="GN141">
        <v>0</v>
      </c>
      <c r="GO141">
        <v>0</v>
      </c>
      <c r="GP141">
        <v>0</v>
      </c>
      <c r="GQ141">
        <v>0</v>
      </c>
      <c r="GR141">
        <v>0</v>
      </c>
      <c r="GS141">
        <v>0</v>
      </c>
      <c r="GT141">
        <v>0</v>
      </c>
      <c r="GU141">
        <v>0</v>
      </c>
      <c r="GV141">
        <v>0</v>
      </c>
      <c r="GW141">
        <v>0</v>
      </c>
      <c r="GX141">
        <v>0</v>
      </c>
      <c r="GY141">
        <v>0</v>
      </c>
      <c r="GZ141">
        <v>0</v>
      </c>
      <c r="HB141" t="s">
        <v>839</v>
      </c>
    </row>
    <row r="142" spans="1:210" x14ac:dyDescent="0.35">
      <c r="A142" t="s">
        <v>1741</v>
      </c>
      <c r="B142" s="151">
        <v>45210.926469907397</v>
      </c>
      <c r="C142" t="s">
        <v>1742</v>
      </c>
      <c r="D142" t="s">
        <v>1743</v>
      </c>
      <c r="E142" t="s">
        <v>835</v>
      </c>
      <c r="F142" t="s">
        <v>1744</v>
      </c>
      <c r="G142" t="s">
        <v>1744</v>
      </c>
      <c r="H142" t="s">
        <v>839</v>
      </c>
      <c r="I142" t="s">
        <v>896</v>
      </c>
      <c r="K142" t="s">
        <v>839</v>
      </c>
      <c r="L142" t="s">
        <v>887</v>
      </c>
      <c r="O142">
        <v>59</v>
      </c>
      <c r="P142">
        <v>62</v>
      </c>
      <c r="Q142">
        <v>121</v>
      </c>
      <c r="S142" t="s">
        <v>841</v>
      </c>
      <c r="T142" t="s">
        <v>841</v>
      </c>
      <c r="U142" t="s">
        <v>841</v>
      </c>
      <c r="V142" t="s">
        <v>841</v>
      </c>
      <c r="W142" t="s">
        <v>841</v>
      </c>
      <c r="X142" t="s">
        <v>841</v>
      </c>
      <c r="Y142" t="s">
        <v>841</v>
      </c>
      <c r="Z142" t="s">
        <v>841</v>
      </c>
      <c r="AB142" t="s">
        <v>841</v>
      </c>
      <c r="AC142" t="s">
        <v>841</v>
      </c>
      <c r="AH142">
        <v>1</v>
      </c>
      <c r="AI142">
        <v>1</v>
      </c>
      <c r="AJ142">
        <v>1</v>
      </c>
      <c r="AK142">
        <v>1</v>
      </c>
      <c r="AL142">
        <v>1</v>
      </c>
      <c r="AM142">
        <v>1</v>
      </c>
      <c r="AN142">
        <v>1</v>
      </c>
      <c r="AO142">
        <v>1</v>
      </c>
      <c r="AP142">
        <v>0</v>
      </c>
      <c r="AQ142">
        <v>1</v>
      </c>
      <c r="AR142">
        <v>1</v>
      </c>
      <c r="BV142" t="s">
        <v>842</v>
      </c>
      <c r="BX142" t="s">
        <v>839</v>
      </c>
      <c r="BY142" t="s">
        <v>950</v>
      </c>
      <c r="BZ142" t="s">
        <v>839</v>
      </c>
      <c r="CA142" t="s">
        <v>839</v>
      </c>
      <c r="CC142" t="s">
        <v>839</v>
      </c>
      <c r="CD142" t="s">
        <v>855</v>
      </c>
      <c r="CG142">
        <v>4</v>
      </c>
      <c r="CH142">
        <v>1</v>
      </c>
      <c r="CI142">
        <v>1</v>
      </c>
      <c r="CJ142">
        <v>2</v>
      </c>
      <c r="CK142" t="s">
        <v>877</v>
      </c>
      <c r="CM142" t="s">
        <v>867</v>
      </c>
      <c r="CN142">
        <v>0</v>
      </c>
      <c r="CO142">
        <v>1</v>
      </c>
      <c r="CP142">
        <v>0</v>
      </c>
      <c r="CQ142">
        <v>0</v>
      </c>
      <c r="CR142">
        <v>0</v>
      </c>
      <c r="CS142">
        <v>0</v>
      </c>
      <c r="CU142" t="s">
        <v>1745</v>
      </c>
      <c r="CV142">
        <v>1</v>
      </c>
      <c r="CW142">
        <v>1</v>
      </c>
      <c r="CX142">
        <v>1</v>
      </c>
      <c r="CY142">
        <v>1</v>
      </c>
      <c r="CZ142">
        <v>0</v>
      </c>
      <c r="DA142">
        <v>0</v>
      </c>
      <c r="DB142">
        <v>1</v>
      </c>
      <c r="DC142">
        <v>0</v>
      </c>
      <c r="DD142">
        <v>1</v>
      </c>
      <c r="DE142">
        <v>0</v>
      </c>
      <c r="DF142">
        <v>0</v>
      </c>
      <c r="DJ142">
        <v>5</v>
      </c>
      <c r="DK142">
        <v>8</v>
      </c>
      <c r="DL142">
        <v>13</v>
      </c>
      <c r="DN142">
        <v>300</v>
      </c>
      <c r="DP142">
        <v>800</v>
      </c>
      <c r="DQ142" t="s">
        <v>908</v>
      </c>
      <c r="DR142">
        <v>1</v>
      </c>
      <c r="DS142">
        <v>1</v>
      </c>
      <c r="DT142">
        <v>1</v>
      </c>
      <c r="DU142">
        <v>0</v>
      </c>
      <c r="DV142">
        <v>1</v>
      </c>
      <c r="DW142">
        <v>0</v>
      </c>
      <c r="DX142">
        <v>0</v>
      </c>
      <c r="DY142">
        <v>0</v>
      </c>
      <c r="DZ142">
        <v>0</v>
      </c>
      <c r="EB142" t="s">
        <v>839</v>
      </c>
      <c r="EC142" t="s">
        <v>957</v>
      </c>
      <c r="ED142" t="s">
        <v>848</v>
      </c>
      <c r="EI142">
        <v>200</v>
      </c>
      <c r="EM142" t="s">
        <v>841</v>
      </c>
      <c r="ES142" t="s">
        <v>841</v>
      </c>
      <c r="FA142">
        <v>5</v>
      </c>
      <c r="FB142" t="s">
        <v>841</v>
      </c>
      <c r="FG142">
        <v>4</v>
      </c>
      <c r="FH142" t="s">
        <v>841</v>
      </c>
      <c r="FM142">
        <v>532</v>
      </c>
      <c r="FO142">
        <v>9</v>
      </c>
      <c r="FP142">
        <v>5</v>
      </c>
      <c r="FQ142">
        <v>14</v>
      </c>
      <c r="FS142" t="s">
        <v>842</v>
      </c>
      <c r="FT142" t="s">
        <v>842</v>
      </c>
      <c r="FU142" t="s">
        <v>839</v>
      </c>
      <c r="FV142" t="s">
        <v>839</v>
      </c>
      <c r="FW142" t="s">
        <v>682</v>
      </c>
      <c r="FY142" t="s">
        <v>842</v>
      </c>
      <c r="FZ142" t="s">
        <v>842</v>
      </c>
      <c r="GA142" t="s">
        <v>839</v>
      </c>
      <c r="GB142" t="s">
        <v>839</v>
      </c>
      <c r="GC142" t="s">
        <v>839</v>
      </c>
      <c r="GD142" t="s">
        <v>839</v>
      </c>
      <c r="GE142" t="s">
        <v>626</v>
      </c>
      <c r="GF142" t="s">
        <v>1746</v>
      </c>
      <c r="GG142" t="s">
        <v>668</v>
      </c>
      <c r="GI142" t="s">
        <v>1683</v>
      </c>
      <c r="GJ142">
        <v>1</v>
      </c>
      <c r="GK142">
        <v>0</v>
      </c>
      <c r="GL142">
        <v>1</v>
      </c>
      <c r="GM142">
        <v>0</v>
      </c>
      <c r="GN142">
        <v>0</v>
      </c>
      <c r="GO142">
        <v>0</v>
      </c>
      <c r="GP142">
        <v>0</v>
      </c>
      <c r="GQ142">
        <v>0</v>
      </c>
      <c r="GR142">
        <v>1</v>
      </c>
      <c r="GS142">
        <v>0</v>
      </c>
      <c r="GT142">
        <v>0</v>
      </c>
      <c r="GU142">
        <v>0</v>
      </c>
      <c r="GV142">
        <v>0</v>
      </c>
      <c r="GW142">
        <v>0</v>
      </c>
      <c r="GX142">
        <v>0</v>
      </c>
      <c r="GY142">
        <v>0</v>
      </c>
      <c r="GZ142">
        <v>0</v>
      </c>
      <c r="HB142" t="s">
        <v>839</v>
      </c>
    </row>
    <row r="143" spans="1:210" x14ac:dyDescent="0.35">
      <c r="A143" t="s">
        <v>1747</v>
      </c>
      <c r="B143" s="151">
        <v>45210.945706018523</v>
      </c>
      <c r="C143" t="s">
        <v>1748</v>
      </c>
      <c r="D143" t="s">
        <v>1749</v>
      </c>
      <c r="E143" t="s">
        <v>835</v>
      </c>
      <c r="F143" t="s">
        <v>1750</v>
      </c>
      <c r="G143" t="s">
        <v>1751</v>
      </c>
      <c r="H143" t="s">
        <v>839</v>
      </c>
      <c r="I143" t="s">
        <v>896</v>
      </c>
      <c r="K143" t="s">
        <v>839</v>
      </c>
      <c r="L143" t="s">
        <v>887</v>
      </c>
      <c r="O143">
        <v>317</v>
      </c>
      <c r="P143">
        <v>550</v>
      </c>
      <c r="Q143">
        <v>867</v>
      </c>
      <c r="S143" t="s">
        <v>841</v>
      </c>
      <c r="T143" t="s">
        <v>841</v>
      </c>
      <c r="U143" t="s">
        <v>841</v>
      </c>
      <c r="V143" t="s">
        <v>841</v>
      </c>
      <c r="W143" t="s">
        <v>841</v>
      </c>
      <c r="X143" t="s">
        <v>841</v>
      </c>
      <c r="Y143" t="s">
        <v>841</v>
      </c>
      <c r="Z143" t="s">
        <v>841</v>
      </c>
      <c r="AA143" t="s">
        <v>841</v>
      </c>
      <c r="AB143" t="s">
        <v>841</v>
      </c>
      <c r="AC143" t="s">
        <v>841</v>
      </c>
      <c r="AH143">
        <v>3</v>
      </c>
      <c r="AI143">
        <v>3</v>
      </c>
      <c r="AJ143">
        <v>2</v>
      </c>
      <c r="AK143">
        <v>2</v>
      </c>
      <c r="AL143">
        <v>2</v>
      </c>
      <c r="AM143">
        <v>2</v>
      </c>
      <c r="AN143">
        <v>2</v>
      </c>
      <c r="AO143">
        <v>1</v>
      </c>
      <c r="AP143">
        <v>1</v>
      </c>
      <c r="AQ143">
        <v>1</v>
      </c>
      <c r="AZ143" t="s">
        <v>841</v>
      </c>
      <c r="BM143" t="s">
        <v>841</v>
      </c>
      <c r="BS143" t="s">
        <v>841</v>
      </c>
      <c r="BV143" t="s">
        <v>839</v>
      </c>
      <c r="BW143" t="s">
        <v>758</v>
      </c>
      <c r="BX143" t="s">
        <v>842</v>
      </c>
      <c r="BZ143" t="s">
        <v>839</v>
      </c>
      <c r="CA143" t="s">
        <v>839</v>
      </c>
      <c r="CC143" t="s">
        <v>842</v>
      </c>
      <c r="CD143" t="s">
        <v>1022</v>
      </c>
      <c r="CG143">
        <v>11</v>
      </c>
      <c r="CH143">
        <v>5</v>
      </c>
      <c r="CI143">
        <v>6</v>
      </c>
      <c r="CJ143">
        <v>0</v>
      </c>
      <c r="CK143" t="s">
        <v>856</v>
      </c>
      <c r="CM143" t="s">
        <v>917</v>
      </c>
      <c r="CN143">
        <v>0</v>
      </c>
      <c r="CO143">
        <v>0</v>
      </c>
      <c r="CP143">
        <v>1</v>
      </c>
      <c r="CQ143">
        <v>0</v>
      </c>
      <c r="CR143">
        <v>0</v>
      </c>
      <c r="CS143">
        <v>0</v>
      </c>
      <c r="CU143" t="s">
        <v>907</v>
      </c>
      <c r="CV143">
        <v>1</v>
      </c>
      <c r="CW143">
        <v>0</v>
      </c>
      <c r="CX143">
        <v>1</v>
      </c>
      <c r="CY143">
        <v>0</v>
      </c>
      <c r="CZ143">
        <v>0</v>
      </c>
      <c r="DA143">
        <v>0</v>
      </c>
      <c r="DB143">
        <v>0</v>
      </c>
      <c r="DC143">
        <v>0</v>
      </c>
      <c r="DD143">
        <v>1</v>
      </c>
      <c r="DE143">
        <v>0</v>
      </c>
      <c r="DF143">
        <v>0</v>
      </c>
      <c r="DJ143">
        <v>8</v>
      </c>
      <c r="DK143">
        <v>15</v>
      </c>
      <c r="DL143">
        <v>23</v>
      </c>
      <c r="DN143">
        <v>500</v>
      </c>
      <c r="DP143">
        <v>1200</v>
      </c>
      <c r="DQ143" t="s">
        <v>1048</v>
      </c>
      <c r="DR143">
        <v>1</v>
      </c>
      <c r="DS143">
        <v>0</v>
      </c>
      <c r="DT143">
        <v>1</v>
      </c>
      <c r="DU143">
        <v>0</v>
      </c>
      <c r="DV143">
        <v>1</v>
      </c>
      <c r="DW143">
        <v>1</v>
      </c>
      <c r="DX143">
        <v>0</v>
      </c>
      <c r="DY143">
        <v>0</v>
      </c>
      <c r="DZ143">
        <v>0</v>
      </c>
      <c r="EB143" t="s">
        <v>839</v>
      </c>
      <c r="EC143" t="s">
        <v>847</v>
      </c>
      <c r="ED143" t="s">
        <v>848</v>
      </c>
      <c r="EI143">
        <v>300</v>
      </c>
      <c r="EM143" t="s">
        <v>841</v>
      </c>
      <c r="EO143">
        <v>300</v>
      </c>
      <c r="ES143" t="s">
        <v>841</v>
      </c>
      <c r="EU143">
        <v>330</v>
      </c>
      <c r="EY143" t="s">
        <v>841</v>
      </c>
      <c r="FA143">
        <v>10</v>
      </c>
      <c r="FB143" t="s">
        <v>841</v>
      </c>
      <c r="FG143">
        <v>4</v>
      </c>
      <c r="FH143" t="s">
        <v>841</v>
      </c>
      <c r="FM143">
        <v>20000</v>
      </c>
      <c r="FO143">
        <v>8</v>
      </c>
      <c r="FP143">
        <v>7</v>
      </c>
      <c r="FQ143">
        <v>15</v>
      </c>
      <c r="FS143" t="s">
        <v>839</v>
      </c>
      <c r="FT143" t="s">
        <v>839</v>
      </c>
      <c r="FU143" t="s">
        <v>839</v>
      </c>
      <c r="FV143" t="s">
        <v>839</v>
      </c>
      <c r="FW143" t="s">
        <v>839</v>
      </c>
      <c r="FX143" t="s">
        <v>880</v>
      </c>
      <c r="FY143" t="s">
        <v>842</v>
      </c>
      <c r="FZ143" t="s">
        <v>839</v>
      </c>
      <c r="GA143" t="s">
        <v>839</v>
      </c>
      <c r="GB143" t="s">
        <v>839</v>
      </c>
      <c r="GC143" t="s">
        <v>839</v>
      </c>
      <c r="GD143" t="s">
        <v>842</v>
      </c>
      <c r="GG143" t="s">
        <v>839</v>
      </c>
      <c r="GI143" t="s">
        <v>1752</v>
      </c>
      <c r="GJ143">
        <v>1</v>
      </c>
      <c r="GK143">
        <v>1</v>
      </c>
      <c r="GL143">
        <v>0</v>
      </c>
      <c r="GM143">
        <v>1</v>
      </c>
      <c r="GN143">
        <v>1</v>
      </c>
      <c r="GO143">
        <v>1</v>
      </c>
      <c r="GP143">
        <v>1</v>
      </c>
      <c r="GQ143">
        <v>0</v>
      </c>
      <c r="GR143">
        <v>1</v>
      </c>
      <c r="GS143">
        <v>1</v>
      </c>
      <c r="GT143">
        <v>1</v>
      </c>
      <c r="GU143">
        <v>1</v>
      </c>
      <c r="GV143">
        <v>1</v>
      </c>
      <c r="GW143">
        <v>1</v>
      </c>
      <c r="GX143">
        <v>1</v>
      </c>
      <c r="GY143">
        <v>0</v>
      </c>
      <c r="GZ143">
        <v>0</v>
      </c>
      <c r="HB143" t="s">
        <v>839</v>
      </c>
    </row>
    <row r="144" spans="1:210" x14ac:dyDescent="0.35">
      <c r="A144" t="s">
        <v>1753</v>
      </c>
      <c r="B144" s="151">
        <v>45215.333391203712</v>
      </c>
      <c r="C144" t="s">
        <v>1754</v>
      </c>
      <c r="D144" t="s">
        <v>1755</v>
      </c>
      <c r="E144" t="s">
        <v>875</v>
      </c>
      <c r="F144" t="s">
        <v>1756</v>
      </c>
      <c r="G144" t="s">
        <v>1756</v>
      </c>
      <c r="H144" t="s">
        <v>839</v>
      </c>
      <c r="I144" t="s">
        <v>896</v>
      </c>
      <c r="K144" t="s">
        <v>842</v>
      </c>
      <c r="O144">
        <v>266</v>
      </c>
      <c r="P144">
        <v>251</v>
      </c>
      <c r="Q144">
        <v>517</v>
      </c>
      <c r="S144" t="s">
        <v>841</v>
      </c>
      <c r="T144" t="s">
        <v>841</v>
      </c>
      <c r="U144" t="s">
        <v>841</v>
      </c>
      <c r="V144" t="s">
        <v>841</v>
      </c>
      <c r="W144" t="s">
        <v>841</v>
      </c>
      <c r="X144" t="s">
        <v>841</v>
      </c>
      <c r="Y144" t="s">
        <v>841</v>
      </c>
      <c r="Z144" t="s">
        <v>841</v>
      </c>
      <c r="AA144" t="s">
        <v>841</v>
      </c>
      <c r="AB144" t="s">
        <v>841</v>
      </c>
      <c r="AH144">
        <v>1</v>
      </c>
      <c r="AI144">
        <v>1</v>
      </c>
      <c r="AJ144">
        <v>2</v>
      </c>
      <c r="AK144">
        <v>2</v>
      </c>
      <c r="AL144">
        <v>2</v>
      </c>
      <c r="AM144">
        <v>2</v>
      </c>
      <c r="AN144">
        <v>1</v>
      </c>
      <c r="AO144">
        <v>1</v>
      </c>
      <c r="AP144">
        <v>1</v>
      </c>
      <c r="AQ144">
        <v>1</v>
      </c>
      <c r="AZ144" t="s">
        <v>841</v>
      </c>
      <c r="BM144" t="s">
        <v>841</v>
      </c>
      <c r="BS144" t="s">
        <v>841</v>
      </c>
      <c r="BV144" t="s">
        <v>839</v>
      </c>
      <c r="BW144" t="s">
        <v>758</v>
      </c>
      <c r="BX144" t="s">
        <v>839</v>
      </c>
      <c r="BY144" t="s">
        <v>759</v>
      </c>
      <c r="BZ144" t="s">
        <v>839</v>
      </c>
      <c r="CA144" t="s">
        <v>839</v>
      </c>
      <c r="CC144" t="s">
        <v>839</v>
      </c>
      <c r="CD144" t="s">
        <v>855</v>
      </c>
      <c r="CG144">
        <v>6</v>
      </c>
      <c r="CH144">
        <v>3</v>
      </c>
      <c r="CI144">
        <v>3</v>
      </c>
      <c r="CJ144">
        <v>0</v>
      </c>
      <c r="CK144" t="s">
        <v>877</v>
      </c>
      <c r="CM144" t="s">
        <v>844</v>
      </c>
      <c r="CN144">
        <v>1</v>
      </c>
      <c r="CO144">
        <v>0</v>
      </c>
      <c r="CP144">
        <v>0</v>
      </c>
      <c r="CQ144">
        <v>0</v>
      </c>
      <c r="CR144">
        <v>0</v>
      </c>
      <c r="CS144">
        <v>0</v>
      </c>
      <c r="CU144" t="s">
        <v>868</v>
      </c>
      <c r="CV144">
        <v>1</v>
      </c>
      <c r="CW144">
        <v>0</v>
      </c>
      <c r="CX144">
        <v>1</v>
      </c>
      <c r="CY144">
        <v>0</v>
      </c>
      <c r="CZ144">
        <v>0</v>
      </c>
      <c r="DA144">
        <v>0</v>
      </c>
      <c r="DB144">
        <v>0</v>
      </c>
      <c r="DC144">
        <v>0</v>
      </c>
      <c r="DD144">
        <v>1</v>
      </c>
      <c r="DE144">
        <v>1</v>
      </c>
      <c r="DF144">
        <v>0</v>
      </c>
      <c r="DJ144">
        <v>4</v>
      </c>
      <c r="DK144">
        <v>12</v>
      </c>
      <c r="DL144">
        <v>16</v>
      </c>
      <c r="DN144">
        <v>400</v>
      </c>
      <c r="DP144">
        <v>700</v>
      </c>
      <c r="DQ144" t="s">
        <v>908</v>
      </c>
      <c r="DR144">
        <v>1</v>
      </c>
      <c r="DS144">
        <v>1</v>
      </c>
      <c r="DT144">
        <v>1</v>
      </c>
      <c r="DU144">
        <v>0</v>
      </c>
      <c r="DV144">
        <v>1</v>
      </c>
      <c r="DW144">
        <v>0</v>
      </c>
      <c r="DX144">
        <v>0</v>
      </c>
      <c r="DY144">
        <v>0</v>
      </c>
      <c r="DZ144">
        <v>0</v>
      </c>
      <c r="EB144" t="s">
        <v>839</v>
      </c>
      <c r="EC144" t="s">
        <v>957</v>
      </c>
      <c r="ED144" t="s">
        <v>848</v>
      </c>
      <c r="EI144">
        <v>50</v>
      </c>
      <c r="EL144" t="s">
        <v>841</v>
      </c>
      <c r="ET144" t="s">
        <v>841</v>
      </c>
      <c r="EZ144" t="s">
        <v>841</v>
      </c>
      <c r="FA144">
        <v>5</v>
      </c>
      <c r="FB144" t="s">
        <v>841</v>
      </c>
      <c r="FL144" t="s">
        <v>841</v>
      </c>
      <c r="FM144">
        <v>515</v>
      </c>
      <c r="FO144">
        <v>9</v>
      </c>
      <c r="FP144">
        <v>11</v>
      </c>
      <c r="FQ144">
        <v>20</v>
      </c>
      <c r="FS144" t="s">
        <v>839</v>
      </c>
      <c r="FT144" t="s">
        <v>839</v>
      </c>
      <c r="FU144" t="s">
        <v>839</v>
      </c>
      <c r="FV144" t="s">
        <v>839</v>
      </c>
      <c r="FW144" t="s">
        <v>842</v>
      </c>
      <c r="FY144" t="s">
        <v>842</v>
      </c>
      <c r="FZ144" t="s">
        <v>842</v>
      </c>
      <c r="GA144" t="s">
        <v>842</v>
      </c>
      <c r="GB144" t="s">
        <v>839</v>
      </c>
      <c r="GC144" t="s">
        <v>839</v>
      </c>
      <c r="GD144" t="s">
        <v>839</v>
      </c>
      <c r="GE144" t="s">
        <v>1049</v>
      </c>
      <c r="GG144" t="s">
        <v>839</v>
      </c>
      <c r="GI144" t="s">
        <v>1757</v>
      </c>
      <c r="GJ144">
        <v>1</v>
      </c>
      <c r="GK144">
        <v>1</v>
      </c>
      <c r="GL144">
        <v>0</v>
      </c>
      <c r="GM144">
        <v>0</v>
      </c>
      <c r="GN144">
        <v>0</v>
      </c>
      <c r="GO144">
        <v>0</v>
      </c>
      <c r="GP144">
        <v>0</v>
      </c>
      <c r="GQ144">
        <v>0</v>
      </c>
      <c r="GR144">
        <v>0</v>
      </c>
      <c r="GS144">
        <v>0</v>
      </c>
      <c r="GT144">
        <v>0</v>
      </c>
      <c r="GU144">
        <v>1</v>
      </c>
      <c r="GV144">
        <v>1</v>
      </c>
      <c r="GW144">
        <v>1</v>
      </c>
      <c r="GX144">
        <v>1</v>
      </c>
      <c r="GY144">
        <v>0</v>
      </c>
      <c r="GZ144">
        <v>0</v>
      </c>
      <c r="HB144" t="s">
        <v>839</v>
      </c>
    </row>
    <row r="145" spans="1:211" x14ac:dyDescent="0.35">
      <c r="A145" t="s">
        <v>1758</v>
      </c>
      <c r="B145" s="151">
        <v>45239.756655092591</v>
      </c>
      <c r="C145" t="s">
        <v>1759</v>
      </c>
      <c r="D145" t="s">
        <v>1760</v>
      </c>
      <c r="E145" t="s">
        <v>835</v>
      </c>
      <c r="F145" t="s">
        <v>1761</v>
      </c>
      <c r="G145" t="s">
        <v>1762</v>
      </c>
      <c r="H145" t="s">
        <v>839</v>
      </c>
      <c r="I145" t="s">
        <v>838</v>
      </c>
      <c r="K145" t="s">
        <v>839</v>
      </c>
      <c r="L145" t="s">
        <v>887</v>
      </c>
      <c r="O145">
        <v>42</v>
      </c>
      <c r="P145">
        <v>60</v>
      </c>
      <c r="Q145">
        <v>101</v>
      </c>
      <c r="T145" t="s">
        <v>841</v>
      </c>
      <c r="U145" t="s">
        <v>841</v>
      </c>
      <c r="V145" t="s">
        <v>841</v>
      </c>
      <c r="W145" t="s">
        <v>841</v>
      </c>
      <c r="X145" t="s">
        <v>841</v>
      </c>
      <c r="Y145" t="s">
        <v>841</v>
      </c>
      <c r="Z145" t="s">
        <v>841</v>
      </c>
      <c r="AA145" t="s">
        <v>841</v>
      </c>
      <c r="AB145" t="s">
        <v>841</v>
      </c>
      <c r="AH145">
        <v>0</v>
      </c>
      <c r="AI145">
        <v>1</v>
      </c>
      <c r="AJ145">
        <v>1</v>
      </c>
      <c r="AK145">
        <v>1</v>
      </c>
      <c r="AL145">
        <v>1</v>
      </c>
      <c r="AM145">
        <v>1</v>
      </c>
      <c r="AN145">
        <v>1</v>
      </c>
      <c r="AO145">
        <v>1</v>
      </c>
      <c r="AP145">
        <v>1</v>
      </c>
      <c r="AQ145">
        <v>1</v>
      </c>
      <c r="AZ145" t="s">
        <v>841</v>
      </c>
      <c r="BM145" t="s">
        <v>841</v>
      </c>
      <c r="BS145" t="s">
        <v>841</v>
      </c>
      <c r="BV145" t="s">
        <v>839</v>
      </c>
      <c r="BW145" t="s">
        <v>759</v>
      </c>
      <c r="BX145" t="s">
        <v>839</v>
      </c>
      <c r="BY145" t="s">
        <v>759</v>
      </c>
      <c r="BZ145" t="s">
        <v>839</v>
      </c>
      <c r="CA145" t="s">
        <v>839</v>
      </c>
      <c r="CC145" t="s">
        <v>839</v>
      </c>
      <c r="CD145" t="s">
        <v>855</v>
      </c>
      <c r="CG145">
        <v>4</v>
      </c>
      <c r="CH145">
        <v>2</v>
      </c>
      <c r="CI145">
        <v>2</v>
      </c>
      <c r="CJ145">
        <v>0</v>
      </c>
      <c r="CK145" t="s">
        <v>877</v>
      </c>
      <c r="CM145" t="s">
        <v>844</v>
      </c>
      <c r="CN145">
        <v>1</v>
      </c>
      <c r="CO145">
        <v>0</v>
      </c>
      <c r="CP145">
        <v>0</v>
      </c>
      <c r="CQ145">
        <v>0</v>
      </c>
      <c r="CR145">
        <v>0</v>
      </c>
      <c r="CS145">
        <v>0</v>
      </c>
      <c r="CU145" t="s">
        <v>1301</v>
      </c>
      <c r="CV145">
        <v>1</v>
      </c>
      <c r="CW145">
        <v>0</v>
      </c>
      <c r="CX145">
        <v>1</v>
      </c>
      <c r="CY145">
        <v>0</v>
      </c>
      <c r="CZ145">
        <v>0</v>
      </c>
      <c r="DA145">
        <v>1</v>
      </c>
      <c r="DB145">
        <v>0</v>
      </c>
      <c r="DC145">
        <v>0</v>
      </c>
      <c r="DD145">
        <v>1</v>
      </c>
      <c r="DE145">
        <v>1</v>
      </c>
      <c r="DF145">
        <v>0</v>
      </c>
      <c r="DJ145">
        <v>5</v>
      </c>
      <c r="DK145">
        <v>4</v>
      </c>
      <c r="DL145">
        <v>9</v>
      </c>
      <c r="DN145">
        <v>350</v>
      </c>
      <c r="DP145">
        <v>600</v>
      </c>
      <c r="DQ145" t="s">
        <v>1763</v>
      </c>
      <c r="DR145">
        <v>0</v>
      </c>
      <c r="DS145">
        <v>1</v>
      </c>
      <c r="DT145">
        <v>0</v>
      </c>
      <c r="DU145">
        <v>0</v>
      </c>
      <c r="DV145">
        <v>0</v>
      </c>
      <c r="DW145">
        <v>0</v>
      </c>
      <c r="DX145">
        <v>0</v>
      </c>
      <c r="DY145">
        <v>0</v>
      </c>
      <c r="DZ145">
        <v>0</v>
      </c>
      <c r="EB145" t="s">
        <v>839</v>
      </c>
      <c r="EC145" t="s">
        <v>847</v>
      </c>
      <c r="ED145" t="s">
        <v>848</v>
      </c>
      <c r="EI145" s="157">
        <v>300</v>
      </c>
      <c r="EJ145" s="157"/>
      <c r="EK145" s="157"/>
      <c r="EL145" s="157"/>
      <c r="EM145" s="157" t="s">
        <v>841</v>
      </c>
      <c r="EN145" s="157"/>
      <c r="EO145" s="157">
        <v>400</v>
      </c>
      <c r="EP145" s="157"/>
      <c r="EQ145" s="157"/>
      <c r="ER145" s="157"/>
      <c r="ES145" s="157" t="s">
        <v>841</v>
      </c>
      <c r="ET145" s="157"/>
      <c r="EU145" s="157">
        <v>525</v>
      </c>
      <c r="EV145" s="157"/>
      <c r="EW145" s="157"/>
      <c r="EX145" s="157"/>
      <c r="EY145" s="157" t="s">
        <v>841</v>
      </c>
      <c r="EZ145" s="157"/>
      <c r="FA145" s="157">
        <v>6</v>
      </c>
      <c r="FB145" s="157" t="s">
        <v>841</v>
      </c>
      <c r="FC145" s="157"/>
      <c r="FD145" s="157"/>
      <c r="FE145" s="157"/>
      <c r="FF145" s="157"/>
      <c r="FG145" s="157">
        <v>6</v>
      </c>
      <c r="FH145" s="157" t="s">
        <v>841</v>
      </c>
      <c r="FI145" s="157"/>
      <c r="FJ145" s="157"/>
      <c r="FK145" s="157"/>
      <c r="FL145" s="157"/>
      <c r="FM145">
        <v>0</v>
      </c>
      <c r="FO145">
        <v>3</v>
      </c>
      <c r="FP145">
        <v>5</v>
      </c>
      <c r="FQ145">
        <v>8</v>
      </c>
      <c r="FS145" t="s">
        <v>839</v>
      </c>
      <c r="FT145" t="s">
        <v>839</v>
      </c>
      <c r="FU145" t="s">
        <v>839</v>
      </c>
      <c r="FV145" t="s">
        <v>839</v>
      </c>
      <c r="FW145" t="s">
        <v>839</v>
      </c>
      <c r="FX145" t="s">
        <v>890</v>
      </c>
      <c r="FY145" t="s">
        <v>839</v>
      </c>
      <c r="FZ145" t="s">
        <v>839</v>
      </c>
      <c r="GA145" t="s">
        <v>839</v>
      </c>
      <c r="GB145" t="s">
        <v>842</v>
      </c>
      <c r="GC145" t="s">
        <v>839</v>
      </c>
      <c r="GD145" t="s">
        <v>839</v>
      </c>
      <c r="GE145" t="s">
        <v>1049</v>
      </c>
      <c r="GG145" t="s">
        <v>839</v>
      </c>
      <c r="GI145" t="s">
        <v>882</v>
      </c>
      <c r="GJ145">
        <v>0</v>
      </c>
      <c r="GK145">
        <v>1</v>
      </c>
      <c r="GL145">
        <v>0</v>
      </c>
      <c r="GM145">
        <v>0</v>
      </c>
      <c r="GN145">
        <v>0</v>
      </c>
      <c r="GO145">
        <v>0</v>
      </c>
      <c r="GP145">
        <v>0</v>
      </c>
      <c r="GQ145">
        <v>0</v>
      </c>
      <c r="GR145">
        <v>0</v>
      </c>
      <c r="GS145">
        <v>0</v>
      </c>
      <c r="GT145">
        <v>0</v>
      </c>
      <c r="GU145">
        <v>0</v>
      </c>
      <c r="GV145">
        <v>0</v>
      </c>
      <c r="GW145">
        <v>0</v>
      </c>
      <c r="GX145">
        <v>0</v>
      </c>
      <c r="GY145">
        <v>0</v>
      </c>
      <c r="GZ145">
        <v>0</v>
      </c>
      <c r="HB145" t="s">
        <v>839</v>
      </c>
    </row>
    <row r="146" spans="1:211" x14ac:dyDescent="0.35">
      <c r="A146" t="s">
        <v>1764</v>
      </c>
      <c r="B146" s="151">
        <v>45240.417743055557</v>
      </c>
      <c r="C146" t="s">
        <v>1765</v>
      </c>
      <c r="D146" t="s">
        <v>1766</v>
      </c>
      <c r="E146" t="s">
        <v>875</v>
      </c>
      <c r="F146" t="s">
        <v>1767</v>
      </c>
      <c r="G146" t="s">
        <v>1768</v>
      </c>
      <c r="H146" t="s">
        <v>839</v>
      </c>
      <c r="I146" t="s">
        <v>838</v>
      </c>
      <c r="K146" t="s">
        <v>839</v>
      </c>
      <c r="L146" t="s">
        <v>887</v>
      </c>
      <c r="O146">
        <v>93</v>
      </c>
      <c r="P146">
        <v>106</v>
      </c>
      <c r="Q146">
        <v>199</v>
      </c>
      <c r="T146" t="s">
        <v>841</v>
      </c>
      <c r="V146" t="s">
        <v>841</v>
      </c>
      <c r="W146" t="s">
        <v>841</v>
      </c>
      <c r="X146" t="s">
        <v>841</v>
      </c>
      <c r="Y146" t="s">
        <v>841</v>
      </c>
      <c r="Z146" t="s">
        <v>841</v>
      </c>
      <c r="AA146" t="s">
        <v>841</v>
      </c>
      <c r="AB146" t="s">
        <v>841</v>
      </c>
      <c r="AC146" t="s">
        <v>841</v>
      </c>
      <c r="AD146" t="s">
        <v>841</v>
      </c>
      <c r="AE146" t="s">
        <v>841</v>
      </c>
      <c r="AF146" t="s">
        <v>841</v>
      </c>
      <c r="AH146">
        <v>0</v>
      </c>
      <c r="AI146">
        <v>1</v>
      </c>
      <c r="AJ146">
        <v>0</v>
      </c>
      <c r="AK146">
        <v>1</v>
      </c>
      <c r="AL146">
        <v>1</v>
      </c>
      <c r="AM146">
        <v>1</v>
      </c>
      <c r="AN146">
        <v>1</v>
      </c>
      <c r="AO146">
        <v>1</v>
      </c>
      <c r="AP146">
        <v>1</v>
      </c>
      <c r="AQ146">
        <v>1</v>
      </c>
      <c r="AR146">
        <v>1</v>
      </c>
      <c r="AS146">
        <v>1</v>
      </c>
      <c r="AT146">
        <v>1</v>
      </c>
      <c r="AU146">
        <v>1</v>
      </c>
      <c r="AW146">
        <v>4</v>
      </c>
      <c r="AX146">
        <v>1</v>
      </c>
      <c r="AY146">
        <v>5</v>
      </c>
      <c r="BB146">
        <v>0</v>
      </c>
      <c r="BC146">
        <v>0</v>
      </c>
      <c r="BD146">
        <v>0</v>
      </c>
      <c r="BF146">
        <v>2</v>
      </c>
      <c r="BG146">
        <v>1</v>
      </c>
      <c r="BH146">
        <v>3</v>
      </c>
      <c r="BJ146">
        <v>9</v>
      </c>
      <c r="BK146">
        <v>7</v>
      </c>
      <c r="BL146">
        <v>16</v>
      </c>
      <c r="BP146">
        <v>4</v>
      </c>
      <c r="BQ146">
        <v>1</v>
      </c>
      <c r="BR146">
        <v>5</v>
      </c>
      <c r="BV146" t="s">
        <v>842</v>
      </c>
      <c r="BX146" t="s">
        <v>839</v>
      </c>
      <c r="BY146" t="s">
        <v>759</v>
      </c>
      <c r="BZ146" t="s">
        <v>839</v>
      </c>
      <c r="CA146" t="s">
        <v>842</v>
      </c>
      <c r="CC146" t="s">
        <v>839</v>
      </c>
      <c r="CD146" t="s">
        <v>855</v>
      </c>
      <c r="CG146">
        <v>5</v>
      </c>
      <c r="CH146">
        <v>2</v>
      </c>
      <c r="CI146">
        <v>3</v>
      </c>
      <c r="CJ146">
        <v>0</v>
      </c>
      <c r="CK146" t="s">
        <v>626</v>
      </c>
      <c r="CL146" t="s">
        <v>1769</v>
      </c>
      <c r="CM146" t="s">
        <v>906</v>
      </c>
      <c r="CN146">
        <v>0</v>
      </c>
      <c r="CO146">
        <v>1</v>
      </c>
      <c r="CP146">
        <v>1</v>
      </c>
      <c r="CQ146">
        <v>0</v>
      </c>
      <c r="CR146">
        <v>0</v>
      </c>
      <c r="CS146">
        <v>0</v>
      </c>
      <c r="CU146" t="s">
        <v>1490</v>
      </c>
      <c r="CV146">
        <v>0</v>
      </c>
      <c r="CW146">
        <v>0</v>
      </c>
      <c r="CX146">
        <v>1</v>
      </c>
      <c r="CY146">
        <v>0</v>
      </c>
      <c r="CZ146">
        <v>0</v>
      </c>
      <c r="DA146">
        <v>0</v>
      </c>
      <c r="DB146">
        <v>0</v>
      </c>
      <c r="DC146">
        <v>0</v>
      </c>
      <c r="DD146">
        <v>0</v>
      </c>
      <c r="DE146">
        <v>0</v>
      </c>
      <c r="DF146">
        <v>0</v>
      </c>
      <c r="DJ146">
        <v>8</v>
      </c>
      <c r="DK146">
        <v>4</v>
      </c>
      <c r="DL146">
        <v>12</v>
      </c>
      <c r="DN146">
        <v>350</v>
      </c>
      <c r="DP146">
        <v>450</v>
      </c>
      <c r="DQ146" t="s">
        <v>1070</v>
      </c>
      <c r="DR146">
        <v>1</v>
      </c>
      <c r="DS146">
        <v>1</v>
      </c>
      <c r="DT146">
        <v>0</v>
      </c>
      <c r="DU146">
        <v>0</v>
      </c>
      <c r="DV146">
        <v>0</v>
      </c>
      <c r="DW146">
        <v>0</v>
      </c>
      <c r="DX146">
        <v>0</v>
      </c>
      <c r="DY146">
        <v>0</v>
      </c>
      <c r="DZ146">
        <v>0</v>
      </c>
      <c r="EB146" t="s">
        <v>842</v>
      </c>
      <c r="EC146" t="s">
        <v>847</v>
      </c>
      <c r="ED146" t="s">
        <v>848</v>
      </c>
      <c r="EI146">
        <v>250</v>
      </c>
      <c r="EM146" t="s">
        <v>841</v>
      </c>
      <c r="EO146">
        <v>250</v>
      </c>
      <c r="EU146">
        <v>250</v>
      </c>
      <c r="EY146" t="s">
        <v>841</v>
      </c>
      <c r="FA146">
        <v>6</v>
      </c>
      <c r="FB146" t="s">
        <v>841</v>
      </c>
      <c r="FG146">
        <v>4</v>
      </c>
      <c r="FH146" t="s">
        <v>841</v>
      </c>
      <c r="FM146">
        <v>390</v>
      </c>
      <c r="FO146">
        <v>10</v>
      </c>
      <c r="FP146">
        <v>5</v>
      </c>
      <c r="FQ146">
        <v>15</v>
      </c>
      <c r="FS146" t="s">
        <v>842</v>
      </c>
      <c r="FT146" t="s">
        <v>842</v>
      </c>
      <c r="FU146" t="s">
        <v>839</v>
      </c>
      <c r="FV146" t="s">
        <v>839</v>
      </c>
      <c r="FW146" t="s">
        <v>842</v>
      </c>
      <c r="FY146" t="s">
        <v>842</v>
      </c>
      <c r="FZ146" t="s">
        <v>839</v>
      </c>
      <c r="GA146" t="s">
        <v>839</v>
      </c>
      <c r="GB146" t="s">
        <v>842</v>
      </c>
      <c r="GC146" t="s">
        <v>842</v>
      </c>
      <c r="GD146" t="s">
        <v>842</v>
      </c>
      <c r="GG146" t="s">
        <v>668</v>
      </c>
      <c r="GI146" t="s">
        <v>1770</v>
      </c>
      <c r="GJ146">
        <v>0</v>
      </c>
      <c r="GK146">
        <v>0</v>
      </c>
      <c r="GL146">
        <v>1</v>
      </c>
      <c r="GM146">
        <v>0</v>
      </c>
      <c r="GN146">
        <v>0</v>
      </c>
      <c r="GO146">
        <v>0</v>
      </c>
      <c r="GP146">
        <v>0</v>
      </c>
      <c r="GQ146">
        <v>0</v>
      </c>
      <c r="GR146">
        <v>0</v>
      </c>
      <c r="GS146">
        <v>0</v>
      </c>
      <c r="GT146">
        <v>0</v>
      </c>
      <c r="GU146">
        <v>1</v>
      </c>
      <c r="GV146">
        <v>1</v>
      </c>
      <c r="GW146">
        <v>1</v>
      </c>
      <c r="GX146">
        <v>0</v>
      </c>
      <c r="GY146">
        <v>1</v>
      </c>
      <c r="GZ146">
        <v>0</v>
      </c>
      <c r="HA146" t="s">
        <v>1771</v>
      </c>
      <c r="HB146" t="s">
        <v>839</v>
      </c>
    </row>
    <row r="147" spans="1:211" x14ac:dyDescent="0.35">
      <c r="A147" t="s">
        <v>1772</v>
      </c>
      <c r="B147" s="151">
        <v>45240.464548611111</v>
      </c>
      <c r="C147" t="s">
        <v>1773</v>
      </c>
      <c r="D147" t="s">
        <v>1774</v>
      </c>
      <c r="E147" t="s">
        <v>875</v>
      </c>
      <c r="F147" t="s">
        <v>1775</v>
      </c>
      <c r="G147" t="s">
        <v>1776</v>
      </c>
      <c r="H147" t="s">
        <v>839</v>
      </c>
      <c r="I147" t="s">
        <v>896</v>
      </c>
      <c r="K147" t="s">
        <v>839</v>
      </c>
      <c r="L147" t="s">
        <v>887</v>
      </c>
      <c r="O147">
        <v>195</v>
      </c>
      <c r="P147">
        <v>216</v>
      </c>
      <c r="Q147">
        <v>411</v>
      </c>
      <c r="S147" t="s">
        <v>841</v>
      </c>
      <c r="T147" t="s">
        <v>841</v>
      </c>
      <c r="U147" t="s">
        <v>841</v>
      </c>
      <c r="V147" t="s">
        <v>841</v>
      </c>
      <c r="W147" t="s">
        <v>841</v>
      </c>
      <c r="X147" t="s">
        <v>841</v>
      </c>
      <c r="Y147" t="s">
        <v>841</v>
      </c>
      <c r="Z147" t="s">
        <v>841</v>
      </c>
      <c r="AA147" t="s">
        <v>841</v>
      </c>
      <c r="AB147" t="s">
        <v>841</v>
      </c>
      <c r="AH147">
        <v>1</v>
      </c>
      <c r="AI147">
        <v>1</v>
      </c>
      <c r="AJ147">
        <v>1</v>
      </c>
      <c r="AK147">
        <v>1</v>
      </c>
      <c r="AL147">
        <v>1</v>
      </c>
      <c r="AM147">
        <v>1</v>
      </c>
      <c r="AN147">
        <v>1</v>
      </c>
      <c r="AO147">
        <v>1</v>
      </c>
      <c r="AP147">
        <v>1</v>
      </c>
      <c r="AQ147">
        <v>1</v>
      </c>
      <c r="AZ147" t="s">
        <v>841</v>
      </c>
      <c r="BV147" t="s">
        <v>839</v>
      </c>
      <c r="BW147" t="s">
        <v>759</v>
      </c>
      <c r="BX147" t="s">
        <v>839</v>
      </c>
      <c r="BY147" t="s">
        <v>950</v>
      </c>
      <c r="BZ147" t="s">
        <v>839</v>
      </c>
      <c r="CA147" t="s">
        <v>839</v>
      </c>
      <c r="CC147" t="s">
        <v>839</v>
      </c>
      <c r="CD147" t="s">
        <v>855</v>
      </c>
      <c r="CG147">
        <v>13</v>
      </c>
      <c r="CH147">
        <v>0</v>
      </c>
      <c r="CI147">
        <v>0</v>
      </c>
      <c r="CJ147">
        <v>13</v>
      </c>
      <c r="CK147" t="s">
        <v>877</v>
      </c>
      <c r="CM147" t="s">
        <v>626</v>
      </c>
      <c r="CN147">
        <v>0</v>
      </c>
      <c r="CO147">
        <v>0</v>
      </c>
      <c r="CP147">
        <v>0</v>
      </c>
      <c r="CQ147">
        <v>0</v>
      </c>
      <c r="CR147">
        <v>0</v>
      </c>
      <c r="CS147">
        <v>1</v>
      </c>
      <c r="CT147" t="s">
        <v>1777</v>
      </c>
      <c r="CU147" t="s">
        <v>1268</v>
      </c>
      <c r="CV147">
        <v>1</v>
      </c>
      <c r="CW147">
        <v>0</v>
      </c>
      <c r="CX147">
        <v>1</v>
      </c>
      <c r="CY147">
        <v>1</v>
      </c>
      <c r="CZ147">
        <v>0</v>
      </c>
      <c r="DA147">
        <v>1</v>
      </c>
      <c r="DB147">
        <v>0</v>
      </c>
      <c r="DC147">
        <v>1</v>
      </c>
      <c r="DD147">
        <v>1</v>
      </c>
      <c r="DE147">
        <v>1</v>
      </c>
      <c r="DF147">
        <v>0</v>
      </c>
      <c r="DJ147">
        <v>8</v>
      </c>
      <c r="DK147">
        <v>29</v>
      </c>
      <c r="DL147">
        <v>37</v>
      </c>
      <c r="DN147">
        <v>700</v>
      </c>
      <c r="DP147">
        <v>1600</v>
      </c>
      <c r="DQ147" t="s">
        <v>899</v>
      </c>
      <c r="DR147">
        <v>1</v>
      </c>
      <c r="DS147">
        <v>1</v>
      </c>
      <c r="DT147">
        <v>1</v>
      </c>
      <c r="DU147">
        <v>0</v>
      </c>
      <c r="DV147">
        <v>1</v>
      </c>
      <c r="DW147">
        <v>1</v>
      </c>
      <c r="DX147">
        <v>0</v>
      </c>
      <c r="DY147">
        <v>0</v>
      </c>
      <c r="DZ147">
        <v>0</v>
      </c>
      <c r="EB147" t="s">
        <v>842</v>
      </c>
      <c r="EC147" t="s">
        <v>869</v>
      </c>
      <c r="ED147" t="s">
        <v>848</v>
      </c>
      <c r="EI147">
        <v>200</v>
      </c>
      <c r="EM147" t="s">
        <v>841</v>
      </c>
      <c r="EO147">
        <v>200</v>
      </c>
      <c r="ES147" t="s">
        <v>841</v>
      </c>
      <c r="EU147">
        <v>300</v>
      </c>
      <c r="EY147" t="s">
        <v>841</v>
      </c>
      <c r="FF147" t="s">
        <v>841</v>
      </c>
      <c r="FL147" t="s">
        <v>841</v>
      </c>
      <c r="FM147">
        <v>400</v>
      </c>
      <c r="FO147">
        <v>7</v>
      </c>
      <c r="FP147">
        <v>4</v>
      </c>
      <c r="FQ147">
        <v>11</v>
      </c>
      <c r="FS147" t="s">
        <v>842</v>
      </c>
      <c r="FT147" t="s">
        <v>839</v>
      </c>
      <c r="FU147" t="s">
        <v>839</v>
      </c>
      <c r="FV147" t="s">
        <v>839</v>
      </c>
      <c r="FW147" t="s">
        <v>839</v>
      </c>
      <c r="FX147" t="s">
        <v>910</v>
      </c>
      <c r="FY147" t="s">
        <v>839</v>
      </c>
      <c r="FZ147" t="s">
        <v>842</v>
      </c>
      <c r="GA147" t="s">
        <v>839</v>
      </c>
      <c r="GB147" t="s">
        <v>839</v>
      </c>
      <c r="GC147" t="s">
        <v>842</v>
      </c>
      <c r="GD147" t="s">
        <v>839</v>
      </c>
      <c r="GE147" t="s">
        <v>929</v>
      </c>
      <c r="GG147" t="s">
        <v>839</v>
      </c>
      <c r="GI147" t="s">
        <v>1778</v>
      </c>
      <c r="GJ147">
        <v>1</v>
      </c>
      <c r="GK147">
        <v>0</v>
      </c>
      <c r="GL147">
        <v>0</v>
      </c>
      <c r="GM147">
        <v>0</v>
      </c>
      <c r="GN147">
        <v>0</v>
      </c>
      <c r="GO147">
        <v>0</v>
      </c>
      <c r="GP147">
        <v>0</v>
      </c>
      <c r="GQ147">
        <v>0</v>
      </c>
      <c r="GR147">
        <v>0</v>
      </c>
      <c r="GS147">
        <v>0</v>
      </c>
      <c r="GT147">
        <v>0</v>
      </c>
      <c r="GU147">
        <v>0</v>
      </c>
      <c r="GV147">
        <v>0</v>
      </c>
      <c r="GW147">
        <v>1</v>
      </c>
      <c r="GX147">
        <v>0</v>
      </c>
      <c r="GY147">
        <v>0</v>
      </c>
      <c r="GZ147">
        <v>0</v>
      </c>
      <c r="HB147" t="s">
        <v>839</v>
      </c>
    </row>
    <row r="148" spans="1:211" x14ac:dyDescent="0.35">
      <c r="A148" t="s">
        <v>1779</v>
      </c>
      <c r="B148" s="151">
        <v>45240.493854166663</v>
      </c>
      <c r="C148" t="s">
        <v>1780</v>
      </c>
      <c r="D148" t="s">
        <v>1781</v>
      </c>
      <c r="E148" t="s">
        <v>835</v>
      </c>
      <c r="F148" t="s">
        <v>1782</v>
      </c>
      <c r="G148" t="s">
        <v>839</v>
      </c>
      <c r="H148" t="s">
        <v>839</v>
      </c>
      <c r="I148" t="s">
        <v>896</v>
      </c>
      <c r="K148" t="s">
        <v>842</v>
      </c>
      <c r="O148">
        <v>77</v>
      </c>
      <c r="P148">
        <v>94</v>
      </c>
      <c r="Q148">
        <v>171</v>
      </c>
      <c r="T148" t="s">
        <v>841</v>
      </c>
      <c r="U148" t="s">
        <v>841</v>
      </c>
      <c r="V148" t="s">
        <v>841</v>
      </c>
      <c r="W148" t="s">
        <v>841</v>
      </c>
      <c r="X148" t="s">
        <v>841</v>
      </c>
      <c r="Y148" t="s">
        <v>841</v>
      </c>
      <c r="Z148" t="s">
        <v>841</v>
      </c>
      <c r="AA148" t="s">
        <v>841</v>
      </c>
      <c r="AI148">
        <v>1</v>
      </c>
      <c r="AJ148">
        <v>1</v>
      </c>
      <c r="AK148">
        <v>1</v>
      </c>
      <c r="AL148">
        <v>1</v>
      </c>
      <c r="AM148">
        <v>1</v>
      </c>
      <c r="AN148">
        <v>1</v>
      </c>
      <c r="AO148">
        <v>1</v>
      </c>
      <c r="AP148">
        <v>1</v>
      </c>
      <c r="AQ148">
        <v>0</v>
      </c>
      <c r="AR148">
        <v>0</v>
      </c>
      <c r="AS148">
        <v>0</v>
      </c>
      <c r="AT148">
        <v>0</v>
      </c>
      <c r="AU148">
        <v>0</v>
      </c>
      <c r="AZ148" t="s">
        <v>841</v>
      </c>
      <c r="BM148" t="s">
        <v>841</v>
      </c>
      <c r="BS148" t="s">
        <v>841</v>
      </c>
      <c r="BV148" t="s">
        <v>839</v>
      </c>
      <c r="BW148" t="s">
        <v>759</v>
      </c>
      <c r="BX148" t="s">
        <v>839</v>
      </c>
      <c r="BY148" t="s">
        <v>950</v>
      </c>
      <c r="BZ148" t="s">
        <v>839</v>
      </c>
      <c r="CA148" t="s">
        <v>839</v>
      </c>
      <c r="CC148" t="s">
        <v>839</v>
      </c>
      <c r="CD148" t="s">
        <v>855</v>
      </c>
      <c r="CG148">
        <v>2</v>
      </c>
      <c r="CH148">
        <v>1</v>
      </c>
      <c r="CI148">
        <v>1</v>
      </c>
      <c r="CJ148">
        <v>0</v>
      </c>
      <c r="CK148" t="s">
        <v>877</v>
      </c>
      <c r="CM148" t="s">
        <v>844</v>
      </c>
      <c r="CN148">
        <v>1</v>
      </c>
      <c r="CO148">
        <v>0</v>
      </c>
      <c r="CP148">
        <v>0</v>
      </c>
      <c r="CQ148">
        <v>0</v>
      </c>
      <c r="CR148">
        <v>0</v>
      </c>
      <c r="CS148">
        <v>0</v>
      </c>
      <c r="CU148" t="s">
        <v>926</v>
      </c>
      <c r="CV148">
        <v>1</v>
      </c>
      <c r="CW148">
        <v>0</v>
      </c>
      <c r="CX148">
        <v>1</v>
      </c>
      <c r="CY148">
        <v>1</v>
      </c>
      <c r="CZ148">
        <v>0</v>
      </c>
      <c r="DA148">
        <v>0</v>
      </c>
      <c r="DB148">
        <v>0</v>
      </c>
      <c r="DC148">
        <v>0</v>
      </c>
      <c r="DD148">
        <v>1</v>
      </c>
      <c r="DE148">
        <v>1</v>
      </c>
      <c r="DF148">
        <v>0</v>
      </c>
      <c r="DJ148">
        <v>2</v>
      </c>
      <c r="DK148">
        <v>10</v>
      </c>
      <c r="DL148">
        <v>12</v>
      </c>
      <c r="DN148">
        <v>250</v>
      </c>
      <c r="DP148">
        <v>500</v>
      </c>
      <c r="DQ148" t="s">
        <v>1334</v>
      </c>
      <c r="DR148">
        <v>0</v>
      </c>
      <c r="DS148">
        <v>0</v>
      </c>
      <c r="DT148">
        <v>1</v>
      </c>
      <c r="DU148">
        <v>0</v>
      </c>
      <c r="DV148">
        <v>0</v>
      </c>
      <c r="DW148">
        <v>0</v>
      </c>
      <c r="DX148">
        <v>1</v>
      </c>
      <c r="DY148">
        <v>0</v>
      </c>
      <c r="DZ148">
        <v>0</v>
      </c>
      <c r="EB148" t="s">
        <v>839</v>
      </c>
      <c r="EC148" t="s">
        <v>869</v>
      </c>
      <c r="ED148" t="s">
        <v>848</v>
      </c>
      <c r="EI148">
        <v>699</v>
      </c>
      <c r="EM148" t="s">
        <v>841</v>
      </c>
      <c r="ET148" t="s">
        <v>841</v>
      </c>
      <c r="EZ148" t="s">
        <v>841</v>
      </c>
      <c r="FA148">
        <v>4</v>
      </c>
      <c r="FB148" t="s">
        <v>841</v>
      </c>
      <c r="FG148">
        <v>4</v>
      </c>
      <c r="FH148" t="s">
        <v>841</v>
      </c>
      <c r="FM148">
        <v>1045</v>
      </c>
      <c r="FO148">
        <v>0</v>
      </c>
      <c r="FP148">
        <v>0</v>
      </c>
      <c r="FQ148">
        <v>0</v>
      </c>
      <c r="FS148" t="s">
        <v>839</v>
      </c>
      <c r="FT148" t="s">
        <v>839</v>
      </c>
      <c r="FU148" t="s">
        <v>839</v>
      </c>
      <c r="FV148" t="s">
        <v>842</v>
      </c>
      <c r="FW148" t="s">
        <v>839</v>
      </c>
      <c r="FX148" t="s">
        <v>880</v>
      </c>
      <c r="FY148" t="s">
        <v>839</v>
      </c>
      <c r="FZ148" t="s">
        <v>839</v>
      </c>
      <c r="GA148" t="s">
        <v>839</v>
      </c>
      <c r="GB148" t="s">
        <v>842</v>
      </c>
      <c r="GC148" t="s">
        <v>842</v>
      </c>
      <c r="GD148" t="s">
        <v>842</v>
      </c>
      <c r="GG148" t="s">
        <v>842</v>
      </c>
      <c r="GI148" t="s">
        <v>849</v>
      </c>
      <c r="GJ148">
        <v>1</v>
      </c>
      <c r="GK148">
        <v>0</v>
      </c>
      <c r="GL148">
        <v>0</v>
      </c>
      <c r="GM148">
        <v>0</v>
      </c>
      <c r="GN148">
        <v>0</v>
      </c>
      <c r="GO148">
        <v>0</v>
      </c>
      <c r="GP148">
        <v>0</v>
      </c>
      <c r="GQ148">
        <v>0</v>
      </c>
      <c r="GR148">
        <v>0</v>
      </c>
      <c r="GS148">
        <v>0</v>
      </c>
      <c r="GT148">
        <v>0</v>
      </c>
      <c r="GU148">
        <v>0</v>
      </c>
      <c r="GV148">
        <v>0</v>
      </c>
      <c r="GW148">
        <v>0</v>
      </c>
      <c r="GX148">
        <v>0</v>
      </c>
      <c r="GY148">
        <v>0</v>
      </c>
      <c r="GZ148">
        <v>0</v>
      </c>
      <c r="HB148" t="s">
        <v>839</v>
      </c>
    </row>
    <row r="149" spans="1:211" x14ac:dyDescent="0.35">
      <c r="A149" t="s">
        <v>1783</v>
      </c>
      <c r="B149" s="151">
        <v>45240.707141203697</v>
      </c>
      <c r="C149" t="s">
        <v>1784</v>
      </c>
      <c r="D149" t="s">
        <v>1785</v>
      </c>
      <c r="E149" t="s">
        <v>875</v>
      </c>
      <c r="F149" t="s">
        <v>1786</v>
      </c>
      <c r="G149" t="s">
        <v>1787</v>
      </c>
      <c r="H149" t="s">
        <v>839</v>
      </c>
      <c r="I149" t="s">
        <v>896</v>
      </c>
      <c r="K149" t="s">
        <v>839</v>
      </c>
      <c r="L149" t="s">
        <v>887</v>
      </c>
      <c r="O149">
        <v>56</v>
      </c>
      <c r="P149">
        <v>51</v>
      </c>
      <c r="Q149">
        <v>107</v>
      </c>
      <c r="S149" t="s">
        <v>841</v>
      </c>
      <c r="T149" t="s">
        <v>841</v>
      </c>
      <c r="U149" t="s">
        <v>841</v>
      </c>
      <c r="V149" t="s">
        <v>841</v>
      </c>
      <c r="W149" t="s">
        <v>841</v>
      </c>
      <c r="X149" t="s">
        <v>841</v>
      </c>
      <c r="Y149" t="s">
        <v>841</v>
      </c>
      <c r="Z149" t="s">
        <v>841</v>
      </c>
      <c r="AA149" t="s">
        <v>841</v>
      </c>
      <c r="AB149" t="s">
        <v>841</v>
      </c>
      <c r="AC149" t="s">
        <v>841</v>
      </c>
      <c r="AD149" t="s">
        <v>841</v>
      </c>
      <c r="AE149" t="s">
        <v>841</v>
      </c>
      <c r="AF149" t="s">
        <v>841</v>
      </c>
      <c r="AW149">
        <v>2</v>
      </c>
      <c r="AX149">
        <v>4</v>
      </c>
      <c r="AY149">
        <v>6</v>
      </c>
      <c r="BB149">
        <v>2</v>
      </c>
      <c r="BC149">
        <v>2</v>
      </c>
      <c r="BD149">
        <v>4</v>
      </c>
      <c r="BF149">
        <v>1</v>
      </c>
      <c r="BG149">
        <v>1</v>
      </c>
      <c r="BH149">
        <v>2</v>
      </c>
      <c r="BJ149">
        <v>4</v>
      </c>
      <c r="BK149">
        <v>3</v>
      </c>
      <c r="BL149">
        <v>7</v>
      </c>
      <c r="BS149" t="s">
        <v>841</v>
      </c>
      <c r="BV149" t="s">
        <v>842</v>
      </c>
      <c r="BX149" t="s">
        <v>839</v>
      </c>
      <c r="BY149" t="s">
        <v>759</v>
      </c>
      <c r="BZ149" t="s">
        <v>839</v>
      </c>
      <c r="CA149" t="s">
        <v>839</v>
      </c>
      <c r="CC149" t="s">
        <v>839</v>
      </c>
      <c r="CD149" t="s">
        <v>855</v>
      </c>
      <c r="CG149">
        <v>12</v>
      </c>
      <c r="CH149">
        <v>6</v>
      </c>
      <c r="CI149">
        <v>6</v>
      </c>
      <c r="CJ149">
        <v>0</v>
      </c>
      <c r="CK149" t="s">
        <v>877</v>
      </c>
      <c r="CM149" t="s">
        <v>867</v>
      </c>
      <c r="CN149">
        <v>0</v>
      </c>
      <c r="CO149">
        <v>1</v>
      </c>
      <c r="CP149">
        <v>0</v>
      </c>
      <c r="CQ149">
        <v>0</v>
      </c>
      <c r="CR149">
        <v>0</v>
      </c>
      <c r="CS149">
        <v>0</v>
      </c>
      <c r="CU149" t="s">
        <v>1217</v>
      </c>
      <c r="CV149">
        <v>1</v>
      </c>
      <c r="CW149">
        <v>1</v>
      </c>
      <c r="CX149">
        <v>1</v>
      </c>
      <c r="CY149">
        <v>1</v>
      </c>
      <c r="CZ149">
        <v>0</v>
      </c>
      <c r="DA149">
        <v>1</v>
      </c>
      <c r="DB149">
        <v>1</v>
      </c>
      <c r="DC149">
        <v>1</v>
      </c>
      <c r="DD149">
        <v>1</v>
      </c>
      <c r="DE149">
        <v>1</v>
      </c>
      <c r="DF149">
        <v>0</v>
      </c>
      <c r="DJ149">
        <v>6</v>
      </c>
      <c r="DK149">
        <v>12</v>
      </c>
      <c r="DL149">
        <v>18</v>
      </c>
      <c r="DN149">
        <v>400</v>
      </c>
      <c r="DP149">
        <v>1000</v>
      </c>
      <c r="DQ149" t="s">
        <v>1082</v>
      </c>
      <c r="DR149">
        <v>0</v>
      </c>
      <c r="DS149">
        <v>1</v>
      </c>
      <c r="DT149">
        <v>1</v>
      </c>
      <c r="DU149">
        <v>0</v>
      </c>
      <c r="DV149">
        <v>0</v>
      </c>
      <c r="DW149">
        <v>0</v>
      </c>
      <c r="DX149">
        <v>0</v>
      </c>
      <c r="DY149">
        <v>0</v>
      </c>
      <c r="DZ149">
        <v>0</v>
      </c>
      <c r="EB149" t="s">
        <v>839</v>
      </c>
      <c r="EC149" t="s">
        <v>869</v>
      </c>
      <c r="ED149" t="s">
        <v>928</v>
      </c>
      <c r="EI149" s="157">
        <v>450</v>
      </c>
      <c r="EJ149" s="157"/>
      <c r="EK149" s="157"/>
      <c r="EL149" s="157"/>
      <c r="EM149" s="157" t="s">
        <v>841</v>
      </c>
      <c r="EN149" s="157"/>
      <c r="EO149" s="157">
        <v>450</v>
      </c>
      <c r="EP149" s="157"/>
      <c r="EQ149" s="157"/>
      <c r="ER149" s="157"/>
      <c r="ES149" s="157" t="s">
        <v>841</v>
      </c>
      <c r="ET149" s="157"/>
      <c r="EU149" s="157"/>
      <c r="EV149" s="157"/>
      <c r="EW149" s="157"/>
      <c r="EX149" s="157"/>
      <c r="EY149" s="157"/>
      <c r="EZ149" s="157" t="s">
        <v>841</v>
      </c>
      <c r="FA149" s="157">
        <v>7</v>
      </c>
      <c r="FB149" s="157" t="s">
        <v>841</v>
      </c>
      <c r="FC149" s="157"/>
      <c r="FD149" s="157"/>
      <c r="FE149" s="157"/>
      <c r="FF149" s="157"/>
      <c r="FG149" s="157">
        <v>5</v>
      </c>
      <c r="FH149" s="157" t="s">
        <v>841</v>
      </c>
      <c r="FI149" s="157"/>
      <c r="FJ149" s="157"/>
      <c r="FK149" s="157"/>
      <c r="FL149" s="157"/>
      <c r="FM149">
        <v>2200</v>
      </c>
      <c r="FO149">
        <v>2</v>
      </c>
      <c r="FP149">
        <v>3</v>
      </c>
      <c r="FQ149">
        <v>5</v>
      </c>
      <c r="FS149" t="s">
        <v>842</v>
      </c>
      <c r="FT149" t="s">
        <v>839</v>
      </c>
      <c r="FU149" t="s">
        <v>842</v>
      </c>
      <c r="FV149" t="s">
        <v>839</v>
      </c>
      <c r="FW149" t="s">
        <v>839</v>
      </c>
      <c r="FX149" t="s">
        <v>890</v>
      </c>
      <c r="FY149" t="s">
        <v>842</v>
      </c>
      <c r="FZ149" t="s">
        <v>842</v>
      </c>
      <c r="GA149" t="s">
        <v>839</v>
      </c>
      <c r="GB149" t="s">
        <v>839</v>
      </c>
      <c r="GC149" t="s">
        <v>842</v>
      </c>
      <c r="GD149" t="s">
        <v>839</v>
      </c>
      <c r="GE149" t="s">
        <v>929</v>
      </c>
      <c r="GG149" t="s">
        <v>842</v>
      </c>
      <c r="GI149" t="s">
        <v>1788</v>
      </c>
      <c r="GJ149">
        <v>0</v>
      </c>
      <c r="GK149">
        <v>1</v>
      </c>
      <c r="GL149">
        <v>0</v>
      </c>
      <c r="GM149">
        <v>0</v>
      </c>
      <c r="GN149">
        <v>0</v>
      </c>
      <c r="GO149">
        <v>0</v>
      </c>
      <c r="GP149">
        <v>0</v>
      </c>
      <c r="GQ149">
        <v>0</v>
      </c>
      <c r="GR149">
        <v>0</v>
      </c>
      <c r="GS149">
        <v>0</v>
      </c>
      <c r="GT149">
        <v>0</v>
      </c>
      <c r="GU149">
        <v>1</v>
      </c>
      <c r="GV149">
        <v>0</v>
      </c>
      <c r="GW149">
        <v>1</v>
      </c>
      <c r="GX149">
        <v>0</v>
      </c>
      <c r="GY149">
        <v>0</v>
      </c>
      <c r="GZ149">
        <v>0</v>
      </c>
      <c r="HB149" t="s">
        <v>839</v>
      </c>
    </row>
    <row r="150" spans="1:211" x14ac:dyDescent="0.35">
      <c r="A150" t="s">
        <v>1789</v>
      </c>
      <c r="B150" s="151">
        <v>45240.736759259264</v>
      </c>
      <c r="C150" t="s">
        <v>1790</v>
      </c>
      <c r="D150" t="s">
        <v>1791</v>
      </c>
      <c r="E150" t="s">
        <v>835</v>
      </c>
      <c r="F150" t="s">
        <v>1792</v>
      </c>
      <c r="G150" t="s">
        <v>839</v>
      </c>
      <c r="H150" t="s">
        <v>837</v>
      </c>
      <c r="I150" t="s">
        <v>896</v>
      </c>
      <c r="K150" t="s">
        <v>839</v>
      </c>
      <c r="L150" t="s">
        <v>887</v>
      </c>
      <c r="O150">
        <v>70</v>
      </c>
      <c r="P150">
        <v>50</v>
      </c>
      <c r="Q150">
        <v>120</v>
      </c>
      <c r="S150" t="s">
        <v>841</v>
      </c>
      <c r="T150" t="s">
        <v>841</v>
      </c>
      <c r="U150" t="s">
        <v>841</v>
      </c>
      <c r="V150" t="s">
        <v>841</v>
      </c>
      <c r="W150" t="s">
        <v>841</v>
      </c>
      <c r="X150" t="s">
        <v>841</v>
      </c>
      <c r="Y150" t="s">
        <v>841</v>
      </c>
      <c r="Z150" t="s">
        <v>841</v>
      </c>
      <c r="AA150" t="s">
        <v>841</v>
      </c>
      <c r="AB150" t="s">
        <v>841</v>
      </c>
      <c r="AZ150" t="s">
        <v>841</v>
      </c>
      <c r="BM150" t="s">
        <v>841</v>
      </c>
      <c r="BS150" t="s">
        <v>841</v>
      </c>
      <c r="BV150" t="s">
        <v>842</v>
      </c>
      <c r="BX150" t="s">
        <v>839</v>
      </c>
      <c r="BY150" t="s">
        <v>759</v>
      </c>
      <c r="BZ150" t="s">
        <v>839</v>
      </c>
      <c r="CA150" t="s">
        <v>839</v>
      </c>
      <c r="CC150" t="s">
        <v>842</v>
      </c>
      <c r="CD150" t="s">
        <v>855</v>
      </c>
      <c r="CG150">
        <v>6</v>
      </c>
      <c r="CH150">
        <v>0</v>
      </c>
      <c r="CI150">
        <v>0</v>
      </c>
      <c r="CJ150">
        <v>6</v>
      </c>
      <c r="CK150" t="s">
        <v>877</v>
      </c>
      <c r="CM150" t="s">
        <v>867</v>
      </c>
      <c r="CN150">
        <v>0</v>
      </c>
      <c r="CO150">
        <v>1</v>
      </c>
      <c r="CP150">
        <v>0</v>
      </c>
      <c r="CQ150">
        <v>0</v>
      </c>
      <c r="CR150">
        <v>0</v>
      </c>
      <c r="CS150">
        <v>0</v>
      </c>
      <c r="CU150" t="s">
        <v>1249</v>
      </c>
      <c r="CV150">
        <v>1</v>
      </c>
      <c r="CW150">
        <v>0</v>
      </c>
      <c r="CX150">
        <v>1</v>
      </c>
      <c r="CY150">
        <v>1</v>
      </c>
      <c r="CZ150">
        <v>0</v>
      </c>
      <c r="DA150">
        <v>0</v>
      </c>
      <c r="DB150">
        <v>0</v>
      </c>
      <c r="DC150">
        <v>0</v>
      </c>
      <c r="DD150">
        <v>0</v>
      </c>
      <c r="DE150">
        <v>0</v>
      </c>
      <c r="DF150">
        <v>0</v>
      </c>
      <c r="DJ150">
        <v>4</v>
      </c>
      <c r="DK150">
        <v>8</v>
      </c>
      <c r="DL150">
        <v>12</v>
      </c>
      <c r="DN150">
        <v>250</v>
      </c>
      <c r="DP150">
        <v>350</v>
      </c>
      <c r="DQ150" t="s">
        <v>879</v>
      </c>
      <c r="DR150">
        <v>1</v>
      </c>
      <c r="DS150">
        <v>0</v>
      </c>
      <c r="DT150">
        <v>0</v>
      </c>
      <c r="DU150">
        <v>0</v>
      </c>
      <c r="DV150">
        <v>1</v>
      </c>
      <c r="DW150">
        <v>0</v>
      </c>
      <c r="DX150">
        <v>0</v>
      </c>
      <c r="DY150">
        <v>0</v>
      </c>
      <c r="DZ150">
        <v>0</v>
      </c>
      <c r="EB150" t="s">
        <v>839</v>
      </c>
      <c r="EC150" t="s">
        <v>869</v>
      </c>
      <c r="ED150" t="s">
        <v>848</v>
      </c>
      <c r="EI150">
        <v>8</v>
      </c>
      <c r="EJ150" t="s">
        <v>841</v>
      </c>
      <c r="EO150">
        <v>8.5</v>
      </c>
      <c r="EP150" t="s">
        <v>841</v>
      </c>
      <c r="EU150">
        <v>9</v>
      </c>
      <c r="EV150" t="s">
        <v>841</v>
      </c>
      <c r="FA150">
        <v>5.5</v>
      </c>
      <c r="FB150" t="s">
        <v>841</v>
      </c>
      <c r="FG150">
        <v>3</v>
      </c>
      <c r="FH150" t="s">
        <v>841</v>
      </c>
      <c r="FM150">
        <v>530</v>
      </c>
      <c r="FO150">
        <v>5</v>
      </c>
      <c r="FP150">
        <v>5</v>
      </c>
      <c r="FQ150">
        <v>10</v>
      </c>
      <c r="FS150" t="s">
        <v>839</v>
      </c>
      <c r="FT150" t="s">
        <v>839</v>
      </c>
      <c r="FU150" t="s">
        <v>839</v>
      </c>
      <c r="FV150" t="s">
        <v>839</v>
      </c>
      <c r="FW150" t="s">
        <v>839</v>
      </c>
      <c r="FX150" t="s">
        <v>890</v>
      </c>
      <c r="FY150" t="s">
        <v>839</v>
      </c>
      <c r="FZ150" t="s">
        <v>839</v>
      </c>
      <c r="GA150" t="s">
        <v>839</v>
      </c>
      <c r="GB150" t="s">
        <v>839</v>
      </c>
      <c r="GC150" t="s">
        <v>839</v>
      </c>
      <c r="GD150" t="s">
        <v>842</v>
      </c>
      <c r="GG150" t="s">
        <v>668</v>
      </c>
      <c r="GI150" t="s">
        <v>1793</v>
      </c>
      <c r="GJ150">
        <v>1</v>
      </c>
      <c r="GK150">
        <v>0</v>
      </c>
      <c r="GL150">
        <v>1</v>
      </c>
      <c r="GM150">
        <v>0</v>
      </c>
      <c r="GN150">
        <v>1</v>
      </c>
      <c r="GO150">
        <v>1</v>
      </c>
      <c r="GP150">
        <v>1</v>
      </c>
      <c r="GQ150">
        <v>0</v>
      </c>
      <c r="GR150">
        <v>1</v>
      </c>
      <c r="GS150">
        <v>1</v>
      </c>
      <c r="GT150">
        <v>0</v>
      </c>
      <c r="GU150">
        <v>1</v>
      </c>
      <c r="GV150">
        <v>1</v>
      </c>
      <c r="GW150">
        <v>1</v>
      </c>
      <c r="GX150">
        <v>1</v>
      </c>
      <c r="GY150">
        <v>1</v>
      </c>
      <c r="GZ150">
        <v>0</v>
      </c>
      <c r="HA150" t="s">
        <v>1794</v>
      </c>
      <c r="HB150" t="s">
        <v>839</v>
      </c>
    </row>
    <row r="151" spans="1:211" x14ac:dyDescent="0.35">
      <c r="A151" t="s">
        <v>1795</v>
      </c>
      <c r="B151" s="151">
        <v>45240.844212962962</v>
      </c>
      <c r="C151" t="s">
        <v>1796</v>
      </c>
      <c r="D151" t="s">
        <v>1797</v>
      </c>
      <c r="E151" t="s">
        <v>835</v>
      </c>
      <c r="F151" t="s">
        <v>1798</v>
      </c>
      <c r="G151" t="s">
        <v>1799</v>
      </c>
      <c r="H151" t="s">
        <v>839</v>
      </c>
      <c r="I151" t="s">
        <v>896</v>
      </c>
      <c r="K151" t="s">
        <v>839</v>
      </c>
      <c r="L151" t="s">
        <v>897</v>
      </c>
      <c r="O151">
        <v>95</v>
      </c>
      <c r="P151">
        <v>87</v>
      </c>
      <c r="Q151">
        <v>182</v>
      </c>
      <c r="S151" t="s">
        <v>841</v>
      </c>
      <c r="T151" t="s">
        <v>841</v>
      </c>
      <c r="U151" t="s">
        <v>841</v>
      </c>
      <c r="V151" t="s">
        <v>841</v>
      </c>
      <c r="W151" t="s">
        <v>841</v>
      </c>
      <c r="X151" t="s">
        <v>841</v>
      </c>
      <c r="Y151" t="s">
        <v>841</v>
      </c>
      <c r="Z151" t="s">
        <v>841</v>
      </c>
      <c r="AA151" t="s">
        <v>841</v>
      </c>
      <c r="AB151" t="s">
        <v>841</v>
      </c>
      <c r="AC151" t="s">
        <v>841</v>
      </c>
      <c r="AD151" t="s">
        <v>841</v>
      </c>
      <c r="AF151" t="s">
        <v>841</v>
      </c>
      <c r="AH151">
        <v>1</v>
      </c>
      <c r="AI151">
        <v>1</v>
      </c>
      <c r="AJ151">
        <v>1</v>
      </c>
      <c r="AK151">
        <v>1</v>
      </c>
      <c r="AL151">
        <v>1</v>
      </c>
      <c r="AM151">
        <v>1</v>
      </c>
      <c r="AN151">
        <v>1</v>
      </c>
      <c r="AO151">
        <v>1</v>
      </c>
      <c r="AP151">
        <v>1</v>
      </c>
      <c r="AQ151">
        <v>1</v>
      </c>
      <c r="AR151">
        <v>1</v>
      </c>
      <c r="AS151">
        <v>1</v>
      </c>
      <c r="AU151">
        <v>1</v>
      </c>
      <c r="AZ151" t="s">
        <v>841</v>
      </c>
      <c r="BJ151">
        <v>6</v>
      </c>
      <c r="BK151">
        <v>2</v>
      </c>
      <c r="BL151">
        <v>8</v>
      </c>
      <c r="BS151" t="s">
        <v>841</v>
      </c>
      <c r="BV151" t="s">
        <v>839</v>
      </c>
      <c r="BW151" t="s">
        <v>758</v>
      </c>
      <c r="BX151" t="s">
        <v>839</v>
      </c>
      <c r="BY151" t="s">
        <v>759</v>
      </c>
      <c r="BZ151" t="s">
        <v>839</v>
      </c>
      <c r="CA151" t="s">
        <v>839</v>
      </c>
      <c r="CC151" t="s">
        <v>839</v>
      </c>
      <c r="CD151" t="s">
        <v>855</v>
      </c>
      <c r="CG151">
        <v>16</v>
      </c>
      <c r="CH151">
        <v>6</v>
      </c>
      <c r="CI151">
        <v>9</v>
      </c>
      <c r="CJ151">
        <v>1</v>
      </c>
      <c r="CK151" t="s">
        <v>877</v>
      </c>
      <c r="CM151" t="s">
        <v>1023</v>
      </c>
      <c r="CN151">
        <v>0</v>
      </c>
      <c r="CO151">
        <v>0</v>
      </c>
      <c r="CP151">
        <v>0</v>
      </c>
      <c r="CQ151">
        <v>1</v>
      </c>
      <c r="CR151">
        <v>0</v>
      </c>
      <c r="CS151">
        <v>0</v>
      </c>
      <c r="CU151" t="s">
        <v>994</v>
      </c>
      <c r="CV151">
        <v>1</v>
      </c>
      <c r="CW151">
        <v>0</v>
      </c>
      <c r="CX151">
        <v>1</v>
      </c>
      <c r="CY151">
        <v>0</v>
      </c>
      <c r="CZ151">
        <v>0</v>
      </c>
      <c r="DA151">
        <v>1</v>
      </c>
      <c r="DB151">
        <v>0</v>
      </c>
      <c r="DC151">
        <v>1</v>
      </c>
      <c r="DD151">
        <v>1</v>
      </c>
      <c r="DE151">
        <v>0</v>
      </c>
      <c r="DF151">
        <v>0</v>
      </c>
      <c r="DJ151">
        <v>9</v>
      </c>
      <c r="DK151">
        <v>9</v>
      </c>
      <c r="DL151">
        <v>18</v>
      </c>
      <c r="DN151">
        <v>1000</v>
      </c>
      <c r="DP151">
        <v>1600</v>
      </c>
      <c r="DQ151" t="s">
        <v>995</v>
      </c>
      <c r="DR151">
        <v>1</v>
      </c>
      <c r="DS151">
        <v>1</v>
      </c>
      <c r="DT151">
        <v>1</v>
      </c>
      <c r="DU151">
        <v>0</v>
      </c>
      <c r="DV151">
        <v>0</v>
      </c>
      <c r="DW151">
        <v>0</v>
      </c>
      <c r="DX151">
        <v>0</v>
      </c>
      <c r="DY151">
        <v>0</v>
      </c>
      <c r="DZ151">
        <v>0</v>
      </c>
      <c r="EB151" t="s">
        <v>839</v>
      </c>
      <c r="EC151" t="s">
        <v>869</v>
      </c>
      <c r="ED151" t="s">
        <v>848</v>
      </c>
      <c r="EI151">
        <v>200</v>
      </c>
      <c r="EM151" t="s">
        <v>841</v>
      </c>
      <c r="EO151">
        <v>250</v>
      </c>
      <c r="ES151" t="s">
        <v>841</v>
      </c>
      <c r="EZ151" t="s">
        <v>841</v>
      </c>
      <c r="FA151">
        <v>4</v>
      </c>
      <c r="FB151" t="s">
        <v>841</v>
      </c>
      <c r="FG151">
        <v>4</v>
      </c>
      <c r="FH151" t="s">
        <v>841</v>
      </c>
      <c r="FM151">
        <v>0</v>
      </c>
      <c r="FO151">
        <v>7</v>
      </c>
      <c r="FP151">
        <v>6</v>
      </c>
      <c r="FQ151">
        <v>13</v>
      </c>
      <c r="FS151" t="s">
        <v>839</v>
      </c>
      <c r="FT151" t="s">
        <v>839</v>
      </c>
      <c r="FU151" t="s">
        <v>839</v>
      </c>
      <c r="FV151" t="s">
        <v>839</v>
      </c>
      <c r="FW151" t="s">
        <v>839</v>
      </c>
      <c r="FX151" t="s">
        <v>1076</v>
      </c>
      <c r="FY151" t="s">
        <v>839</v>
      </c>
      <c r="FZ151" t="s">
        <v>842</v>
      </c>
      <c r="GA151" t="s">
        <v>839</v>
      </c>
      <c r="GB151" t="s">
        <v>839</v>
      </c>
      <c r="GC151" t="s">
        <v>842</v>
      </c>
      <c r="GD151" t="s">
        <v>839</v>
      </c>
      <c r="GE151" t="s">
        <v>929</v>
      </c>
      <c r="GG151" t="s">
        <v>842</v>
      </c>
      <c r="GI151" t="s">
        <v>1800</v>
      </c>
      <c r="GJ151">
        <v>1</v>
      </c>
      <c r="GK151">
        <v>0</v>
      </c>
      <c r="GL151">
        <v>0</v>
      </c>
      <c r="GM151">
        <v>0</v>
      </c>
      <c r="GN151">
        <v>0</v>
      </c>
      <c r="GO151">
        <v>1</v>
      </c>
      <c r="GP151">
        <v>0</v>
      </c>
      <c r="GQ151">
        <v>0</v>
      </c>
      <c r="GR151">
        <v>0</v>
      </c>
      <c r="GS151">
        <v>1</v>
      </c>
      <c r="GT151">
        <v>0</v>
      </c>
      <c r="GU151">
        <v>0</v>
      </c>
      <c r="GV151">
        <v>0</v>
      </c>
      <c r="GW151">
        <v>0</v>
      </c>
      <c r="GX151">
        <v>0</v>
      </c>
      <c r="GY151">
        <v>0</v>
      </c>
      <c r="GZ151">
        <v>0</v>
      </c>
      <c r="HB151" t="s">
        <v>839</v>
      </c>
    </row>
    <row r="152" spans="1:211" x14ac:dyDescent="0.35">
      <c r="A152" t="s">
        <v>1801</v>
      </c>
      <c r="B152" s="151">
        <v>45241.200173611112</v>
      </c>
      <c r="C152" t="s">
        <v>1802</v>
      </c>
      <c r="D152" t="s">
        <v>1803</v>
      </c>
      <c r="E152" t="s">
        <v>835</v>
      </c>
      <c r="F152" t="s">
        <v>1804</v>
      </c>
      <c r="H152" t="s">
        <v>839</v>
      </c>
      <c r="I152" t="s">
        <v>838</v>
      </c>
      <c r="K152" t="s">
        <v>842</v>
      </c>
      <c r="O152" s="98" t="s">
        <v>1805</v>
      </c>
      <c r="P152" s="98">
        <v>11</v>
      </c>
      <c r="Q152" s="98">
        <v>30</v>
      </c>
      <c r="U152" t="s">
        <v>841</v>
      </c>
      <c r="W152" t="s">
        <v>841</v>
      </c>
      <c r="X152" t="s">
        <v>841</v>
      </c>
      <c r="AJ152">
        <v>1</v>
      </c>
      <c r="AL152">
        <v>1</v>
      </c>
      <c r="AM152">
        <v>1</v>
      </c>
      <c r="BV152" t="s">
        <v>842</v>
      </c>
      <c r="BX152" t="s">
        <v>842</v>
      </c>
      <c r="BZ152" t="s">
        <v>839</v>
      </c>
      <c r="CA152" t="s">
        <v>839</v>
      </c>
      <c r="CC152" t="s">
        <v>839</v>
      </c>
      <c r="CD152" t="s">
        <v>855</v>
      </c>
      <c r="CG152">
        <v>1</v>
      </c>
      <c r="CH152">
        <v>0</v>
      </c>
      <c r="CI152">
        <v>0</v>
      </c>
      <c r="CJ152">
        <v>1</v>
      </c>
      <c r="CK152" t="s">
        <v>681</v>
      </c>
      <c r="CM152" t="s">
        <v>867</v>
      </c>
      <c r="CN152">
        <v>0</v>
      </c>
      <c r="CO152">
        <v>1</v>
      </c>
      <c r="CP152">
        <v>0</v>
      </c>
      <c r="CQ152">
        <v>0</v>
      </c>
      <c r="CR152">
        <v>0</v>
      </c>
      <c r="CS152">
        <v>0</v>
      </c>
      <c r="CU152" t="s">
        <v>1280</v>
      </c>
      <c r="CV152">
        <v>0</v>
      </c>
      <c r="CW152">
        <v>0</v>
      </c>
      <c r="CX152">
        <v>1</v>
      </c>
      <c r="CY152">
        <v>0</v>
      </c>
      <c r="CZ152">
        <v>0</v>
      </c>
      <c r="DA152">
        <v>0</v>
      </c>
      <c r="DB152">
        <v>0</v>
      </c>
      <c r="DC152">
        <v>0</v>
      </c>
      <c r="DD152">
        <v>0</v>
      </c>
      <c r="DE152">
        <v>1</v>
      </c>
      <c r="DF152">
        <v>0</v>
      </c>
      <c r="DJ152">
        <v>0</v>
      </c>
      <c r="DK152">
        <v>3</v>
      </c>
      <c r="DL152">
        <v>3</v>
      </c>
      <c r="DN152">
        <v>300</v>
      </c>
      <c r="DP152">
        <v>500</v>
      </c>
      <c r="DQ152" t="s">
        <v>1040</v>
      </c>
      <c r="DR152">
        <v>0</v>
      </c>
      <c r="DS152">
        <v>0</v>
      </c>
      <c r="DT152">
        <v>1</v>
      </c>
      <c r="DU152">
        <v>0</v>
      </c>
      <c r="DV152">
        <v>0</v>
      </c>
      <c r="DW152">
        <v>0</v>
      </c>
      <c r="DX152">
        <v>0</v>
      </c>
      <c r="DY152">
        <v>0</v>
      </c>
      <c r="DZ152">
        <v>0</v>
      </c>
      <c r="EB152" t="s">
        <v>839</v>
      </c>
      <c r="EC152" t="s">
        <v>869</v>
      </c>
      <c r="ED152" t="s">
        <v>848</v>
      </c>
      <c r="EI152">
        <v>140</v>
      </c>
      <c r="EM152" t="s">
        <v>841</v>
      </c>
      <c r="EO152">
        <v>150</v>
      </c>
      <c r="ES152" t="s">
        <v>841</v>
      </c>
      <c r="EU152">
        <v>200</v>
      </c>
      <c r="EY152" t="s">
        <v>841</v>
      </c>
      <c r="FA152">
        <v>5</v>
      </c>
      <c r="FB152" t="s">
        <v>841</v>
      </c>
      <c r="FG152">
        <v>4</v>
      </c>
      <c r="FH152" t="s">
        <v>841</v>
      </c>
      <c r="FM152">
        <v>15</v>
      </c>
      <c r="FO152">
        <v>0</v>
      </c>
      <c r="FP152">
        <v>0</v>
      </c>
      <c r="FQ152">
        <v>0</v>
      </c>
      <c r="FS152" t="s">
        <v>842</v>
      </c>
      <c r="FT152" t="s">
        <v>839</v>
      </c>
      <c r="FU152" t="s">
        <v>839</v>
      </c>
      <c r="FV152" t="s">
        <v>842</v>
      </c>
      <c r="FW152" t="s">
        <v>842</v>
      </c>
      <c r="FY152" t="s">
        <v>842</v>
      </c>
      <c r="FZ152" t="s">
        <v>839</v>
      </c>
      <c r="GA152" t="s">
        <v>839</v>
      </c>
      <c r="GB152" t="s">
        <v>842</v>
      </c>
      <c r="GC152" t="s">
        <v>842</v>
      </c>
      <c r="GD152" t="s">
        <v>842</v>
      </c>
      <c r="GG152" t="s">
        <v>842</v>
      </c>
      <c r="GI152" t="s">
        <v>945</v>
      </c>
      <c r="GJ152">
        <v>1</v>
      </c>
      <c r="GK152">
        <v>0</v>
      </c>
      <c r="GL152">
        <v>0</v>
      </c>
      <c r="GM152">
        <v>0</v>
      </c>
      <c r="GN152">
        <v>0</v>
      </c>
      <c r="GO152">
        <v>0</v>
      </c>
      <c r="GP152">
        <v>0</v>
      </c>
      <c r="GQ152">
        <v>0</v>
      </c>
      <c r="GR152">
        <v>0</v>
      </c>
      <c r="GS152">
        <v>1</v>
      </c>
      <c r="GT152">
        <v>0</v>
      </c>
      <c r="GU152">
        <v>0</v>
      </c>
      <c r="GV152">
        <v>0</v>
      </c>
      <c r="GW152">
        <v>0</v>
      </c>
      <c r="GX152">
        <v>0</v>
      </c>
      <c r="GY152">
        <v>0</v>
      </c>
      <c r="GZ152">
        <v>0</v>
      </c>
      <c r="HB152" t="s">
        <v>839</v>
      </c>
    </row>
    <row r="153" spans="1:211" x14ac:dyDescent="0.35">
      <c r="A153" t="s">
        <v>1806</v>
      </c>
      <c r="B153" s="151">
        <v>45241.573657407411</v>
      </c>
      <c r="C153" t="s">
        <v>1807</v>
      </c>
      <c r="D153" t="s">
        <v>1808</v>
      </c>
      <c r="E153" t="s">
        <v>875</v>
      </c>
      <c r="F153" t="s">
        <v>1809</v>
      </c>
      <c r="G153" t="s">
        <v>1810</v>
      </c>
      <c r="H153" t="s">
        <v>839</v>
      </c>
      <c r="I153" t="s">
        <v>838</v>
      </c>
      <c r="K153" t="s">
        <v>842</v>
      </c>
      <c r="O153">
        <v>57</v>
      </c>
      <c r="P153">
        <v>54</v>
      </c>
      <c r="Q153">
        <v>111</v>
      </c>
      <c r="S153" t="s">
        <v>841</v>
      </c>
      <c r="T153" t="s">
        <v>841</v>
      </c>
      <c r="U153" t="s">
        <v>841</v>
      </c>
      <c r="V153" t="s">
        <v>841</v>
      </c>
      <c r="W153" t="s">
        <v>841</v>
      </c>
      <c r="X153" t="s">
        <v>841</v>
      </c>
      <c r="Y153" t="s">
        <v>841</v>
      </c>
      <c r="AH153">
        <v>1</v>
      </c>
      <c r="AI153">
        <v>1</v>
      </c>
      <c r="AJ153">
        <v>2</v>
      </c>
      <c r="AK153">
        <v>1</v>
      </c>
      <c r="AL153">
        <v>1</v>
      </c>
      <c r="AM153">
        <v>1</v>
      </c>
      <c r="AZ153" t="s">
        <v>841</v>
      </c>
      <c r="BJ153">
        <v>0</v>
      </c>
      <c r="BM153" t="s">
        <v>841</v>
      </c>
      <c r="BP153">
        <v>0</v>
      </c>
      <c r="BQ153">
        <v>0</v>
      </c>
      <c r="BR153">
        <v>0</v>
      </c>
      <c r="BV153" t="s">
        <v>842</v>
      </c>
      <c r="BX153" t="s">
        <v>842</v>
      </c>
      <c r="BZ153" t="s">
        <v>839</v>
      </c>
      <c r="CA153" t="s">
        <v>839</v>
      </c>
      <c r="CC153" t="s">
        <v>839</v>
      </c>
      <c r="CD153" t="s">
        <v>855</v>
      </c>
      <c r="CG153">
        <v>7</v>
      </c>
      <c r="CH153">
        <v>0</v>
      </c>
      <c r="CI153">
        <v>0</v>
      </c>
      <c r="CJ153">
        <v>7</v>
      </c>
      <c r="CK153" t="s">
        <v>866</v>
      </c>
      <c r="CM153" t="s">
        <v>844</v>
      </c>
      <c r="CN153">
        <v>1</v>
      </c>
      <c r="CO153">
        <v>0</v>
      </c>
      <c r="CP153">
        <v>0</v>
      </c>
      <c r="CQ153">
        <v>0</v>
      </c>
      <c r="CR153">
        <v>0</v>
      </c>
      <c r="CS153">
        <v>0</v>
      </c>
      <c r="CU153" t="s">
        <v>907</v>
      </c>
      <c r="CV153">
        <v>1</v>
      </c>
      <c r="CW153">
        <v>0</v>
      </c>
      <c r="CX153">
        <v>1</v>
      </c>
      <c r="CY153">
        <v>0</v>
      </c>
      <c r="CZ153">
        <v>0</v>
      </c>
      <c r="DA153">
        <v>0</v>
      </c>
      <c r="DB153">
        <v>0</v>
      </c>
      <c r="DC153">
        <v>0</v>
      </c>
      <c r="DD153">
        <v>1</v>
      </c>
      <c r="DE153">
        <v>0</v>
      </c>
      <c r="DF153">
        <v>0</v>
      </c>
      <c r="DJ153">
        <v>1</v>
      </c>
      <c r="DK153">
        <v>7</v>
      </c>
      <c r="DL153">
        <v>8</v>
      </c>
      <c r="DN153">
        <v>550</v>
      </c>
      <c r="DP153">
        <v>1000</v>
      </c>
      <c r="DQ153" t="s">
        <v>1236</v>
      </c>
      <c r="DR153">
        <v>0</v>
      </c>
      <c r="DS153">
        <v>0</v>
      </c>
      <c r="DT153">
        <v>1</v>
      </c>
      <c r="DU153">
        <v>0</v>
      </c>
      <c r="DV153">
        <v>0</v>
      </c>
      <c r="DW153">
        <v>1</v>
      </c>
      <c r="DX153">
        <v>0</v>
      </c>
      <c r="DY153">
        <v>0</v>
      </c>
      <c r="DZ153">
        <v>0</v>
      </c>
      <c r="EB153" t="s">
        <v>839</v>
      </c>
      <c r="EC153" t="s">
        <v>957</v>
      </c>
      <c r="ED153" t="s">
        <v>626</v>
      </c>
      <c r="EE153" t="s">
        <v>1811</v>
      </c>
      <c r="EI153">
        <v>650</v>
      </c>
      <c r="EM153" t="s">
        <v>841</v>
      </c>
      <c r="EO153">
        <v>700</v>
      </c>
      <c r="ES153" t="s">
        <v>841</v>
      </c>
      <c r="EZ153" t="s">
        <v>841</v>
      </c>
      <c r="FA153">
        <v>15</v>
      </c>
      <c r="FB153" t="s">
        <v>841</v>
      </c>
      <c r="FL153" t="s">
        <v>841</v>
      </c>
      <c r="FM153">
        <v>200</v>
      </c>
      <c r="FO153">
        <v>0</v>
      </c>
      <c r="FP153">
        <v>0</v>
      </c>
      <c r="FQ153">
        <v>0</v>
      </c>
      <c r="FS153" t="s">
        <v>842</v>
      </c>
      <c r="FT153" t="s">
        <v>839</v>
      </c>
      <c r="FU153" t="s">
        <v>839</v>
      </c>
      <c r="FV153" t="s">
        <v>842</v>
      </c>
      <c r="FW153" t="s">
        <v>839</v>
      </c>
      <c r="FX153" t="s">
        <v>890</v>
      </c>
      <c r="FY153" t="s">
        <v>842</v>
      </c>
      <c r="FZ153" t="s">
        <v>839</v>
      </c>
      <c r="GA153" t="s">
        <v>839</v>
      </c>
      <c r="GB153" t="s">
        <v>839</v>
      </c>
      <c r="GC153" t="s">
        <v>842</v>
      </c>
      <c r="GD153" t="s">
        <v>842</v>
      </c>
      <c r="GG153" t="s">
        <v>668</v>
      </c>
      <c r="GI153" t="s">
        <v>1076</v>
      </c>
      <c r="GJ153">
        <v>0</v>
      </c>
      <c r="GK153">
        <v>0</v>
      </c>
      <c r="GL153">
        <v>0</v>
      </c>
      <c r="GM153">
        <v>0</v>
      </c>
      <c r="GN153">
        <v>0</v>
      </c>
      <c r="GO153">
        <v>0</v>
      </c>
      <c r="GP153">
        <v>0</v>
      </c>
      <c r="GQ153">
        <v>0</v>
      </c>
      <c r="GR153">
        <v>0</v>
      </c>
      <c r="GS153">
        <v>0</v>
      </c>
      <c r="GT153">
        <v>0</v>
      </c>
      <c r="GU153">
        <v>0</v>
      </c>
      <c r="GV153">
        <v>0</v>
      </c>
      <c r="GW153">
        <v>0</v>
      </c>
      <c r="GX153">
        <v>0</v>
      </c>
      <c r="GY153">
        <v>0</v>
      </c>
      <c r="GZ153">
        <v>1</v>
      </c>
      <c r="HB153" t="s">
        <v>842</v>
      </c>
      <c r="HC153" t="s">
        <v>1812</v>
      </c>
    </row>
    <row r="154" spans="1:211" x14ac:dyDescent="0.35">
      <c r="A154" t="s">
        <v>1813</v>
      </c>
      <c r="B154" s="151">
        <v>45243.439467592587</v>
      </c>
      <c r="C154" t="s">
        <v>1814</v>
      </c>
      <c r="D154" t="s">
        <v>1815</v>
      </c>
      <c r="E154" t="s">
        <v>835</v>
      </c>
      <c r="F154" t="s">
        <v>1816</v>
      </c>
      <c r="G154" t="s">
        <v>1817</v>
      </c>
      <c r="H154" t="s">
        <v>839</v>
      </c>
      <c r="I154" t="s">
        <v>896</v>
      </c>
      <c r="K154" t="s">
        <v>839</v>
      </c>
      <c r="L154" t="s">
        <v>897</v>
      </c>
      <c r="O154">
        <v>52</v>
      </c>
      <c r="P154">
        <v>65</v>
      </c>
      <c r="Q154">
        <v>117</v>
      </c>
      <c r="T154" t="s">
        <v>841</v>
      </c>
      <c r="U154" t="s">
        <v>841</v>
      </c>
      <c r="V154" t="s">
        <v>841</v>
      </c>
      <c r="W154" t="s">
        <v>841</v>
      </c>
      <c r="X154" t="s">
        <v>841</v>
      </c>
      <c r="Y154" t="s">
        <v>841</v>
      </c>
      <c r="Z154" t="s">
        <v>841</v>
      </c>
      <c r="AA154" t="s">
        <v>841</v>
      </c>
      <c r="AB154" t="s">
        <v>841</v>
      </c>
      <c r="AC154" t="s">
        <v>841</v>
      </c>
      <c r="AD154" t="s">
        <v>841</v>
      </c>
      <c r="AH154">
        <v>0</v>
      </c>
      <c r="AI154">
        <v>1</v>
      </c>
      <c r="AJ154">
        <v>1</v>
      </c>
      <c r="AK154">
        <v>1</v>
      </c>
      <c r="AL154">
        <v>1</v>
      </c>
      <c r="AM154">
        <v>1</v>
      </c>
      <c r="AN154">
        <v>1</v>
      </c>
      <c r="AO154">
        <v>1</v>
      </c>
      <c r="AP154">
        <v>1</v>
      </c>
      <c r="AQ154">
        <v>1</v>
      </c>
      <c r="AR154">
        <v>1</v>
      </c>
      <c r="AS154">
        <v>1</v>
      </c>
      <c r="AT154">
        <v>0</v>
      </c>
      <c r="AU154">
        <v>0</v>
      </c>
      <c r="AZ154" t="s">
        <v>841</v>
      </c>
      <c r="BB154">
        <v>0</v>
      </c>
      <c r="BC154">
        <v>0</v>
      </c>
      <c r="BD154">
        <v>0</v>
      </c>
      <c r="BF154">
        <v>0</v>
      </c>
      <c r="BG154">
        <v>0</v>
      </c>
      <c r="BH154">
        <v>0</v>
      </c>
      <c r="BJ154">
        <v>3</v>
      </c>
      <c r="BK154">
        <v>1</v>
      </c>
      <c r="BL154">
        <v>4</v>
      </c>
      <c r="BP154">
        <v>0</v>
      </c>
      <c r="BQ154">
        <v>0</v>
      </c>
      <c r="BR154">
        <v>0</v>
      </c>
      <c r="BV154" t="s">
        <v>842</v>
      </c>
      <c r="BX154" t="s">
        <v>839</v>
      </c>
      <c r="BY154" t="s">
        <v>950</v>
      </c>
      <c r="BZ154" t="s">
        <v>839</v>
      </c>
      <c r="CA154" t="s">
        <v>839</v>
      </c>
      <c r="CC154" t="s">
        <v>839</v>
      </c>
      <c r="CD154" t="s">
        <v>855</v>
      </c>
      <c r="CG154">
        <v>5</v>
      </c>
      <c r="CH154">
        <v>2</v>
      </c>
      <c r="CI154">
        <v>2</v>
      </c>
      <c r="CJ154">
        <v>1</v>
      </c>
      <c r="CK154" t="s">
        <v>877</v>
      </c>
      <c r="CM154" t="s">
        <v>844</v>
      </c>
      <c r="CN154">
        <v>1</v>
      </c>
      <c r="CO154">
        <v>0</v>
      </c>
      <c r="CP154">
        <v>0</v>
      </c>
      <c r="CQ154">
        <v>0</v>
      </c>
      <c r="CR154">
        <v>0</v>
      </c>
      <c r="CS154">
        <v>0</v>
      </c>
      <c r="CU154" t="s">
        <v>1650</v>
      </c>
      <c r="CV154">
        <v>1</v>
      </c>
      <c r="CW154">
        <v>1</v>
      </c>
      <c r="CX154">
        <v>1</v>
      </c>
      <c r="CY154">
        <v>1</v>
      </c>
      <c r="CZ154">
        <v>0</v>
      </c>
      <c r="DA154">
        <v>0</v>
      </c>
      <c r="DB154">
        <v>1</v>
      </c>
      <c r="DC154">
        <v>0</v>
      </c>
      <c r="DD154">
        <v>1</v>
      </c>
      <c r="DE154">
        <v>1</v>
      </c>
      <c r="DF154">
        <v>0</v>
      </c>
      <c r="DJ154">
        <v>7</v>
      </c>
      <c r="DK154">
        <v>8</v>
      </c>
      <c r="DL154">
        <v>15</v>
      </c>
      <c r="DN154">
        <v>300</v>
      </c>
      <c r="DP154">
        <v>500</v>
      </c>
      <c r="DQ154" t="s">
        <v>1558</v>
      </c>
      <c r="DR154">
        <v>0</v>
      </c>
      <c r="DS154">
        <v>0</v>
      </c>
      <c r="DT154">
        <v>0</v>
      </c>
      <c r="DU154">
        <v>0</v>
      </c>
      <c r="DV154">
        <v>0</v>
      </c>
      <c r="DW154">
        <v>1</v>
      </c>
      <c r="DX154">
        <v>0</v>
      </c>
      <c r="DY154">
        <v>0</v>
      </c>
      <c r="DZ154">
        <v>0</v>
      </c>
      <c r="EB154" t="s">
        <v>842</v>
      </c>
      <c r="EC154" t="s">
        <v>869</v>
      </c>
      <c r="ED154" t="s">
        <v>900</v>
      </c>
      <c r="EI154">
        <v>700</v>
      </c>
      <c r="EM154" t="s">
        <v>841</v>
      </c>
      <c r="EO154">
        <v>700</v>
      </c>
      <c r="ES154" t="s">
        <v>841</v>
      </c>
      <c r="EU154">
        <v>1000</v>
      </c>
      <c r="EY154" t="s">
        <v>841</v>
      </c>
      <c r="FA154">
        <v>5</v>
      </c>
      <c r="FB154" t="s">
        <v>841</v>
      </c>
      <c r="FG154">
        <v>5</v>
      </c>
      <c r="FH154" t="s">
        <v>841</v>
      </c>
      <c r="FM154">
        <v>820</v>
      </c>
      <c r="FO154">
        <v>6</v>
      </c>
      <c r="FP154">
        <v>4</v>
      </c>
      <c r="FQ154">
        <v>10</v>
      </c>
      <c r="FS154" t="s">
        <v>842</v>
      </c>
      <c r="FT154" t="s">
        <v>842</v>
      </c>
      <c r="FU154" t="s">
        <v>839</v>
      </c>
      <c r="FV154" t="s">
        <v>839</v>
      </c>
      <c r="FW154" t="s">
        <v>842</v>
      </c>
      <c r="FY154" t="s">
        <v>842</v>
      </c>
      <c r="FZ154" t="s">
        <v>842</v>
      </c>
      <c r="GA154" t="s">
        <v>842</v>
      </c>
      <c r="GB154" t="s">
        <v>842</v>
      </c>
      <c r="GC154" t="s">
        <v>842</v>
      </c>
      <c r="GD154" t="s">
        <v>842</v>
      </c>
      <c r="GG154" t="s">
        <v>842</v>
      </c>
      <c r="GI154" t="s">
        <v>1818</v>
      </c>
      <c r="GJ154">
        <v>0</v>
      </c>
      <c r="GK154">
        <v>0</v>
      </c>
      <c r="GL154">
        <v>0</v>
      </c>
      <c r="GM154">
        <v>0</v>
      </c>
      <c r="GN154">
        <v>0</v>
      </c>
      <c r="GO154">
        <v>1</v>
      </c>
      <c r="GP154">
        <v>0</v>
      </c>
      <c r="GQ154">
        <v>0</v>
      </c>
      <c r="GR154">
        <v>0</v>
      </c>
      <c r="GS154">
        <v>0</v>
      </c>
      <c r="GT154">
        <v>0</v>
      </c>
      <c r="GU154">
        <v>0</v>
      </c>
      <c r="GV154">
        <v>1</v>
      </c>
      <c r="GW154">
        <v>1</v>
      </c>
      <c r="GX154">
        <v>1</v>
      </c>
      <c r="GY154">
        <v>0</v>
      </c>
      <c r="GZ154">
        <v>0</v>
      </c>
      <c r="HB154" t="s">
        <v>839</v>
      </c>
    </row>
    <row r="155" spans="1:211" x14ac:dyDescent="0.35">
      <c r="A155" t="s">
        <v>1819</v>
      </c>
      <c r="B155" s="151">
        <v>45243.721574074072</v>
      </c>
      <c r="C155" t="s">
        <v>1820</v>
      </c>
      <c r="D155" t="s">
        <v>1821</v>
      </c>
      <c r="E155" t="s">
        <v>835</v>
      </c>
      <c r="F155" t="s">
        <v>1822</v>
      </c>
      <c r="G155" t="s">
        <v>1822</v>
      </c>
      <c r="H155" t="s">
        <v>839</v>
      </c>
      <c r="I155" t="s">
        <v>838</v>
      </c>
      <c r="K155" t="s">
        <v>839</v>
      </c>
      <c r="L155" t="s">
        <v>887</v>
      </c>
      <c r="O155">
        <v>5</v>
      </c>
      <c r="P155">
        <v>11</v>
      </c>
      <c r="Q155">
        <v>16</v>
      </c>
      <c r="S155" t="s">
        <v>841</v>
      </c>
      <c r="U155" t="s">
        <v>841</v>
      </c>
      <c r="W155" t="s">
        <v>841</v>
      </c>
      <c r="AH155">
        <v>1</v>
      </c>
      <c r="AJ155">
        <v>1</v>
      </c>
      <c r="AL155">
        <v>1</v>
      </c>
      <c r="AZ155" t="s">
        <v>841</v>
      </c>
      <c r="BV155" t="s">
        <v>842</v>
      </c>
      <c r="BX155" t="s">
        <v>842</v>
      </c>
      <c r="BZ155" t="s">
        <v>839</v>
      </c>
      <c r="CA155" t="s">
        <v>682</v>
      </c>
      <c r="CC155" t="s">
        <v>839</v>
      </c>
      <c r="CD155" t="s">
        <v>855</v>
      </c>
      <c r="CG155">
        <v>2</v>
      </c>
      <c r="CH155">
        <v>1</v>
      </c>
      <c r="CI155">
        <v>1</v>
      </c>
      <c r="CJ155">
        <v>0</v>
      </c>
      <c r="CK155" t="s">
        <v>681</v>
      </c>
      <c r="CM155" t="s">
        <v>844</v>
      </c>
      <c r="CN155">
        <v>1</v>
      </c>
      <c r="CO155">
        <v>0</v>
      </c>
      <c r="CP155">
        <v>0</v>
      </c>
      <c r="CQ155">
        <v>0</v>
      </c>
      <c r="CR155">
        <v>0</v>
      </c>
      <c r="CS155">
        <v>0</v>
      </c>
      <c r="CU155" t="s">
        <v>868</v>
      </c>
      <c r="CV155">
        <v>1</v>
      </c>
      <c r="CW155">
        <v>0</v>
      </c>
      <c r="CX155">
        <v>1</v>
      </c>
      <c r="CY155">
        <v>0</v>
      </c>
      <c r="CZ155">
        <v>0</v>
      </c>
      <c r="DA155">
        <v>0</v>
      </c>
      <c r="DB155">
        <v>0</v>
      </c>
      <c r="DC155">
        <v>0</v>
      </c>
      <c r="DD155">
        <v>1</v>
      </c>
      <c r="DE155">
        <v>1</v>
      </c>
      <c r="DF155">
        <v>0</v>
      </c>
      <c r="DJ155">
        <v>0</v>
      </c>
      <c r="DK155">
        <v>4</v>
      </c>
      <c r="DL155">
        <v>4</v>
      </c>
      <c r="DN155">
        <v>250</v>
      </c>
      <c r="DP155">
        <v>450</v>
      </c>
      <c r="DQ155" t="s">
        <v>681</v>
      </c>
      <c r="DR155">
        <v>0</v>
      </c>
      <c r="DS155">
        <v>0</v>
      </c>
      <c r="DT155">
        <v>0</v>
      </c>
      <c r="DU155">
        <v>0</v>
      </c>
      <c r="DV155">
        <v>0</v>
      </c>
      <c r="DW155">
        <v>0</v>
      </c>
      <c r="DX155">
        <v>0</v>
      </c>
      <c r="DY155">
        <v>0</v>
      </c>
      <c r="DZ155">
        <v>1</v>
      </c>
      <c r="EB155" t="s">
        <v>842</v>
      </c>
      <c r="EC155" t="s">
        <v>909</v>
      </c>
      <c r="ED155" t="s">
        <v>848</v>
      </c>
      <c r="EI155">
        <v>50</v>
      </c>
      <c r="EL155" t="s">
        <v>841</v>
      </c>
      <c r="ET155" t="s">
        <v>841</v>
      </c>
      <c r="EZ155" t="s">
        <v>841</v>
      </c>
      <c r="FB155" t="s">
        <v>841</v>
      </c>
      <c r="FK155" t="s">
        <v>841</v>
      </c>
      <c r="FM155">
        <v>15</v>
      </c>
      <c r="FO155">
        <v>0</v>
      </c>
      <c r="FP155">
        <v>0</v>
      </c>
      <c r="FQ155">
        <v>0</v>
      </c>
      <c r="FS155" t="s">
        <v>842</v>
      </c>
      <c r="FT155" t="s">
        <v>842</v>
      </c>
      <c r="FU155" t="s">
        <v>839</v>
      </c>
      <c r="FV155" t="s">
        <v>839</v>
      </c>
      <c r="FW155" t="s">
        <v>842</v>
      </c>
      <c r="FY155" t="s">
        <v>842</v>
      </c>
      <c r="FZ155" t="s">
        <v>839</v>
      </c>
      <c r="GA155" t="s">
        <v>842</v>
      </c>
      <c r="GB155" t="s">
        <v>842</v>
      </c>
      <c r="GC155" t="s">
        <v>842</v>
      </c>
      <c r="GD155" t="s">
        <v>842</v>
      </c>
      <c r="GG155" t="s">
        <v>668</v>
      </c>
      <c r="GI155" t="s">
        <v>849</v>
      </c>
      <c r="GJ155">
        <v>1</v>
      </c>
      <c r="GK155">
        <v>0</v>
      </c>
      <c r="GL155">
        <v>0</v>
      </c>
      <c r="GM155">
        <v>0</v>
      </c>
      <c r="GN155">
        <v>0</v>
      </c>
      <c r="GO155">
        <v>0</v>
      </c>
      <c r="GP155">
        <v>0</v>
      </c>
      <c r="GQ155">
        <v>0</v>
      </c>
      <c r="GR155">
        <v>0</v>
      </c>
      <c r="GS155">
        <v>0</v>
      </c>
      <c r="GT155">
        <v>0</v>
      </c>
      <c r="GU155">
        <v>0</v>
      </c>
      <c r="GV155">
        <v>0</v>
      </c>
      <c r="GW155">
        <v>0</v>
      </c>
      <c r="GX155">
        <v>0</v>
      </c>
      <c r="GY155">
        <v>0</v>
      </c>
      <c r="GZ155">
        <v>0</v>
      </c>
      <c r="HB155" t="s">
        <v>839</v>
      </c>
    </row>
    <row r="156" spans="1:211" x14ac:dyDescent="0.35">
      <c r="A156" t="s">
        <v>1823</v>
      </c>
      <c r="B156" s="151">
        <v>45243.870474537027</v>
      </c>
      <c r="C156" t="s">
        <v>1824</v>
      </c>
      <c r="D156" t="s">
        <v>1825</v>
      </c>
      <c r="E156" t="s">
        <v>875</v>
      </c>
      <c r="F156" t="s">
        <v>1826</v>
      </c>
      <c r="H156" t="s">
        <v>837</v>
      </c>
      <c r="I156" t="s">
        <v>838</v>
      </c>
      <c r="K156" t="s">
        <v>842</v>
      </c>
      <c r="O156">
        <v>28</v>
      </c>
      <c r="P156">
        <v>32</v>
      </c>
      <c r="Q156">
        <v>60</v>
      </c>
      <c r="S156" t="s">
        <v>841</v>
      </c>
      <c r="AH156">
        <v>1</v>
      </c>
      <c r="AI156">
        <v>2</v>
      </c>
      <c r="AJ156">
        <v>2</v>
      </c>
      <c r="AK156">
        <v>1</v>
      </c>
      <c r="AL156">
        <v>1</v>
      </c>
      <c r="AM156">
        <v>1</v>
      </c>
      <c r="AZ156" t="s">
        <v>841</v>
      </c>
      <c r="BV156" t="s">
        <v>839</v>
      </c>
      <c r="BW156" t="s">
        <v>759</v>
      </c>
      <c r="BX156" t="s">
        <v>839</v>
      </c>
      <c r="BY156" t="s">
        <v>759</v>
      </c>
      <c r="BZ156" t="s">
        <v>839</v>
      </c>
      <c r="CA156" t="s">
        <v>839</v>
      </c>
      <c r="CC156" t="s">
        <v>839</v>
      </c>
      <c r="CD156" t="s">
        <v>855</v>
      </c>
      <c r="CG156">
        <v>5</v>
      </c>
      <c r="CH156">
        <v>2</v>
      </c>
      <c r="CI156">
        <v>2</v>
      </c>
      <c r="CJ156">
        <v>1</v>
      </c>
      <c r="CK156" t="s">
        <v>877</v>
      </c>
      <c r="CM156" t="s">
        <v>844</v>
      </c>
      <c r="CN156">
        <v>1</v>
      </c>
      <c r="CO156">
        <v>0</v>
      </c>
      <c r="CP156">
        <v>0</v>
      </c>
      <c r="CQ156">
        <v>0</v>
      </c>
      <c r="CR156">
        <v>0</v>
      </c>
      <c r="CS156">
        <v>0</v>
      </c>
      <c r="CU156" t="s">
        <v>1827</v>
      </c>
      <c r="CV156">
        <v>1</v>
      </c>
      <c r="CW156">
        <v>1</v>
      </c>
      <c r="CX156">
        <v>1</v>
      </c>
      <c r="CY156">
        <v>1</v>
      </c>
      <c r="CZ156">
        <v>0</v>
      </c>
      <c r="DA156">
        <v>0</v>
      </c>
      <c r="DB156">
        <v>0</v>
      </c>
      <c r="DC156">
        <v>1</v>
      </c>
      <c r="DD156">
        <v>1</v>
      </c>
      <c r="DE156">
        <v>0</v>
      </c>
      <c r="DF156">
        <v>1</v>
      </c>
      <c r="DJ156">
        <v>4</v>
      </c>
      <c r="DK156">
        <v>8</v>
      </c>
      <c r="DL156">
        <v>12</v>
      </c>
      <c r="DN156">
        <v>500</v>
      </c>
      <c r="DP156">
        <v>1500</v>
      </c>
      <c r="DQ156" t="s">
        <v>879</v>
      </c>
      <c r="DR156">
        <v>1</v>
      </c>
      <c r="DS156">
        <v>0</v>
      </c>
      <c r="DT156">
        <v>0</v>
      </c>
      <c r="DU156">
        <v>0</v>
      </c>
      <c r="DV156">
        <v>1</v>
      </c>
      <c r="DW156">
        <v>0</v>
      </c>
      <c r="DX156">
        <v>0</v>
      </c>
      <c r="DY156">
        <v>0</v>
      </c>
      <c r="DZ156">
        <v>0</v>
      </c>
      <c r="EB156" t="s">
        <v>839</v>
      </c>
      <c r="EC156" t="s">
        <v>869</v>
      </c>
      <c r="ED156" t="s">
        <v>848</v>
      </c>
      <c r="EI156">
        <v>5</v>
      </c>
      <c r="EJ156" t="s">
        <v>841</v>
      </c>
      <c r="EO156">
        <v>5</v>
      </c>
      <c r="EP156" t="s">
        <v>841</v>
      </c>
      <c r="EU156">
        <v>5</v>
      </c>
      <c r="EV156" t="s">
        <v>841</v>
      </c>
      <c r="FA156">
        <v>7</v>
      </c>
      <c r="FB156" t="s">
        <v>841</v>
      </c>
      <c r="FG156">
        <v>2</v>
      </c>
      <c r="FH156" t="s">
        <v>841</v>
      </c>
      <c r="FM156">
        <v>650</v>
      </c>
      <c r="FO156">
        <v>0</v>
      </c>
      <c r="FP156">
        <v>1</v>
      </c>
      <c r="FQ156">
        <v>1</v>
      </c>
      <c r="FS156" t="s">
        <v>839</v>
      </c>
      <c r="FT156" t="s">
        <v>839</v>
      </c>
      <c r="FU156" t="s">
        <v>839</v>
      </c>
      <c r="FV156" t="s">
        <v>839</v>
      </c>
      <c r="FW156" t="s">
        <v>842</v>
      </c>
      <c r="FY156" t="s">
        <v>839</v>
      </c>
      <c r="FZ156" t="s">
        <v>839</v>
      </c>
      <c r="GA156" t="s">
        <v>842</v>
      </c>
      <c r="GB156" t="s">
        <v>839</v>
      </c>
      <c r="GC156" t="s">
        <v>842</v>
      </c>
      <c r="GD156" t="s">
        <v>839</v>
      </c>
      <c r="GE156" t="s">
        <v>881</v>
      </c>
      <c r="GG156" t="s">
        <v>668</v>
      </c>
      <c r="GI156" t="s">
        <v>1800</v>
      </c>
      <c r="GJ156">
        <v>1</v>
      </c>
      <c r="GK156">
        <v>0</v>
      </c>
      <c r="GL156">
        <v>0</v>
      </c>
      <c r="GM156">
        <v>0</v>
      </c>
      <c r="GN156">
        <v>0</v>
      </c>
      <c r="GO156">
        <v>1</v>
      </c>
      <c r="GP156">
        <v>0</v>
      </c>
      <c r="GQ156">
        <v>0</v>
      </c>
      <c r="GR156">
        <v>0</v>
      </c>
      <c r="GS156">
        <v>1</v>
      </c>
      <c r="GT156">
        <v>0</v>
      </c>
      <c r="GU156">
        <v>0</v>
      </c>
      <c r="GV156">
        <v>0</v>
      </c>
      <c r="GW156">
        <v>0</v>
      </c>
      <c r="GX156">
        <v>0</v>
      </c>
      <c r="GY156">
        <v>0</v>
      </c>
      <c r="GZ156">
        <v>0</v>
      </c>
      <c r="HB156" t="s">
        <v>839</v>
      </c>
    </row>
    <row r="157" spans="1:211" x14ac:dyDescent="0.35">
      <c r="A157" t="s">
        <v>1828</v>
      </c>
      <c r="B157" s="151">
        <v>45244.354201388887</v>
      </c>
      <c r="C157" t="s">
        <v>1829</v>
      </c>
      <c r="D157" t="s">
        <v>1830</v>
      </c>
      <c r="E157" t="s">
        <v>835</v>
      </c>
      <c r="F157" t="s">
        <v>1831</v>
      </c>
      <c r="G157" t="s">
        <v>1831</v>
      </c>
      <c r="H157" t="s">
        <v>839</v>
      </c>
      <c r="I157" t="s">
        <v>838</v>
      </c>
      <c r="K157" t="s">
        <v>839</v>
      </c>
      <c r="L157" t="s">
        <v>887</v>
      </c>
      <c r="O157">
        <v>410</v>
      </c>
      <c r="P157">
        <v>437</v>
      </c>
      <c r="Q157">
        <v>847</v>
      </c>
      <c r="S157" t="s">
        <v>841</v>
      </c>
      <c r="T157" t="s">
        <v>841</v>
      </c>
      <c r="U157" t="s">
        <v>841</v>
      </c>
      <c r="V157" t="s">
        <v>841</v>
      </c>
      <c r="W157" t="s">
        <v>841</v>
      </c>
      <c r="X157" t="s">
        <v>841</v>
      </c>
      <c r="Y157" t="s">
        <v>841</v>
      </c>
      <c r="Z157" t="s">
        <v>841</v>
      </c>
      <c r="AA157" t="s">
        <v>841</v>
      </c>
      <c r="AB157" t="s">
        <v>841</v>
      </c>
      <c r="AC157" t="s">
        <v>841</v>
      </c>
      <c r="AD157" t="s">
        <v>841</v>
      </c>
      <c r="AE157" t="s">
        <v>841</v>
      </c>
      <c r="AF157" t="s">
        <v>841</v>
      </c>
      <c r="AH157">
        <v>2</v>
      </c>
      <c r="AI157">
        <v>2</v>
      </c>
      <c r="AJ157">
        <v>2</v>
      </c>
      <c r="AK157">
        <v>2</v>
      </c>
      <c r="AL157">
        <v>2</v>
      </c>
      <c r="AM157">
        <v>2</v>
      </c>
      <c r="AN157">
        <v>2</v>
      </c>
      <c r="AO157">
        <v>2</v>
      </c>
      <c r="AP157">
        <v>2</v>
      </c>
      <c r="AQ157">
        <v>2</v>
      </c>
      <c r="AR157">
        <v>2</v>
      </c>
      <c r="AS157">
        <v>1</v>
      </c>
      <c r="AT157">
        <v>1</v>
      </c>
      <c r="AU157">
        <v>1</v>
      </c>
      <c r="AW157">
        <v>3</v>
      </c>
      <c r="AX157">
        <v>7</v>
      </c>
      <c r="AY157">
        <v>10</v>
      </c>
      <c r="BF157">
        <v>1</v>
      </c>
      <c r="BH157">
        <v>1</v>
      </c>
      <c r="BP157">
        <v>3</v>
      </c>
      <c r="BQ157">
        <v>7</v>
      </c>
      <c r="BR157">
        <v>10</v>
      </c>
      <c r="BV157" t="s">
        <v>842</v>
      </c>
      <c r="BX157" t="s">
        <v>839</v>
      </c>
      <c r="BY157" t="s">
        <v>759</v>
      </c>
      <c r="BZ157" t="s">
        <v>839</v>
      </c>
      <c r="CA157" t="s">
        <v>839</v>
      </c>
      <c r="CC157" t="s">
        <v>839</v>
      </c>
      <c r="CD157" t="s">
        <v>855</v>
      </c>
      <c r="CG157">
        <v>18</v>
      </c>
      <c r="CH157">
        <v>9</v>
      </c>
      <c r="CI157">
        <v>9</v>
      </c>
      <c r="CJ157">
        <v>0</v>
      </c>
      <c r="CK157" t="s">
        <v>866</v>
      </c>
      <c r="CM157" t="s">
        <v>844</v>
      </c>
      <c r="CN157">
        <v>1</v>
      </c>
      <c r="CO157">
        <v>0</v>
      </c>
      <c r="CP157">
        <v>0</v>
      </c>
      <c r="CQ157">
        <v>0</v>
      </c>
      <c r="CR157">
        <v>0</v>
      </c>
      <c r="CS157">
        <v>0</v>
      </c>
      <c r="CU157" t="s">
        <v>907</v>
      </c>
      <c r="CV157">
        <v>1</v>
      </c>
      <c r="CW157">
        <v>0</v>
      </c>
      <c r="CX157">
        <v>1</v>
      </c>
      <c r="CY157">
        <v>0</v>
      </c>
      <c r="CZ157">
        <v>0</v>
      </c>
      <c r="DA157">
        <v>0</v>
      </c>
      <c r="DB157">
        <v>0</v>
      </c>
      <c r="DC157">
        <v>0</v>
      </c>
      <c r="DD157">
        <v>1</v>
      </c>
      <c r="DE157">
        <v>0</v>
      </c>
      <c r="DF157">
        <v>0</v>
      </c>
      <c r="DJ157">
        <v>18</v>
      </c>
      <c r="DK157">
        <v>24</v>
      </c>
      <c r="DL157">
        <v>42</v>
      </c>
      <c r="DN157">
        <v>500</v>
      </c>
      <c r="DP157">
        <v>1500</v>
      </c>
      <c r="DQ157" t="s">
        <v>1125</v>
      </c>
      <c r="DR157">
        <v>1</v>
      </c>
      <c r="DS157">
        <v>1</v>
      </c>
      <c r="DT157">
        <v>1</v>
      </c>
      <c r="DU157">
        <v>0</v>
      </c>
      <c r="DV157">
        <v>0</v>
      </c>
      <c r="DW157">
        <v>1</v>
      </c>
      <c r="DX157">
        <v>0</v>
      </c>
      <c r="DY157">
        <v>0</v>
      </c>
      <c r="DZ157">
        <v>0</v>
      </c>
      <c r="EB157" t="s">
        <v>839</v>
      </c>
      <c r="EC157" t="s">
        <v>1354</v>
      </c>
      <c r="ED157" t="s">
        <v>848</v>
      </c>
      <c r="EI157">
        <v>350</v>
      </c>
      <c r="EM157" t="s">
        <v>841</v>
      </c>
      <c r="EO157">
        <v>400</v>
      </c>
      <c r="ES157" t="s">
        <v>841</v>
      </c>
      <c r="EU157">
        <v>450</v>
      </c>
      <c r="EY157" t="s">
        <v>841</v>
      </c>
      <c r="FA157">
        <v>10</v>
      </c>
      <c r="FB157" t="s">
        <v>841</v>
      </c>
      <c r="FG157">
        <v>3</v>
      </c>
      <c r="FH157" t="s">
        <v>841</v>
      </c>
      <c r="FM157">
        <v>909</v>
      </c>
      <c r="FO157">
        <v>10</v>
      </c>
      <c r="FP157">
        <v>16</v>
      </c>
      <c r="FQ157">
        <v>26</v>
      </c>
      <c r="FS157" t="s">
        <v>842</v>
      </c>
      <c r="FT157" t="s">
        <v>842</v>
      </c>
      <c r="FU157" t="s">
        <v>839</v>
      </c>
      <c r="FV157" t="s">
        <v>839</v>
      </c>
      <c r="FW157" t="s">
        <v>839</v>
      </c>
      <c r="FX157" t="s">
        <v>880</v>
      </c>
      <c r="FY157" t="s">
        <v>842</v>
      </c>
      <c r="FZ157" t="s">
        <v>842</v>
      </c>
      <c r="GA157" t="s">
        <v>839</v>
      </c>
      <c r="GB157" t="s">
        <v>839</v>
      </c>
      <c r="GC157" t="s">
        <v>842</v>
      </c>
      <c r="GD157" t="s">
        <v>842</v>
      </c>
      <c r="GG157" t="s">
        <v>842</v>
      </c>
      <c r="GI157" t="s">
        <v>1832</v>
      </c>
      <c r="GJ157">
        <v>0</v>
      </c>
      <c r="GK157">
        <v>1</v>
      </c>
      <c r="GL157">
        <v>1</v>
      </c>
      <c r="GM157">
        <v>0</v>
      </c>
      <c r="GN157">
        <v>1</v>
      </c>
      <c r="GO157">
        <v>1</v>
      </c>
      <c r="GP157">
        <v>0</v>
      </c>
      <c r="GQ157">
        <v>0</v>
      </c>
      <c r="GR157">
        <v>1</v>
      </c>
      <c r="GS157">
        <v>0</v>
      </c>
      <c r="GT157">
        <v>1</v>
      </c>
      <c r="GU157">
        <v>0</v>
      </c>
      <c r="GV157">
        <v>0</v>
      </c>
      <c r="GW157">
        <v>0</v>
      </c>
      <c r="GX157">
        <v>1</v>
      </c>
      <c r="GY157">
        <v>0</v>
      </c>
      <c r="GZ157">
        <v>0</v>
      </c>
      <c r="HB157" t="s">
        <v>839</v>
      </c>
    </row>
    <row r="158" spans="1:211" x14ac:dyDescent="0.35">
      <c r="A158" t="s">
        <v>1833</v>
      </c>
      <c r="B158" s="151">
        <v>45244.362430555557</v>
      </c>
      <c r="C158" t="s">
        <v>1834</v>
      </c>
      <c r="D158" t="s">
        <v>1835</v>
      </c>
      <c r="E158" t="s">
        <v>835</v>
      </c>
      <c r="F158" t="s">
        <v>1836</v>
      </c>
      <c r="G158" t="s">
        <v>1837</v>
      </c>
      <c r="H158" t="s">
        <v>839</v>
      </c>
      <c r="I158" t="s">
        <v>838</v>
      </c>
      <c r="K158" t="s">
        <v>842</v>
      </c>
      <c r="O158">
        <v>32</v>
      </c>
      <c r="P158">
        <v>48</v>
      </c>
      <c r="Q158">
        <v>80</v>
      </c>
      <c r="S158" t="s">
        <v>841</v>
      </c>
      <c r="V158" t="s">
        <v>841</v>
      </c>
      <c r="W158" t="s">
        <v>841</v>
      </c>
      <c r="X158" t="s">
        <v>841</v>
      </c>
      <c r="Y158" t="s">
        <v>841</v>
      </c>
      <c r="Z158" t="s">
        <v>841</v>
      </c>
      <c r="AA158" t="s">
        <v>841</v>
      </c>
      <c r="AB158" t="s">
        <v>841</v>
      </c>
      <c r="AC158" t="s">
        <v>841</v>
      </c>
      <c r="AD158" t="s">
        <v>841</v>
      </c>
      <c r="AE158" t="s">
        <v>841</v>
      </c>
      <c r="AF158" t="s">
        <v>841</v>
      </c>
      <c r="AH158">
        <v>1</v>
      </c>
      <c r="AK158">
        <v>1</v>
      </c>
      <c r="AL158">
        <v>1</v>
      </c>
      <c r="AM158">
        <v>1</v>
      </c>
      <c r="AN158">
        <v>1</v>
      </c>
      <c r="AO158">
        <v>1</v>
      </c>
      <c r="AP158">
        <v>1</v>
      </c>
      <c r="AQ158">
        <v>1</v>
      </c>
      <c r="AR158">
        <v>1</v>
      </c>
      <c r="AS158">
        <v>1</v>
      </c>
      <c r="AT158">
        <v>1</v>
      </c>
      <c r="AU158">
        <v>1</v>
      </c>
      <c r="AW158">
        <v>6</v>
      </c>
      <c r="AX158">
        <v>7</v>
      </c>
      <c r="AY158">
        <v>14</v>
      </c>
      <c r="BB158">
        <v>3</v>
      </c>
      <c r="BJ158">
        <v>2</v>
      </c>
      <c r="BK158">
        <v>5</v>
      </c>
      <c r="BL158">
        <v>7</v>
      </c>
      <c r="BP158">
        <v>6</v>
      </c>
      <c r="BQ158">
        <v>7</v>
      </c>
      <c r="BR158">
        <v>13</v>
      </c>
      <c r="BV158" t="s">
        <v>839</v>
      </c>
      <c r="BW158" t="s">
        <v>759</v>
      </c>
      <c r="BX158" t="s">
        <v>842</v>
      </c>
      <c r="BZ158" t="s">
        <v>839</v>
      </c>
      <c r="CA158" t="s">
        <v>839</v>
      </c>
      <c r="CC158" t="s">
        <v>839</v>
      </c>
      <c r="CD158" t="s">
        <v>855</v>
      </c>
      <c r="CG158">
        <v>2</v>
      </c>
      <c r="CH158">
        <v>1</v>
      </c>
      <c r="CI158">
        <v>1</v>
      </c>
      <c r="CJ158">
        <v>0</v>
      </c>
      <c r="CK158" t="s">
        <v>877</v>
      </c>
      <c r="CM158" t="s">
        <v>844</v>
      </c>
      <c r="CN158">
        <v>1</v>
      </c>
      <c r="CO158">
        <v>0</v>
      </c>
      <c r="CP158">
        <v>0</v>
      </c>
      <c r="CQ158">
        <v>0</v>
      </c>
      <c r="CR158">
        <v>0</v>
      </c>
      <c r="CS158">
        <v>0</v>
      </c>
      <c r="CU158" t="s">
        <v>1838</v>
      </c>
      <c r="CV158">
        <v>1</v>
      </c>
      <c r="CW158">
        <v>0</v>
      </c>
      <c r="CX158">
        <v>1</v>
      </c>
      <c r="CY158">
        <v>1</v>
      </c>
      <c r="CZ158">
        <v>1</v>
      </c>
      <c r="DA158">
        <v>1</v>
      </c>
      <c r="DB158">
        <v>0</v>
      </c>
      <c r="DC158">
        <v>1</v>
      </c>
      <c r="DD158">
        <v>1</v>
      </c>
      <c r="DE158">
        <v>1</v>
      </c>
      <c r="DF158">
        <v>0</v>
      </c>
      <c r="DJ158">
        <v>9</v>
      </c>
      <c r="DK158">
        <v>6</v>
      </c>
      <c r="DL158">
        <v>15</v>
      </c>
      <c r="DN158">
        <v>400</v>
      </c>
      <c r="DP158">
        <v>600</v>
      </c>
      <c r="DQ158" t="s">
        <v>1181</v>
      </c>
      <c r="DR158">
        <v>1</v>
      </c>
      <c r="DS158">
        <v>0</v>
      </c>
      <c r="DT158">
        <v>1</v>
      </c>
      <c r="DU158">
        <v>0</v>
      </c>
      <c r="DV158">
        <v>1</v>
      </c>
      <c r="DW158">
        <v>0</v>
      </c>
      <c r="DX158">
        <v>0</v>
      </c>
      <c r="DY158">
        <v>0</v>
      </c>
      <c r="DZ158">
        <v>0</v>
      </c>
      <c r="EB158" t="s">
        <v>839</v>
      </c>
      <c r="EC158" t="s">
        <v>869</v>
      </c>
      <c r="ED158" t="s">
        <v>848</v>
      </c>
      <c r="EI158">
        <v>100</v>
      </c>
      <c r="EM158" t="s">
        <v>841</v>
      </c>
      <c r="EO158">
        <v>100</v>
      </c>
      <c r="ES158" t="s">
        <v>841</v>
      </c>
      <c r="EZ158" t="s">
        <v>841</v>
      </c>
      <c r="FA158">
        <v>15</v>
      </c>
      <c r="FB158" t="s">
        <v>841</v>
      </c>
      <c r="FG158">
        <v>5</v>
      </c>
      <c r="FH158" t="s">
        <v>841</v>
      </c>
      <c r="FM158">
        <v>20</v>
      </c>
      <c r="FO158">
        <v>0</v>
      </c>
      <c r="FP158">
        <v>0</v>
      </c>
      <c r="FQ158">
        <v>0</v>
      </c>
      <c r="FS158" t="s">
        <v>839</v>
      </c>
      <c r="FT158" t="s">
        <v>839</v>
      </c>
      <c r="FU158" t="s">
        <v>839</v>
      </c>
      <c r="FV158" t="s">
        <v>839</v>
      </c>
      <c r="FW158" t="s">
        <v>682</v>
      </c>
      <c r="FY158" t="s">
        <v>839</v>
      </c>
      <c r="FZ158" t="s">
        <v>839</v>
      </c>
      <c r="GA158" t="s">
        <v>839</v>
      </c>
      <c r="GB158" t="s">
        <v>839</v>
      </c>
      <c r="GC158" t="s">
        <v>839</v>
      </c>
      <c r="GD158" t="s">
        <v>839</v>
      </c>
      <c r="GE158" t="s">
        <v>881</v>
      </c>
      <c r="GG158" t="s">
        <v>839</v>
      </c>
      <c r="GI158" t="s">
        <v>1839</v>
      </c>
      <c r="GJ158">
        <v>0</v>
      </c>
      <c r="GK158">
        <v>1</v>
      </c>
      <c r="GL158">
        <v>1</v>
      </c>
      <c r="GM158">
        <v>0</v>
      </c>
      <c r="GN158">
        <v>1</v>
      </c>
      <c r="GO158">
        <v>1</v>
      </c>
      <c r="GP158">
        <v>0</v>
      </c>
      <c r="GQ158">
        <v>1</v>
      </c>
      <c r="GR158">
        <v>0</v>
      </c>
      <c r="GS158">
        <v>0</v>
      </c>
      <c r="GT158">
        <v>1</v>
      </c>
      <c r="GU158">
        <v>1</v>
      </c>
      <c r="GV158">
        <v>0</v>
      </c>
      <c r="GW158">
        <v>0</v>
      </c>
      <c r="GX158">
        <v>0</v>
      </c>
      <c r="GY158">
        <v>0</v>
      </c>
      <c r="GZ158">
        <v>0</v>
      </c>
      <c r="HB158" t="s">
        <v>839</v>
      </c>
    </row>
    <row r="159" spans="1:211" x14ac:dyDescent="0.35">
      <c r="A159" t="s">
        <v>1840</v>
      </c>
      <c r="B159" s="151">
        <v>45244.430231481478</v>
      </c>
      <c r="C159" t="s">
        <v>1841</v>
      </c>
      <c r="D159" t="s">
        <v>1842</v>
      </c>
      <c r="E159" t="s">
        <v>875</v>
      </c>
      <c r="F159" t="s">
        <v>1843</v>
      </c>
      <c r="G159" t="s">
        <v>1843</v>
      </c>
      <c r="H159" t="s">
        <v>839</v>
      </c>
      <c r="I159" t="s">
        <v>838</v>
      </c>
      <c r="K159" t="s">
        <v>839</v>
      </c>
      <c r="L159" t="s">
        <v>897</v>
      </c>
      <c r="O159">
        <v>238</v>
      </c>
      <c r="P159">
        <v>300</v>
      </c>
      <c r="Q159">
        <v>538</v>
      </c>
      <c r="S159" t="s">
        <v>841</v>
      </c>
      <c r="T159" t="s">
        <v>841</v>
      </c>
      <c r="U159" t="s">
        <v>841</v>
      </c>
      <c r="V159" t="s">
        <v>841</v>
      </c>
      <c r="W159" t="s">
        <v>841</v>
      </c>
      <c r="X159" t="s">
        <v>841</v>
      </c>
      <c r="Y159" t="s">
        <v>841</v>
      </c>
      <c r="Z159" t="s">
        <v>841</v>
      </c>
      <c r="AA159" t="s">
        <v>841</v>
      </c>
      <c r="AB159" t="s">
        <v>841</v>
      </c>
      <c r="AC159" t="s">
        <v>841</v>
      </c>
      <c r="AD159" t="s">
        <v>841</v>
      </c>
      <c r="AE159" t="s">
        <v>841</v>
      </c>
      <c r="AF159" t="s">
        <v>841</v>
      </c>
      <c r="AH159">
        <v>1</v>
      </c>
      <c r="AI159">
        <v>1</v>
      </c>
      <c r="AJ159">
        <v>1</v>
      </c>
      <c r="AK159">
        <v>1</v>
      </c>
      <c r="AL159">
        <v>1</v>
      </c>
      <c r="AM159">
        <v>1</v>
      </c>
      <c r="AN159">
        <v>1</v>
      </c>
      <c r="AO159">
        <v>1</v>
      </c>
      <c r="AP159">
        <v>1</v>
      </c>
      <c r="AQ159">
        <v>1</v>
      </c>
      <c r="AR159">
        <v>1</v>
      </c>
      <c r="AS159">
        <v>1</v>
      </c>
      <c r="AT159">
        <v>1</v>
      </c>
      <c r="AU159">
        <v>1</v>
      </c>
      <c r="AW159">
        <v>12</v>
      </c>
      <c r="AX159">
        <v>15</v>
      </c>
      <c r="AY159">
        <v>27</v>
      </c>
      <c r="BB159">
        <v>2</v>
      </c>
      <c r="BC159">
        <v>2</v>
      </c>
      <c r="BD159">
        <v>4</v>
      </c>
      <c r="BF159">
        <v>3</v>
      </c>
      <c r="BG159">
        <v>2</v>
      </c>
      <c r="BH159">
        <v>5</v>
      </c>
      <c r="BJ159">
        <v>13</v>
      </c>
      <c r="BK159">
        <v>11</v>
      </c>
      <c r="BL159">
        <v>24</v>
      </c>
      <c r="BP159">
        <v>12</v>
      </c>
      <c r="BQ159">
        <v>15</v>
      </c>
      <c r="BR159">
        <v>27</v>
      </c>
      <c r="BV159" t="s">
        <v>839</v>
      </c>
      <c r="BW159" t="s">
        <v>950</v>
      </c>
      <c r="BX159" t="s">
        <v>839</v>
      </c>
      <c r="BY159" t="s">
        <v>950</v>
      </c>
      <c r="BZ159" t="s">
        <v>839</v>
      </c>
      <c r="CA159" t="s">
        <v>839</v>
      </c>
      <c r="CC159" t="s">
        <v>842</v>
      </c>
      <c r="CD159" t="s">
        <v>855</v>
      </c>
      <c r="CG159">
        <v>2</v>
      </c>
      <c r="CH159">
        <v>1</v>
      </c>
      <c r="CI159">
        <v>1</v>
      </c>
      <c r="CJ159">
        <v>0</v>
      </c>
      <c r="CK159" t="s">
        <v>681</v>
      </c>
      <c r="CM159" t="s">
        <v>867</v>
      </c>
      <c r="CN159">
        <v>0</v>
      </c>
      <c r="CO159">
        <v>1</v>
      </c>
      <c r="CP159">
        <v>0</v>
      </c>
      <c r="CQ159">
        <v>0</v>
      </c>
      <c r="CR159">
        <v>0</v>
      </c>
      <c r="CS159">
        <v>0</v>
      </c>
      <c r="CU159" t="s">
        <v>987</v>
      </c>
      <c r="CV159">
        <v>1</v>
      </c>
      <c r="CW159">
        <v>0</v>
      </c>
      <c r="CX159">
        <v>1</v>
      </c>
      <c r="CY159">
        <v>0</v>
      </c>
      <c r="CZ159">
        <v>0</v>
      </c>
      <c r="DA159">
        <v>0</v>
      </c>
      <c r="DB159">
        <v>0</v>
      </c>
      <c r="DC159">
        <v>0</v>
      </c>
      <c r="DD159">
        <v>0</v>
      </c>
      <c r="DE159">
        <v>0</v>
      </c>
      <c r="DF159">
        <v>0</v>
      </c>
      <c r="DJ159">
        <v>11</v>
      </c>
      <c r="DK159">
        <v>8</v>
      </c>
      <c r="DL159">
        <v>19</v>
      </c>
      <c r="DN159">
        <v>450</v>
      </c>
      <c r="DP159">
        <v>740</v>
      </c>
      <c r="DQ159" t="s">
        <v>1844</v>
      </c>
      <c r="DR159">
        <v>1</v>
      </c>
      <c r="DS159">
        <v>1</v>
      </c>
      <c r="DT159">
        <v>0</v>
      </c>
      <c r="DU159">
        <v>0</v>
      </c>
      <c r="DV159">
        <v>1</v>
      </c>
      <c r="DW159">
        <v>1</v>
      </c>
      <c r="DX159">
        <v>0</v>
      </c>
      <c r="DY159">
        <v>0</v>
      </c>
      <c r="DZ159">
        <v>0</v>
      </c>
      <c r="EB159" t="s">
        <v>839</v>
      </c>
      <c r="EC159" t="s">
        <v>847</v>
      </c>
      <c r="ED159" t="s">
        <v>848</v>
      </c>
      <c r="EI159">
        <v>130</v>
      </c>
      <c r="EM159" t="s">
        <v>841</v>
      </c>
      <c r="EO159">
        <v>150</v>
      </c>
      <c r="ES159" t="s">
        <v>841</v>
      </c>
      <c r="EZ159" t="s">
        <v>841</v>
      </c>
      <c r="FA159">
        <v>6</v>
      </c>
      <c r="FB159" t="s">
        <v>841</v>
      </c>
      <c r="FL159" t="s">
        <v>841</v>
      </c>
      <c r="FM159">
        <v>600</v>
      </c>
      <c r="FO159">
        <v>0</v>
      </c>
      <c r="FP159">
        <v>0</v>
      </c>
      <c r="FQ159">
        <v>0</v>
      </c>
      <c r="FS159" t="s">
        <v>839</v>
      </c>
      <c r="FT159" t="s">
        <v>842</v>
      </c>
      <c r="FU159" t="s">
        <v>839</v>
      </c>
      <c r="FV159" t="s">
        <v>839</v>
      </c>
      <c r="FW159" t="s">
        <v>839</v>
      </c>
      <c r="FX159" t="s">
        <v>880</v>
      </c>
      <c r="FY159" t="s">
        <v>839</v>
      </c>
      <c r="FZ159" t="s">
        <v>839</v>
      </c>
      <c r="GA159" t="s">
        <v>839</v>
      </c>
      <c r="GB159" t="s">
        <v>839</v>
      </c>
      <c r="GC159" t="s">
        <v>842</v>
      </c>
      <c r="GD159" t="s">
        <v>842</v>
      </c>
      <c r="GG159" t="s">
        <v>842</v>
      </c>
      <c r="GI159" t="s">
        <v>1845</v>
      </c>
      <c r="GJ159">
        <v>0</v>
      </c>
      <c r="GK159">
        <v>1</v>
      </c>
      <c r="GL159">
        <v>0</v>
      </c>
      <c r="GM159">
        <v>1</v>
      </c>
      <c r="GN159">
        <v>0</v>
      </c>
      <c r="GO159">
        <v>0</v>
      </c>
      <c r="GP159">
        <v>0</v>
      </c>
      <c r="GQ159">
        <v>0</v>
      </c>
      <c r="GR159">
        <v>0</v>
      </c>
      <c r="GS159">
        <v>0</v>
      </c>
      <c r="GT159">
        <v>0</v>
      </c>
      <c r="GU159">
        <v>0</v>
      </c>
      <c r="GV159">
        <v>0</v>
      </c>
      <c r="GW159">
        <v>0</v>
      </c>
      <c r="GX159">
        <v>0</v>
      </c>
      <c r="GY159">
        <v>0</v>
      </c>
      <c r="GZ159">
        <v>0</v>
      </c>
      <c r="HB159" t="s">
        <v>839</v>
      </c>
    </row>
    <row r="160" spans="1:211" x14ac:dyDescent="0.35">
      <c r="A160" t="s">
        <v>1846</v>
      </c>
      <c r="B160" s="151">
        <v>45342.820497685178</v>
      </c>
      <c r="C160" t="s">
        <v>1847</v>
      </c>
      <c r="D160" t="s">
        <v>1848</v>
      </c>
      <c r="E160" t="s">
        <v>835</v>
      </c>
      <c r="F160" t="s">
        <v>1849</v>
      </c>
      <c r="G160" t="s">
        <v>1849</v>
      </c>
      <c r="H160" t="s">
        <v>839</v>
      </c>
      <c r="I160" t="s">
        <v>838</v>
      </c>
      <c r="K160" t="s">
        <v>839</v>
      </c>
      <c r="L160" t="s">
        <v>897</v>
      </c>
      <c r="O160">
        <v>82</v>
      </c>
      <c r="P160">
        <v>72</v>
      </c>
      <c r="Q160">
        <v>154</v>
      </c>
      <c r="S160" t="s">
        <v>841</v>
      </c>
      <c r="T160" t="s">
        <v>841</v>
      </c>
      <c r="U160" t="s">
        <v>841</v>
      </c>
      <c r="V160" t="s">
        <v>841</v>
      </c>
      <c r="W160" t="s">
        <v>841</v>
      </c>
      <c r="X160" t="s">
        <v>841</v>
      </c>
      <c r="Y160" t="s">
        <v>841</v>
      </c>
      <c r="Z160" t="s">
        <v>841</v>
      </c>
      <c r="AA160" t="s">
        <v>841</v>
      </c>
      <c r="AB160" t="s">
        <v>841</v>
      </c>
      <c r="AH160">
        <v>1</v>
      </c>
      <c r="AI160">
        <v>1</v>
      </c>
      <c r="AJ160">
        <v>1</v>
      </c>
      <c r="AK160">
        <v>1</v>
      </c>
      <c r="AL160">
        <v>1</v>
      </c>
      <c r="AM160">
        <v>1</v>
      </c>
      <c r="AN160">
        <v>1</v>
      </c>
      <c r="AO160">
        <v>1</v>
      </c>
      <c r="AP160">
        <v>1</v>
      </c>
      <c r="AQ160">
        <v>1</v>
      </c>
      <c r="AR160">
        <v>0</v>
      </c>
      <c r="AS160">
        <v>0</v>
      </c>
      <c r="AT160">
        <v>0</v>
      </c>
      <c r="AU160">
        <v>0</v>
      </c>
      <c r="AW160">
        <v>0</v>
      </c>
      <c r="AX160">
        <v>0</v>
      </c>
      <c r="AY160">
        <v>0</v>
      </c>
      <c r="AZ160" t="s">
        <v>841</v>
      </c>
      <c r="BM160" t="s">
        <v>841</v>
      </c>
      <c r="BS160" t="s">
        <v>841</v>
      </c>
      <c r="BV160" t="s">
        <v>839</v>
      </c>
      <c r="BW160" t="s">
        <v>759</v>
      </c>
      <c r="BX160" t="s">
        <v>839</v>
      </c>
      <c r="BY160" t="s">
        <v>950</v>
      </c>
      <c r="BZ160" t="s">
        <v>839</v>
      </c>
      <c r="CA160" t="s">
        <v>839</v>
      </c>
      <c r="CC160" t="s">
        <v>839</v>
      </c>
      <c r="CD160" t="s">
        <v>855</v>
      </c>
      <c r="CG160">
        <v>3</v>
      </c>
      <c r="CH160">
        <v>1</v>
      </c>
      <c r="CI160">
        <v>1</v>
      </c>
      <c r="CJ160">
        <v>1</v>
      </c>
      <c r="CK160" t="s">
        <v>877</v>
      </c>
      <c r="CM160" t="s">
        <v>867</v>
      </c>
      <c r="CN160">
        <v>0</v>
      </c>
      <c r="CO160">
        <v>1</v>
      </c>
      <c r="CP160">
        <v>0</v>
      </c>
      <c r="CQ160">
        <v>0</v>
      </c>
      <c r="CR160">
        <v>0</v>
      </c>
      <c r="CS160">
        <v>0</v>
      </c>
      <c r="CU160" t="s">
        <v>1340</v>
      </c>
      <c r="CV160">
        <v>1</v>
      </c>
      <c r="CW160">
        <v>0</v>
      </c>
      <c r="CX160">
        <v>1</v>
      </c>
      <c r="CY160">
        <v>0</v>
      </c>
      <c r="CZ160">
        <v>0</v>
      </c>
      <c r="DA160">
        <v>0</v>
      </c>
      <c r="DB160">
        <v>0</v>
      </c>
      <c r="DC160">
        <v>1</v>
      </c>
      <c r="DD160">
        <v>1</v>
      </c>
      <c r="DE160">
        <v>1</v>
      </c>
      <c r="DF160">
        <v>0</v>
      </c>
      <c r="DJ160">
        <v>7</v>
      </c>
      <c r="DK160">
        <v>9</v>
      </c>
      <c r="DL160">
        <v>16</v>
      </c>
      <c r="DN160">
        <v>500</v>
      </c>
      <c r="DP160">
        <v>1100</v>
      </c>
      <c r="DQ160" t="s">
        <v>908</v>
      </c>
      <c r="DR160">
        <v>1</v>
      </c>
      <c r="DS160">
        <v>1</v>
      </c>
      <c r="DT160">
        <v>1</v>
      </c>
      <c r="DU160">
        <v>0</v>
      </c>
      <c r="DV160">
        <v>1</v>
      </c>
      <c r="DW160">
        <v>0</v>
      </c>
      <c r="DX160">
        <v>0</v>
      </c>
      <c r="DY160">
        <v>0</v>
      </c>
      <c r="DZ160">
        <v>0</v>
      </c>
      <c r="EB160" t="s">
        <v>842</v>
      </c>
      <c r="EC160" t="s">
        <v>847</v>
      </c>
      <c r="ED160" t="s">
        <v>848</v>
      </c>
      <c r="EI160">
        <v>150</v>
      </c>
      <c r="EL160" t="s">
        <v>841</v>
      </c>
      <c r="EO160">
        <v>150</v>
      </c>
      <c r="ES160" t="s">
        <v>841</v>
      </c>
      <c r="EU160">
        <v>205</v>
      </c>
      <c r="EY160" t="s">
        <v>841</v>
      </c>
      <c r="FA160">
        <v>6</v>
      </c>
      <c r="FB160" t="s">
        <v>841</v>
      </c>
      <c r="FL160" t="s">
        <v>841</v>
      </c>
      <c r="FM160">
        <v>1400</v>
      </c>
      <c r="FO160">
        <v>10</v>
      </c>
      <c r="FP160">
        <v>8</v>
      </c>
      <c r="FQ160">
        <v>18</v>
      </c>
      <c r="FS160" t="s">
        <v>842</v>
      </c>
      <c r="FT160" t="s">
        <v>839</v>
      </c>
      <c r="FU160" t="s">
        <v>842</v>
      </c>
      <c r="FV160" t="s">
        <v>839</v>
      </c>
      <c r="FW160" t="s">
        <v>839</v>
      </c>
      <c r="FX160" t="s">
        <v>910</v>
      </c>
      <c r="FY160" t="s">
        <v>842</v>
      </c>
      <c r="FZ160" t="s">
        <v>839</v>
      </c>
      <c r="GA160" t="s">
        <v>842</v>
      </c>
      <c r="GB160" t="s">
        <v>842</v>
      </c>
      <c r="GC160" t="s">
        <v>842</v>
      </c>
      <c r="GD160" t="s">
        <v>842</v>
      </c>
      <c r="GG160" t="s">
        <v>668</v>
      </c>
      <c r="GI160" t="s">
        <v>1850</v>
      </c>
      <c r="GJ160">
        <v>1</v>
      </c>
      <c r="GK160">
        <v>0</v>
      </c>
      <c r="GL160">
        <v>1</v>
      </c>
      <c r="GM160">
        <v>0</v>
      </c>
      <c r="GN160">
        <v>1</v>
      </c>
      <c r="GO160">
        <v>0</v>
      </c>
      <c r="GP160">
        <v>0</v>
      </c>
      <c r="GQ160">
        <v>0</v>
      </c>
      <c r="GR160">
        <v>0</v>
      </c>
      <c r="GS160">
        <v>0</v>
      </c>
      <c r="GT160">
        <v>0</v>
      </c>
      <c r="GU160">
        <v>0</v>
      </c>
      <c r="GV160">
        <v>1</v>
      </c>
      <c r="GW160">
        <v>1</v>
      </c>
      <c r="GX160">
        <v>0</v>
      </c>
      <c r="GY160">
        <v>0</v>
      </c>
      <c r="GZ160">
        <v>0</v>
      </c>
      <c r="HB160" t="s">
        <v>839</v>
      </c>
    </row>
    <row r="161" spans="1:211" x14ac:dyDescent="0.35">
      <c r="A161" t="s">
        <v>1851</v>
      </c>
      <c r="B161" s="151">
        <v>45343.395150462973</v>
      </c>
      <c r="C161" t="s">
        <v>1852</v>
      </c>
      <c r="D161" t="s">
        <v>1853</v>
      </c>
      <c r="E161" t="s">
        <v>835</v>
      </c>
      <c r="F161" t="s">
        <v>1854</v>
      </c>
      <c r="G161" t="s">
        <v>1854</v>
      </c>
      <c r="H161" t="s">
        <v>837</v>
      </c>
      <c r="I161" t="s">
        <v>838</v>
      </c>
      <c r="K161" t="s">
        <v>842</v>
      </c>
      <c r="O161">
        <v>9</v>
      </c>
      <c r="P161">
        <v>1</v>
      </c>
      <c r="Q161">
        <v>10</v>
      </c>
      <c r="S161" t="s">
        <v>841</v>
      </c>
      <c r="T161" t="s">
        <v>841</v>
      </c>
      <c r="AH161">
        <v>1</v>
      </c>
      <c r="AI161">
        <v>1</v>
      </c>
      <c r="AJ161">
        <v>0</v>
      </c>
      <c r="AK161">
        <v>0</v>
      </c>
      <c r="AL161">
        <v>0</v>
      </c>
      <c r="AM161">
        <v>0</v>
      </c>
      <c r="AN161">
        <v>0</v>
      </c>
      <c r="AO161">
        <v>0</v>
      </c>
      <c r="AP161">
        <v>0</v>
      </c>
      <c r="AQ161">
        <v>0</v>
      </c>
      <c r="AR161">
        <v>0</v>
      </c>
      <c r="AS161">
        <v>0</v>
      </c>
      <c r="AT161">
        <v>0</v>
      </c>
      <c r="AU161">
        <v>0</v>
      </c>
      <c r="BV161" t="s">
        <v>842</v>
      </c>
      <c r="BX161" t="s">
        <v>842</v>
      </c>
      <c r="BY161" t="s">
        <v>759</v>
      </c>
      <c r="BZ161" t="s">
        <v>839</v>
      </c>
      <c r="CA161" t="s">
        <v>839</v>
      </c>
      <c r="CC161" t="s">
        <v>839</v>
      </c>
      <c r="CD161" t="s">
        <v>855</v>
      </c>
      <c r="CG161">
        <v>8</v>
      </c>
      <c r="CH161">
        <v>4</v>
      </c>
      <c r="CI161">
        <v>4</v>
      </c>
      <c r="CJ161">
        <v>0</v>
      </c>
      <c r="CK161" t="s">
        <v>866</v>
      </c>
      <c r="CM161" t="s">
        <v>844</v>
      </c>
      <c r="CN161">
        <v>1</v>
      </c>
      <c r="CO161">
        <v>0</v>
      </c>
      <c r="CP161">
        <v>0</v>
      </c>
      <c r="CQ161">
        <v>0</v>
      </c>
      <c r="CR161">
        <v>0</v>
      </c>
      <c r="CS161">
        <v>0</v>
      </c>
      <c r="CU161" t="s">
        <v>1124</v>
      </c>
      <c r="CV161">
        <v>1</v>
      </c>
      <c r="CW161">
        <v>0</v>
      </c>
      <c r="CX161">
        <v>1</v>
      </c>
      <c r="CY161">
        <v>1</v>
      </c>
      <c r="CZ161">
        <v>0</v>
      </c>
      <c r="DA161">
        <v>0</v>
      </c>
      <c r="DB161">
        <v>0</v>
      </c>
      <c r="DC161">
        <v>1</v>
      </c>
      <c r="DD161">
        <v>1</v>
      </c>
      <c r="DE161">
        <v>1</v>
      </c>
      <c r="DF161">
        <v>0</v>
      </c>
      <c r="DJ161">
        <v>0</v>
      </c>
      <c r="DK161">
        <v>2</v>
      </c>
      <c r="DL161">
        <v>2</v>
      </c>
      <c r="DN161">
        <v>300</v>
      </c>
      <c r="DP161">
        <v>400</v>
      </c>
      <c r="DQ161" t="s">
        <v>879</v>
      </c>
      <c r="DR161">
        <v>1</v>
      </c>
      <c r="DS161">
        <v>0</v>
      </c>
      <c r="DT161">
        <v>1</v>
      </c>
      <c r="DU161">
        <v>0</v>
      </c>
      <c r="DV161">
        <v>0</v>
      </c>
      <c r="DW161">
        <v>0</v>
      </c>
      <c r="DX161">
        <v>0</v>
      </c>
      <c r="DY161">
        <v>1</v>
      </c>
      <c r="DZ161">
        <v>0</v>
      </c>
      <c r="EB161" t="s">
        <v>839</v>
      </c>
      <c r="EC161" t="s">
        <v>957</v>
      </c>
      <c r="ED161" t="s">
        <v>928</v>
      </c>
      <c r="EI161">
        <v>350</v>
      </c>
      <c r="EM161" t="s">
        <v>841</v>
      </c>
      <c r="EO161">
        <v>400</v>
      </c>
      <c r="ES161" t="s">
        <v>841</v>
      </c>
      <c r="EU161">
        <v>430</v>
      </c>
      <c r="EY161" t="s">
        <v>841</v>
      </c>
      <c r="FA161">
        <v>4.5</v>
      </c>
      <c r="FB161" t="s">
        <v>841</v>
      </c>
      <c r="FG161">
        <v>4.5</v>
      </c>
      <c r="FH161" t="s">
        <v>841</v>
      </c>
      <c r="FM161">
        <v>1150</v>
      </c>
      <c r="FO161">
        <v>0</v>
      </c>
      <c r="FP161">
        <v>0</v>
      </c>
      <c r="FQ161">
        <v>0</v>
      </c>
      <c r="FS161" t="s">
        <v>842</v>
      </c>
      <c r="FT161" t="s">
        <v>842</v>
      </c>
      <c r="FU161" t="s">
        <v>839</v>
      </c>
      <c r="FV161" t="s">
        <v>839</v>
      </c>
      <c r="FW161" t="s">
        <v>842</v>
      </c>
      <c r="FY161" t="s">
        <v>842</v>
      </c>
      <c r="FZ161" t="s">
        <v>842</v>
      </c>
      <c r="GA161" t="s">
        <v>842</v>
      </c>
      <c r="GB161" t="s">
        <v>839</v>
      </c>
      <c r="GC161" t="s">
        <v>842</v>
      </c>
      <c r="GD161" t="s">
        <v>842</v>
      </c>
      <c r="GG161" t="s">
        <v>842</v>
      </c>
      <c r="GI161" t="s">
        <v>849</v>
      </c>
      <c r="GJ161">
        <v>1</v>
      </c>
      <c r="GK161">
        <v>0</v>
      </c>
      <c r="GL161">
        <v>0</v>
      </c>
      <c r="GM161">
        <v>0</v>
      </c>
      <c r="GN161">
        <v>0</v>
      </c>
      <c r="GO161">
        <v>0</v>
      </c>
      <c r="GP161">
        <v>0</v>
      </c>
      <c r="GQ161">
        <v>0</v>
      </c>
      <c r="GR161">
        <v>0</v>
      </c>
      <c r="GS161">
        <v>0</v>
      </c>
      <c r="GT161">
        <v>0</v>
      </c>
      <c r="GU161">
        <v>0</v>
      </c>
      <c r="GV161">
        <v>0</v>
      </c>
      <c r="GW161">
        <v>0</v>
      </c>
      <c r="GX161">
        <v>0</v>
      </c>
      <c r="GY161">
        <v>0</v>
      </c>
      <c r="GZ161">
        <v>0</v>
      </c>
      <c r="HB161" t="s">
        <v>842</v>
      </c>
      <c r="HC161" t="s">
        <v>1855</v>
      </c>
    </row>
    <row r="162" spans="1:211" ht="22.5" customHeight="1" x14ac:dyDescent="0.35">
      <c r="A162" t="s">
        <v>1856</v>
      </c>
      <c r="B162" s="151">
        <v>45343.532881944448</v>
      </c>
      <c r="C162" t="s">
        <v>1857</v>
      </c>
      <c r="D162" t="s">
        <v>1858</v>
      </c>
      <c r="E162" t="s">
        <v>875</v>
      </c>
      <c r="F162" t="s">
        <v>1859</v>
      </c>
      <c r="G162" t="s">
        <v>1860</v>
      </c>
      <c r="H162" t="s">
        <v>839</v>
      </c>
      <c r="I162" t="s">
        <v>626</v>
      </c>
      <c r="K162" t="s">
        <v>839</v>
      </c>
      <c r="L162" t="s">
        <v>887</v>
      </c>
      <c r="O162">
        <v>111</v>
      </c>
      <c r="P162">
        <v>97</v>
      </c>
      <c r="Q162">
        <v>207</v>
      </c>
      <c r="S162" t="s">
        <v>841</v>
      </c>
      <c r="T162" t="s">
        <v>841</v>
      </c>
      <c r="U162" t="s">
        <v>841</v>
      </c>
      <c r="V162" t="s">
        <v>841</v>
      </c>
      <c r="W162" t="s">
        <v>841</v>
      </c>
      <c r="X162" t="s">
        <v>841</v>
      </c>
      <c r="Y162" t="s">
        <v>841</v>
      </c>
      <c r="Z162" t="s">
        <v>841</v>
      </c>
      <c r="AA162" t="s">
        <v>841</v>
      </c>
      <c r="AB162" t="s">
        <v>841</v>
      </c>
      <c r="AC162" t="s">
        <v>841</v>
      </c>
      <c r="AD162" t="s">
        <v>841</v>
      </c>
      <c r="BJ162">
        <v>3</v>
      </c>
      <c r="BK162">
        <v>0</v>
      </c>
      <c r="BL162">
        <v>3</v>
      </c>
      <c r="BV162" t="s">
        <v>842</v>
      </c>
      <c r="BX162" t="s">
        <v>839</v>
      </c>
      <c r="BY162" t="s">
        <v>759</v>
      </c>
      <c r="BZ162" t="s">
        <v>839</v>
      </c>
      <c r="CA162" t="s">
        <v>839</v>
      </c>
      <c r="CC162" t="s">
        <v>839</v>
      </c>
      <c r="CD162" t="s">
        <v>855</v>
      </c>
      <c r="CG162">
        <v>4</v>
      </c>
      <c r="CH162">
        <v>4</v>
      </c>
      <c r="CI162">
        <v>4</v>
      </c>
      <c r="CJ162">
        <v>0</v>
      </c>
      <c r="CK162" t="s">
        <v>993</v>
      </c>
      <c r="CM162" t="s">
        <v>681</v>
      </c>
      <c r="CN162">
        <v>0</v>
      </c>
      <c r="CO162">
        <v>0</v>
      </c>
      <c r="CP162">
        <v>0</v>
      </c>
      <c r="CQ162">
        <v>0</v>
      </c>
      <c r="CR162">
        <v>1</v>
      </c>
      <c r="CS162">
        <v>0</v>
      </c>
      <c r="CU162" t="s">
        <v>987</v>
      </c>
      <c r="CV162">
        <v>1</v>
      </c>
      <c r="CW162">
        <v>0</v>
      </c>
      <c r="CX162">
        <v>1</v>
      </c>
      <c r="CY162">
        <v>0</v>
      </c>
      <c r="CZ162">
        <v>0</v>
      </c>
      <c r="DA162">
        <v>0</v>
      </c>
      <c r="DB162">
        <v>0</v>
      </c>
      <c r="DC162">
        <v>0</v>
      </c>
      <c r="DD162">
        <v>0</v>
      </c>
      <c r="DE162">
        <v>0</v>
      </c>
      <c r="DF162">
        <v>0</v>
      </c>
      <c r="DJ162">
        <v>8</v>
      </c>
      <c r="DK162">
        <v>4</v>
      </c>
      <c r="DL162">
        <v>12</v>
      </c>
      <c r="DN162">
        <v>300</v>
      </c>
      <c r="DP162">
        <v>500</v>
      </c>
      <c r="DQ162" t="s">
        <v>681</v>
      </c>
      <c r="DR162">
        <v>0</v>
      </c>
      <c r="DS162">
        <v>0</v>
      </c>
      <c r="DT162">
        <v>0</v>
      </c>
      <c r="DU162">
        <v>0</v>
      </c>
      <c r="DV162">
        <v>0</v>
      </c>
      <c r="DW162">
        <v>0</v>
      </c>
      <c r="DX162">
        <v>0</v>
      </c>
      <c r="DY162">
        <v>0</v>
      </c>
      <c r="DZ162">
        <v>1</v>
      </c>
      <c r="EB162" t="s">
        <v>842</v>
      </c>
      <c r="EC162" t="s">
        <v>909</v>
      </c>
      <c r="ED162" t="s">
        <v>848</v>
      </c>
      <c r="EI162">
        <v>217</v>
      </c>
      <c r="EJ162" t="s">
        <v>841</v>
      </c>
      <c r="EM162" t="s">
        <v>841</v>
      </c>
      <c r="EO162">
        <v>237</v>
      </c>
      <c r="ES162" t="s">
        <v>841</v>
      </c>
      <c r="EU162">
        <v>303</v>
      </c>
      <c r="EY162" t="s">
        <v>841</v>
      </c>
      <c r="FA162">
        <v>7</v>
      </c>
      <c r="FB162" t="s">
        <v>841</v>
      </c>
      <c r="FG162">
        <v>6</v>
      </c>
      <c r="FH162" t="s">
        <v>841</v>
      </c>
      <c r="FM162">
        <v>1000</v>
      </c>
      <c r="FO162">
        <v>0</v>
      </c>
      <c r="FP162">
        <v>0</v>
      </c>
      <c r="FQ162">
        <v>0</v>
      </c>
      <c r="FS162" t="s">
        <v>842</v>
      </c>
      <c r="FT162" t="s">
        <v>842</v>
      </c>
      <c r="FU162" t="s">
        <v>839</v>
      </c>
      <c r="FV162" t="s">
        <v>839</v>
      </c>
      <c r="FW162" t="s">
        <v>839</v>
      </c>
      <c r="FX162" t="s">
        <v>965</v>
      </c>
      <c r="FY162" t="s">
        <v>842</v>
      </c>
      <c r="FZ162" t="s">
        <v>839</v>
      </c>
      <c r="GA162" t="s">
        <v>839</v>
      </c>
      <c r="GB162" t="s">
        <v>842</v>
      </c>
      <c r="GC162" t="s">
        <v>842</v>
      </c>
      <c r="GD162" t="s">
        <v>842</v>
      </c>
      <c r="GG162" t="s">
        <v>842</v>
      </c>
      <c r="GI162" t="s">
        <v>1861</v>
      </c>
      <c r="GJ162">
        <v>1</v>
      </c>
      <c r="GK162">
        <v>1</v>
      </c>
      <c r="GL162">
        <v>0</v>
      </c>
      <c r="GM162">
        <v>1</v>
      </c>
      <c r="GN162">
        <v>0</v>
      </c>
      <c r="GO162">
        <v>0</v>
      </c>
      <c r="GP162">
        <v>1</v>
      </c>
      <c r="GQ162">
        <v>0</v>
      </c>
      <c r="GR162">
        <v>0</v>
      </c>
      <c r="GS162">
        <v>0</v>
      </c>
      <c r="GT162">
        <v>0</v>
      </c>
      <c r="GU162">
        <v>0</v>
      </c>
      <c r="GV162">
        <v>0</v>
      </c>
      <c r="GW162">
        <v>0</v>
      </c>
      <c r="GX162">
        <v>1</v>
      </c>
      <c r="GY162">
        <v>0</v>
      </c>
      <c r="GZ162">
        <v>0</v>
      </c>
      <c r="HB162" t="s">
        <v>842</v>
      </c>
      <c r="HC162" s="155" t="s">
        <v>1862</v>
      </c>
    </row>
    <row r="163" spans="1:211" x14ac:dyDescent="0.35">
      <c r="A163" t="s">
        <v>1863</v>
      </c>
      <c r="B163" s="151">
        <v>45343.848437499997</v>
      </c>
      <c r="C163" t="s">
        <v>1864</v>
      </c>
      <c r="D163" t="s">
        <v>1865</v>
      </c>
      <c r="E163" t="s">
        <v>835</v>
      </c>
      <c r="F163" t="s">
        <v>1866</v>
      </c>
      <c r="G163" t="s">
        <v>1866</v>
      </c>
      <c r="H163" t="s">
        <v>839</v>
      </c>
      <c r="I163" t="s">
        <v>626</v>
      </c>
      <c r="K163" t="s">
        <v>839</v>
      </c>
      <c r="L163" t="s">
        <v>887</v>
      </c>
      <c r="O163">
        <v>200</v>
      </c>
      <c r="P163">
        <v>240</v>
      </c>
      <c r="Q163">
        <v>440</v>
      </c>
      <c r="S163" t="s">
        <v>841</v>
      </c>
      <c r="T163" t="s">
        <v>841</v>
      </c>
      <c r="U163" t="s">
        <v>841</v>
      </c>
      <c r="V163" t="s">
        <v>841</v>
      </c>
      <c r="W163" t="s">
        <v>841</v>
      </c>
      <c r="X163" t="s">
        <v>841</v>
      </c>
      <c r="Y163" t="s">
        <v>841</v>
      </c>
      <c r="Z163" t="s">
        <v>841</v>
      </c>
      <c r="AA163" t="s">
        <v>841</v>
      </c>
      <c r="AB163" t="s">
        <v>841</v>
      </c>
      <c r="AC163" t="s">
        <v>841</v>
      </c>
      <c r="AH163">
        <v>1</v>
      </c>
      <c r="AI163">
        <v>2</v>
      </c>
      <c r="AJ163">
        <v>3</v>
      </c>
      <c r="AK163">
        <v>2</v>
      </c>
      <c r="AL163">
        <v>3</v>
      </c>
      <c r="AM163">
        <v>3</v>
      </c>
      <c r="AN163">
        <v>2</v>
      </c>
      <c r="AO163">
        <v>2</v>
      </c>
      <c r="AP163">
        <v>1</v>
      </c>
      <c r="AQ163">
        <v>1</v>
      </c>
      <c r="AR163">
        <v>1</v>
      </c>
      <c r="AS163">
        <v>0</v>
      </c>
      <c r="AT163">
        <v>0</v>
      </c>
      <c r="AU163">
        <v>0</v>
      </c>
      <c r="AW163">
        <v>0</v>
      </c>
      <c r="AX163">
        <v>0</v>
      </c>
      <c r="AY163">
        <v>0</v>
      </c>
      <c r="AZ163" t="s">
        <v>841</v>
      </c>
      <c r="BJ163">
        <v>0</v>
      </c>
      <c r="BK163">
        <v>0</v>
      </c>
      <c r="BM163" t="s">
        <v>841</v>
      </c>
      <c r="BS163" t="s">
        <v>841</v>
      </c>
      <c r="BV163" t="s">
        <v>839</v>
      </c>
      <c r="BW163" t="s">
        <v>759</v>
      </c>
      <c r="BX163" t="s">
        <v>839</v>
      </c>
      <c r="BY163" t="s">
        <v>759</v>
      </c>
      <c r="BZ163" t="s">
        <v>839</v>
      </c>
      <c r="CA163" t="s">
        <v>839</v>
      </c>
      <c r="CC163" t="s">
        <v>839</v>
      </c>
      <c r="CD163" t="s">
        <v>855</v>
      </c>
      <c r="CG163">
        <v>11</v>
      </c>
      <c r="CH163">
        <v>5</v>
      </c>
      <c r="CI163">
        <v>6</v>
      </c>
      <c r="CJ163">
        <v>0</v>
      </c>
      <c r="CK163" t="s">
        <v>877</v>
      </c>
      <c r="CM163" t="s">
        <v>844</v>
      </c>
      <c r="CN163">
        <v>1</v>
      </c>
      <c r="CO163">
        <v>0</v>
      </c>
      <c r="CP163">
        <v>0</v>
      </c>
      <c r="CQ163">
        <v>0</v>
      </c>
      <c r="CR163">
        <v>0</v>
      </c>
      <c r="CS163">
        <v>0</v>
      </c>
      <c r="CU163" t="s">
        <v>1375</v>
      </c>
      <c r="CV163">
        <v>1</v>
      </c>
      <c r="CW163">
        <v>0</v>
      </c>
      <c r="CX163">
        <v>1</v>
      </c>
      <c r="CY163">
        <v>0</v>
      </c>
      <c r="CZ163">
        <v>0</v>
      </c>
      <c r="DA163">
        <v>0</v>
      </c>
      <c r="DB163">
        <v>0</v>
      </c>
      <c r="DC163">
        <v>1</v>
      </c>
      <c r="DD163">
        <v>1</v>
      </c>
      <c r="DE163">
        <v>0</v>
      </c>
      <c r="DF163">
        <v>0</v>
      </c>
      <c r="DJ163">
        <v>6</v>
      </c>
      <c r="DK163">
        <v>23</v>
      </c>
      <c r="DL163">
        <v>29</v>
      </c>
      <c r="DN163">
        <v>500</v>
      </c>
      <c r="DP163">
        <v>1000</v>
      </c>
      <c r="DQ163" t="s">
        <v>1558</v>
      </c>
      <c r="DR163">
        <v>0</v>
      </c>
      <c r="DS163">
        <v>0</v>
      </c>
      <c r="DT163">
        <v>0</v>
      </c>
      <c r="DU163">
        <v>0</v>
      </c>
      <c r="DV163">
        <v>0</v>
      </c>
      <c r="DW163">
        <v>1</v>
      </c>
      <c r="DX163">
        <v>0</v>
      </c>
      <c r="DY163">
        <v>0</v>
      </c>
      <c r="DZ163">
        <v>0</v>
      </c>
      <c r="EB163" t="s">
        <v>839</v>
      </c>
      <c r="EC163" t="s">
        <v>847</v>
      </c>
      <c r="ED163" t="s">
        <v>848</v>
      </c>
      <c r="EI163">
        <v>250</v>
      </c>
      <c r="EM163" t="s">
        <v>841</v>
      </c>
      <c r="EO163">
        <v>270</v>
      </c>
      <c r="ES163" t="s">
        <v>841</v>
      </c>
      <c r="EZ163" t="s">
        <v>841</v>
      </c>
      <c r="FA163">
        <v>6</v>
      </c>
      <c r="FB163" t="s">
        <v>841</v>
      </c>
      <c r="FG163">
        <v>4</v>
      </c>
      <c r="FH163" t="s">
        <v>841</v>
      </c>
      <c r="FM163">
        <v>490</v>
      </c>
      <c r="FO163">
        <v>0</v>
      </c>
      <c r="FP163">
        <v>0</v>
      </c>
      <c r="FQ163">
        <v>0</v>
      </c>
      <c r="FS163" t="s">
        <v>842</v>
      </c>
      <c r="FT163" t="s">
        <v>839</v>
      </c>
      <c r="FU163" t="s">
        <v>839</v>
      </c>
      <c r="FV163" t="s">
        <v>839</v>
      </c>
      <c r="FW163" t="s">
        <v>839</v>
      </c>
      <c r="FX163" t="s">
        <v>880</v>
      </c>
      <c r="FY163" t="s">
        <v>839</v>
      </c>
      <c r="FZ163" t="s">
        <v>839</v>
      </c>
      <c r="GA163" t="s">
        <v>839</v>
      </c>
      <c r="GB163" t="s">
        <v>839</v>
      </c>
      <c r="GC163" t="s">
        <v>839</v>
      </c>
      <c r="GD163" t="s">
        <v>839</v>
      </c>
      <c r="GE163" t="s">
        <v>929</v>
      </c>
      <c r="GG163" t="s">
        <v>839</v>
      </c>
      <c r="GI163" t="s">
        <v>1076</v>
      </c>
      <c r="GJ163">
        <v>0</v>
      </c>
      <c r="GK163">
        <v>0</v>
      </c>
      <c r="GL163">
        <v>0</v>
      </c>
      <c r="GM163">
        <v>0</v>
      </c>
      <c r="GN163">
        <v>0</v>
      </c>
      <c r="GO163">
        <v>0</v>
      </c>
      <c r="GP163">
        <v>0</v>
      </c>
      <c r="GQ163">
        <v>0</v>
      </c>
      <c r="GR163">
        <v>0</v>
      </c>
      <c r="GS163">
        <v>0</v>
      </c>
      <c r="GT163">
        <v>0</v>
      </c>
      <c r="GU163">
        <v>0</v>
      </c>
      <c r="GV163">
        <v>0</v>
      </c>
      <c r="GW163">
        <v>0</v>
      </c>
      <c r="GX163">
        <v>0</v>
      </c>
      <c r="GY163">
        <v>0</v>
      </c>
      <c r="GZ163">
        <v>1</v>
      </c>
      <c r="HB163" t="s">
        <v>842</v>
      </c>
      <c r="HC163" t="s">
        <v>1059</v>
      </c>
    </row>
    <row r="164" spans="1:211" x14ac:dyDescent="0.35">
      <c r="A164" t="s">
        <v>1867</v>
      </c>
      <c r="B164" s="151">
        <v>45344.2499537037</v>
      </c>
      <c r="C164" t="s">
        <v>1868</v>
      </c>
      <c r="D164" t="s">
        <v>1869</v>
      </c>
      <c r="E164" t="s">
        <v>835</v>
      </c>
      <c r="F164" t="s">
        <v>1870</v>
      </c>
      <c r="G164" t="s">
        <v>1870</v>
      </c>
      <c r="H164" t="s">
        <v>842</v>
      </c>
      <c r="K164" t="s">
        <v>842</v>
      </c>
      <c r="O164">
        <v>14</v>
      </c>
      <c r="P164">
        <v>16</v>
      </c>
      <c r="Q164">
        <v>30</v>
      </c>
      <c r="W164" t="s">
        <v>841</v>
      </c>
      <c r="BV164" t="s">
        <v>842</v>
      </c>
      <c r="BX164" t="s">
        <v>839</v>
      </c>
      <c r="BY164" t="s">
        <v>759</v>
      </c>
      <c r="BZ164" t="s">
        <v>839</v>
      </c>
      <c r="CA164" t="s">
        <v>839</v>
      </c>
      <c r="CC164" t="s">
        <v>842</v>
      </c>
      <c r="CD164" t="s">
        <v>855</v>
      </c>
      <c r="CG164">
        <v>1</v>
      </c>
      <c r="CH164">
        <v>0</v>
      </c>
      <c r="CI164">
        <v>0</v>
      </c>
      <c r="CJ164">
        <v>1</v>
      </c>
      <c r="CK164" t="s">
        <v>866</v>
      </c>
      <c r="CM164" t="s">
        <v>867</v>
      </c>
      <c r="CN164">
        <v>0</v>
      </c>
      <c r="CO164">
        <v>1</v>
      </c>
      <c r="CP164">
        <v>0</v>
      </c>
      <c r="CQ164">
        <v>0</v>
      </c>
      <c r="CR164">
        <v>0</v>
      </c>
      <c r="CS164">
        <v>0</v>
      </c>
      <c r="CU164" t="s">
        <v>1064</v>
      </c>
      <c r="CV164">
        <v>1</v>
      </c>
      <c r="CW164">
        <v>0</v>
      </c>
      <c r="CX164">
        <v>0</v>
      </c>
      <c r="CY164">
        <v>0</v>
      </c>
      <c r="CZ164">
        <v>0</v>
      </c>
      <c r="DA164">
        <v>0</v>
      </c>
      <c r="DB164">
        <v>0</v>
      </c>
      <c r="DC164">
        <v>0</v>
      </c>
      <c r="DD164">
        <v>1</v>
      </c>
      <c r="DE164">
        <v>1</v>
      </c>
      <c r="DF164">
        <v>0</v>
      </c>
      <c r="DJ164">
        <v>0</v>
      </c>
      <c r="DK164">
        <v>3</v>
      </c>
      <c r="DL164">
        <v>3</v>
      </c>
      <c r="DN164">
        <v>400</v>
      </c>
      <c r="DP164">
        <v>500</v>
      </c>
      <c r="DQ164" t="s">
        <v>1528</v>
      </c>
      <c r="DR164">
        <v>0</v>
      </c>
      <c r="DS164">
        <v>1</v>
      </c>
      <c r="DT164">
        <v>1</v>
      </c>
      <c r="DU164">
        <v>0</v>
      </c>
      <c r="DV164">
        <v>1</v>
      </c>
      <c r="DW164">
        <v>0</v>
      </c>
      <c r="DX164">
        <v>0</v>
      </c>
      <c r="DY164">
        <v>0</v>
      </c>
      <c r="DZ164">
        <v>0</v>
      </c>
      <c r="EB164" t="s">
        <v>842</v>
      </c>
      <c r="EC164" t="s">
        <v>925</v>
      </c>
      <c r="ED164" t="s">
        <v>848</v>
      </c>
      <c r="EI164">
        <v>650</v>
      </c>
      <c r="EM164" t="s">
        <v>841</v>
      </c>
      <c r="EO164">
        <v>650</v>
      </c>
      <c r="ES164" t="s">
        <v>841</v>
      </c>
      <c r="EZ164" t="s">
        <v>841</v>
      </c>
      <c r="FA164">
        <v>350</v>
      </c>
      <c r="FE164" t="s">
        <v>841</v>
      </c>
      <c r="FG164">
        <v>100</v>
      </c>
      <c r="FJ164" t="s">
        <v>841</v>
      </c>
      <c r="FM164">
        <v>50</v>
      </c>
      <c r="FO164">
        <v>1</v>
      </c>
      <c r="FP164">
        <v>1</v>
      </c>
      <c r="FQ164">
        <v>2</v>
      </c>
      <c r="FS164" t="s">
        <v>842</v>
      </c>
      <c r="FT164" t="s">
        <v>842</v>
      </c>
      <c r="FU164" t="s">
        <v>839</v>
      </c>
      <c r="FV164" t="s">
        <v>842</v>
      </c>
      <c r="FW164" t="s">
        <v>839</v>
      </c>
      <c r="FX164" t="s">
        <v>880</v>
      </c>
      <c r="FY164" t="s">
        <v>842</v>
      </c>
      <c r="FZ164" t="s">
        <v>842</v>
      </c>
      <c r="GA164" t="s">
        <v>842</v>
      </c>
      <c r="GB164" t="s">
        <v>839</v>
      </c>
      <c r="GC164" t="s">
        <v>842</v>
      </c>
      <c r="GD164" t="s">
        <v>842</v>
      </c>
      <c r="GG164" t="s">
        <v>842</v>
      </c>
      <c r="GI164" t="s">
        <v>1503</v>
      </c>
      <c r="GJ164">
        <v>0</v>
      </c>
      <c r="GK164">
        <v>0</v>
      </c>
      <c r="GL164">
        <v>0</v>
      </c>
      <c r="GM164">
        <v>0</v>
      </c>
      <c r="GN164">
        <v>0</v>
      </c>
      <c r="GO164">
        <v>0</v>
      </c>
      <c r="GP164">
        <v>0</v>
      </c>
      <c r="GQ164">
        <v>0</v>
      </c>
      <c r="GR164">
        <v>0</v>
      </c>
      <c r="GS164">
        <v>1</v>
      </c>
      <c r="GT164">
        <v>0</v>
      </c>
      <c r="GU164">
        <v>0</v>
      </c>
      <c r="GV164">
        <v>0</v>
      </c>
      <c r="GW164">
        <v>0</v>
      </c>
      <c r="GX164">
        <v>0</v>
      </c>
      <c r="GY164">
        <v>0</v>
      </c>
      <c r="GZ164">
        <v>0</v>
      </c>
      <c r="HB164" t="s">
        <v>839</v>
      </c>
    </row>
    <row r="165" spans="1:211" x14ac:dyDescent="0.35">
      <c r="A165" t="s">
        <v>1871</v>
      </c>
      <c r="B165" s="151">
        <v>45344.412534722222</v>
      </c>
      <c r="C165" t="s">
        <v>1872</v>
      </c>
      <c r="D165" t="s">
        <v>1873</v>
      </c>
      <c r="E165" t="s">
        <v>835</v>
      </c>
      <c r="F165" t="s">
        <v>1874</v>
      </c>
      <c r="G165" t="s">
        <v>1875</v>
      </c>
      <c r="H165" t="s">
        <v>839</v>
      </c>
      <c r="I165" t="s">
        <v>896</v>
      </c>
      <c r="K165" t="s">
        <v>842</v>
      </c>
      <c r="O165">
        <v>134</v>
      </c>
      <c r="P165">
        <v>171</v>
      </c>
      <c r="Q165">
        <v>305</v>
      </c>
      <c r="T165" t="s">
        <v>841</v>
      </c>
      <c r="U165" t="s">
        <v>841</v>
      </c>
      <c r="V165" t="s">
        <v>841</v>
      </c>
      <c r="W165" t="s">
        <v>841</v>
      </c>
      <c r="X165" t="s">
        <v>841</v>
      </c>
      <c r="Y165" t="s">
        <v>841</v>
      </c>
      <c r="Z165" t="s">
        <v>841</v>
      </c>
      <c r="AA165" t="s">
        <v>841</v>
      </c>
      <c r="AB165" t="s">
        <v>841</v>
      </c>
      <c r="AC165" t="s">
        <v>841</v>
      </c>
      <c r="AI165">
        <v>1</v>
      </c>
      <c r="AJ165">
        <v>1</v>
      </c>
      <c r="AK165">
        <v>1</v>
      </c>
      <c r="AL165">
        <v>1</v>
      </c>
      <c r="AM165">
        <v>1</v>
      </c>
      <c r="AN165">
        <v>1</v>
      </c>
      <c r="AO165">
        <v>1</v>
      </c>
      <c r="AP165">
        <v>1</v>
      </c>
      <c r="AQ165">
        <v>1</v>
      </c>
      <c r="AR165">
        <v>1</v>
      </c>
      <c r="AS165">
        <v>0</v>
      </c>
      <c r="AT165">
        <v>0</v>
      </c>
      <c r="AU165">
        <v>0</v>
      </c>
      <c r="AW165">
        <v>0</v>
      </c>
      <c r="AX165">
        <v>0</v>
      </c>
      <c r="AY165">
        <v>0</v>
      </c>
      <c r="AZ165" t="s">
        <v>841</v>
      </c>
      <c r="BJ165">
        <v>0</v>
      </c>
      <c r="BK165">
        <v>0</v>
      </c>
      <c r="BL165">
        <v>0</v>
      </c>
      <c r="BP165">
        <v>0</v>
      </c>
      <c r="BQ165">
        <v>0</v>
      </c>
      <c r="BR165">
        <v>0</v>
      </c>
      <c r="BS165" t="s">
        <v>841</v>
      </c>
      <c r="BV165" t="s">
        <v>839</v>
      </c>
      <c r="BW165" t="s">
        <v>950</v>
      </c>
      <c r="BX165" t="s">
        <v>839</v>
      </c>
      <c r="BY165" t="s">
        <v>759</v>
      </c>
      <c r="BZ165" t="s">
        <v>839</v>
      </c>
      <c r="CA165" t="s">
        <v>839</v>
      </c>
      <c r="CC165" t="s">
        <v>839</v>
      </c>
      <c r="CD165" t="s">
        <v>855</v>
      </c>
      <c r="CG165">
        <v>7</v>
      </c>
      <c r="CH165">
        <v>3</v>
      </c>
      <c r="CI165">
        <v>3</v>
      </c>
      <c r="CJ165">
        <v>1</v>
      </c>
      <c r="CK165" t="s">
        <v>877</v>
      </c>
      <c r="CM165" t="s">
        <v>844</v>
      </c>
      <c r="CN165">
        <v>1</v>
      </c>
      <c r="CO165">
        <v>0</v>
      </c>
      <c r="CP165">
        <v>0</v>
      </c>
      <c r="CQ165">
        <v>0</v>
      </c>
      <c r="CR165">
        <v>0</v>
      </c>
      <c r="CS165">
        <v>0</v>
      </c>
      <c r="CU165" t="s">
        <v>1311</v>
      </c>
      <c r="CV165">
        <v>1</v>
      </c>
      <c r="CW165">
        <v>0</v>
      </c>
      <c r="CX165">
        <v>1</v>
      </c>
      <c r="CY165">
        <v>1</v>
      </c>
      <c r="CZ165">
        <v>0</v>
      </c>
      <c r="DA165">
        <v>0</v>
      </c>
      <c r="DB165">
        <v>0</v>
      </c>
      <c r="DC165">
        <v>0</v>
      </c>
      <c r="DD165">
        <v>1</v>
      </c>
      <c r="DE165">
        <v>0</v>
      </c>
      <c r="DF165">
        <v>0</v>
      </c>
      <c r="DJ165">
        <v>5</v>
      </c>
      <c r="DK165">
        <v>10</v>
      </c>
      <c r="DL165">
        <v>15</v>
      </c>
      <c r="DN165">
        <v>350</v>
      </c>
      <c r="DP165">
        <v>700</v>
      </c>
      <c r="DQ165" t="s">
        <v>1876</v>
      </c>
      <c r="DR165">
        <v>1</v>
      </c>
      <c r="DS165">
        <v>1</v>
      </c>
      <c r="DT165">
        <v>0</v>
      </c>
      <c r="DU165">
        <v>1</v>
      </c>
      <c r="DV165">
        <v>1</v>
      </c>
      <c r="DW165">
        <v>0</v>
      </c>
      <c r="DX165">
        <v>0</v>
      </c>
      <c r="DY165">
        <v>0</v>
      </c>
      <c r="DZ165">
        <v>0</v>
      </c>
      <c r="EB165" t="s">
        <v>839</v>
      </c>
      <c r="EC165" t="s">
        <v>1167</v>
      </c>
      <c r="ED165" t="s">
        <v>848</v>
      </c>
      <c r="EI165">
        <v>80</v>
      </c>
      <c r="EM165" t="s">
        <v>841</v>
      </c>
      <c r="EO165">
        <v>80</v>
      </c>
      <c r="ES165" t="s">
        <v>841</v>
      </c>
      <c r="EU165">
        <v>150</v>
      </c>
      <c r="EY165" t="s">
        <v>841</v>
      </c>
      <c r="FA165">
        <v>6</v>
      </c>
      <c r="FB165" t="s">
        <v>841</v>
      </c>
      <c r="FG165">
        <v>4</v>
      </c>
      <c r="FH165" t="s">
        <v>841</v>
      </c>
      <c r="FM165">
        <v>560</v>
      </c>
      <c r="FO165">
        <v>2</v>
      </c>
      <c r="FP165">
        <v>3</v>
      </c>
      <c r="FQ165">
        <v>5</v>
      </c>
      <c r="FS165" t="s">
        <v>839</v>
      </c>
      <c r="FT165" t="s">
        <v>839</v>
      </c>
      <c r="FU165" t="s">
        <v>839</v>
      </c>
      <c r="FV165" t="s">
        <v>839</v>
      </c>
      <c r="FW165" t="s">
        <v>682</v>
      </c>
      <c r="FY165" t="s">
        <v>842</v>
      </c>
      <c r="FZ165" t="s">
        <v>839</v>
      </c>
      <c r="GA165" t="s">
        <v>839</v>
      </c>
      <c r="GB165" t="s">
        <v>839</v>
      </c>
      <c r="GC165" t="s">
        <v>842</v>
      </c>
      <c r="GD165" t="s">
        <v>842</v>
      </c>
      <c r="GG165" t="s">
        <v>842</v>
      </c>
      <c r="GI165" t="s">
        <v>1877</v>
      </c>
      <c r="GJ165">
        <v>1</v>
      </c>
      <c r="GK165">
        <v>1</v>
      </c>
      <c r="GL165">
        <v>0</v>
      </c>
      <c r="GM165">
        <v>0</v>
      </c>
      <c r="GN165">
        <v>0</v>
      </c>
      <c r="GO165">
        <v>1</v>
      </c>
      <c r="GP165">
        <v>0</v>
      </c>
      <c r="GQ165">
        <v>0</v>
      </c>
      <c r="GR165">
        <v>0</v>
      </c>
      <c r="GS165">
        <v>0</v>
      </c>
      <c r="GT165">
        <v>0</v>
      </c>
      <c r="GU165">
        <v>1</v>
      </c>
      <c r="GV165">
        <v>0</v>
      </c>
      <c r="GW165">
        <v>0</v>
      </c>
      <c r="GX165">
        <v>1</v>
      </c>
      <c r="GY165">
        <v>0</v>
      </c>
      <c r="GZ165">
        <v>0</v>
      </c>
      <c r="HB165" t="s">
        <v>839</v>
      </c>
    </row>
    <row r="166" spans="1:211" x14ac:dyDescent="0.35">
      <c r="A166" t="s">
        <v>1878</v>
      </c>
      <c r="B166" s="151">
        <v>45344.515069444453</v>
      </c>
      <c r="C166" t="s">
        <v>1879</v>
      </c>
      <c r="D166" t="s">
        <v>1880</v>
      </c>
      <c r="E166" t="s">
        <v>875</v>
      </c>
      <c r="F166" t="s">
        <v>1881</v>
      </c>
      <c r="G166" t="s">
        <v>1881</v>
      </c>
      <c r="H166" t="s">
        <v>839</v>
      </c>
      <c r="I166" t="s">
        <v>838</v>
      </c>
      <c r="K166" t="s">
        <v>839</v>
      </c>
      <c r="L166" t="s">
        <v>887</v>
      </c>
      <c r="O166">
        <v>50</v>
      </c>
      <c r="P166">
        <v>58</v>
      </c>
      <c r="Q166">
        <v>108</v>
      </c>
      <c r="S166" t="s">
        <v>841</v>
      </c>
      <c r="T166" t="s">
        <v>841</v>
      </c>
      <c r="U166" t="s">
        <v>841</v>
      </c>
      <c r="V166" t="s">
        <v>841</v>
      </c>
      <c r="W166" t="s">
        <v>841</v>
      </c>
      <c r="X166" t="s">
        <v>841</v>
      </c>
      <c r="Y166" t="s">
        <v>841</v>
      </c>
      <c r="Z166" t="s">
        <v>841</v>
      </c>
      <c r="AA166" t="s">
        <v>841</v>
      </c>
      <c r="AB166" t="s">
        <v>841</v>
      </c>
      <c r="AC166" t="s">
        <v>841</v>
      </c>
      <c r="AH166">
        <v>1</v>
      </c>
      <c r="AI166">
        <v>1</v>
      </c>
      <c r="AJ166">
        <v>1</v>
      </c>
      <c r="AK166">
        <v>1</v>
      </c>
      <c r="AL166">
        <v>1</v>
      </c>
      <c r="AM166">
        <v>1</v>
      </c>
      <c r="AN166">
        <v>1</v>
      </c>
      <c r="AO166">
        <v>1</v>
      </c>
      <c r="AP166">
        <v>1</v>
      </c>
      <c r="AQ166">
        <v>1</v>
      </c>
      <c r="AR166">
        <v>1</v>
      </c>
      <c r="BV166" t="s">
        <v>839</v>
      </c>
      <c r="BW166" t="s">
        <v>682</v>
      </c>
      <c r="BX166" t="s">
        <v>839</v>
      </c>
      <c r="BY166" t="s">
        <v>950</v>
      </c>
      <c r="BZ166" t="s">
        <v>839</v>
      </c>
      <c r="CA166" t="s">
        <v>925</v>
      </c>
      <c r="CC166" t="s">
        <v>839</v>
      </c>
      <c r="CD166" t="s">
        <v>855</v>
      </c>
      <c r="CG166">
        <v>2</v>
      </c>
      <c r="CH166">
        <v>0</v>
      </c>
      <c r="CI166">
        <v>0</v>
      </c>
      <c r="CJ166">
        <v>2</v>
      </c>
      <c r="CK166" t="s">
        <v>856</v>
      </c>
      <c r="CM166" t="s">
        <v>917</v>
      </c>
      <c r="CN166">
        <v>0</v>
      </c>
      <c r="CO166">
        <v>0</v>
      </c>
      <c r="CP166">
        <v>1</v>
      </c>
      <c r="CQ166">
        <v>0</v>
      </c>
      <c r="CR166">
        <v>0</v>
      </c>
      <c r="CS166">
        <v>0</v>
      </c>
      <c r="CU166" t="s">
        <v>907</v>
      </c>
      <c r="CV166">
        <v>1</v>
      </c>
      <c r="CW166">
        <v>0</v>
      </c>
      <c r="CX166">
        <v>1</v>
      </c>
      <c r="CY166">
        <v>0</v>
      </c>
      <c r="CZ166">
        <v>0</v>
      </c>
      <c r="DA166">
        <v>0</v>
      </c>
      <c r="DB166">
        <v>0</v>
      </c>
      <c r="DC166">
        <v>0</v>
      </c>
      <c r="DD166">
        <v>1</v>
      </c>
      <c r="DE166">
        <v>0</v>
      </c>
      <c r="DF166">
        <v>0</v>
      </c>
      <c r="DJ166">
        <v>4</v>
      </c>
      <c r="DK166">
        <v>8</v>
      </c>
      <c r="DL166">
        <v>12</v>
      </c>
      <c r="DN166">
        <v>270</v>
      </c>
      <c r="DP166">
        <v>370</v>
      </c>
      <c r="DQ166" t="s">
        <v>1876</v>
      </c>
      <c r="DR166">
        <v>1</v>
      </c>
      <c r="DS166">
        <v>1</v>
      </c>
      <c r="DT166">
        <v>0</v>
      </c>
      <c r="DU166">
        <v>1</v>
      </c>
      <c r="DV166">
        <v>1</v>
      </c>
      <c r="DW166">
        <v>0</v>
      </c>
      <c r="DX166">
        <v>0</v>
      </c>
      <c r="DY166">
        <v>0</v>
      </c>
      <c r="DZ166">
        <v>0</v>
      </c>
      <c r="EB166" t="s">
        <v>839</v>
      </c>
      <c r="EC166" t="s">
        <v>869</v>
      </c>
      <c r="ED166" t="s">
        <v>848</v>
      </c>
      <c r="EI166">
        <v>240</v>
      </c>
      <c r="EM166" t="s">
        <v>841</v>
      </c>
      <c r="EO166">
        <v>280</v>
      </c>
      <c r="ES166" t="s">
        <v>841</v>
      </c>
      <c r="EU166">
        <v>350</v>
      </c>
      <c r="EY166" t="s">
        <v>841</v>
      </c>
      <c r="FA166">
        <v>7</v>
      </c>
      <c r="FB166" t="s">
        <v>841</v>
      </c>
      <c r="FG166">
        <v>5</v>
      </c>
      <c r="FH166" t="s">
        <v>841</v>
      </c>
      <c r="FM166">
        <v>264</v>
      </c>
      <c r="FO166">
        <v>6</v>
      </c>
      <c r="FP166">
        <v>7</v>
      </c>
      <c r="FQ166">
        <v>13</v>
      </c>
      <c r="FS166" t="s">
        <v>842</v>
      </c>
      <c r="FT166" t="s">
        <v>839</v>
      </c>
      <c r="FU166" t="s">
        <v>842</v>
      </c>
      <c r="FV166" t="s">
        <v>842</v>
      </c>
      <c r="FW166" t="s">
        <v>682</v>
      </c>
      <c r="FY166" t="s">
        <v>839</v>
      </c>
      <c r="FZ166" t="s">
        <v>842</v>
      </c>
      <c r="GA166" t="s">
        <v>839</v>
      </c>
      <c r="GB166" t="s">
        <v>842</v>
      </c>
      <c r="GC166" t="s">
        <v>842</v>
      </c>
      <c r="GD166" t="s">
        <v>839</v>
      </c>
      <c r="GE166" t="s">
        <v>881</v>
      </c>
      <c r="GG166" t="s">
        <v>839</v>
      </c>
      <c r="GI166" t="s">
        <v>1882</v>
      </c>
      <c r="GJ166">
        <v>1</v>
      </c>
      <c r="GK166">
        <v>1</v>
      </c>
      <c r="GL166">
        <v>0</v>
      </c>
      <c r="GM166">
        <v>0</v>
      </c>
      <c r="GN166">
        <v>0</v>
      </c>
      <c r="GO166">
        <v>0</v>
      </c>
      <c r="GP166">
        <v>0</v>
      </c>
      <c r="GQ166">
        <v>0</v>
      </c>
      <c r="GR166">
        <v>0</v>
      </c>
      <c r="GS166">
        <v>0</v>
      </c>
      <c r="GT166">
        <v>1</v>
      </c>
      <c r="GU166">
        <v>0</v>
      </c>
      <c r="GV166">
        <v>0</v>
      </c>
      <c r="GW166">
        <v>0</v>
      </c>
      <c r="GX166">
        <v>1</v>
      </c>
      <c r="GY166">
        <v>1</v>
      </c>
      <c r="GZ166">
        <v>0</v>
      </c>
      <c r="HA166" t="s">
        <v>1883</v>
      </c>
      <c r="HB166" t="s">
        <v>839</v>
      </c>
    </row>
    <row r="167" spans="1:211" x14ac:dyDescent="0.35">
      <c r="A167" t="s">
        <v>1884</v>
      </c>
      <c r="B167" s="151">
        <v>45345.777337962973</v>
      </c>
      <c r="C167" s="152" t="s">
        <v>1885</v>
      </c>
      <c r="D167" t="s">
        <v>1886</v>
      </c>
      <c r="E167" t="s">
        <v>875</v>
      </c>
      <c r="F167" t="s">
        <v>1887</v>
      </c>
      <c r="G167" t="s">
        <v>1887</v>
      </c>
      <c r="H167" t="s">
        <v>839</v>
      </c>
      <c r="I167" t="s">
        <v>838</v>
      </c>
      <c r="K167" t="s">
        <v>842</v>
      </c>
      <c r="O167">
        <v>8</v>
      </c>
      <c r="P167">
        <v>7</v>
      </c>
      <c r="Q167">
        <v>15</v>
      </c>
      <c r="S167" t="s">
        <v>841</v>
      </c>
      <c r="T167" t="s">
        <v>841</v>
      </c>
      <c r="U167" t="s">
        <v>841</v>
      </c>
      <c r="V167" t="s">
        <v>841</v>
      </c>
      <c r="W167" t="s">
        <v>841</v>
      </c>
      <c r="X167" t="s">
        <v>841</v>
      </c>
      <c r="Y167" t="s">
        <v>841</v>
      </c>
      <c r="Z167" t="s">
        <v>841</v>
      </c>
      <c r="AH167">
        <v>1</v>
      </c>
      <c r="AI167">
        <v>1</v>
      </c>
      <c r="AJ167">
        <v>1</v>
      </c>
      <c r="AK167">
        <v>1</v>
      </c>
      <c r="AL167">
        <v>1</v>
      </c>
      <c r="AM167">
        <v>1</v>
      </c>
      <c r="AN167">
        <v>1</v>
      </c>
      <c r="AO167">
        <v>1</v>
      </c>
      <c r="AP167">
        <v>0</v>
      </c>
      <c r="AQ167">
        <v>0</v>
      </c>
      <c r="AR167">
        <v>0</v>
      </c>
      <c r="AS167">
        <v>0</v>
      </c>
      <c r="AT167">
        <v>0</v>
      </c>
      <c r="AU167">
        <v>0</v>
      </c>
      <c r="BV167" t="s">
        <v>842</v>
      </c>
      <c r="BX167" t="s">
        <v>842</v>
      </c>
      <c r="BZ167" t="s">
        <v>839</v>
      </c>
      <c r="CA167" t="s">
        <v>839</v>
      </c>
      <c r="CC167" t="s">
        <v>839</v>
      </c>
      <c r="CD167" t="s">
        <v>855</v>
      </c>
      <c r="CG167">
        <v>2</v>
      </c>
      <c r="CH167">
        <v>1</v>
      </c>
      <c r="CI167">
        <v>1</v>
      </c>
      <c r="CJ167">
        <v>0</v>
      </c>
      <c r="CK167" t="s">
        <v>681</v>
      </c>
      <c r="CM167" t="s">
        <v>844</v>
      </c>
      <c r="CN167">
        <v>1</v>
      </c>
      <c r="CO167">
        <v>0</v>
      </c>
      <c r="CP167">
        <v>0</v>
      </c>
      <c r="CQ167">
        <v>0</v>
      </c>
      <c r="CR167">
        <v>0</v>
      </c>
      <c r="CS167">
        <v>0</v>
      </c>
      <c r="CU167" t="s">
        <v>868</v>
      </c>
      <c r="CV167">
        <v>1</v>
      </c>
      <c r="CW167">
        <v>0</v>
      </c>
      <c r="CX167">
        <v>1</v>
      </c>
      <c r="CY167">
        <v>0</v>
      </c>
      <c r="CZ167">
        <v>0</v>
      </c>
      <c r="DA167">
        <v>0</v>
      </c>
      <c r="DB167">
        <v>0</v>
      </c>
      <c r="DC167">
        <v>0</v>
      </c>
      <c r="DD167">
        <v>1</v>
      </c>
      <c r="DE167">
        <v>1</v>
      </c>
      <c r="DF167">
        <v>0</v>
      </c>
      <c r="DJ167">
        <v>2</v>
      </c>
      <c r="DK167">
        <v>2</v>
      </c>
      <c r="DL167">
        <v>4</v>
      </c>
      <c r="DN167">
        <v>300</v>
      </c>
      <c r="DP167">
        <v>400</v>
      </c>
      <c r="DQ167" t="s">
        <v>937</v>
      </c>
      <c r="DR167">
        <v>1</v>
      </c>
      <c r="DS167">
        <v>0</v>
      </c>
      <c r="DT167">
        <v>0</v>
      </c>
      <c r="DU167">
        <v>0</v>
      </c>
      <c r="DV167">
        <v>0</v>
      </c>
      <c r="DW167">
        <v>0</v>
      </c>
      <c r="DX167">
        <v>0</v>
      </c>
      <c r="DY167">
        <v>0</v>
      </c>
      <c r="DZ167">
        <v>0</v>
      </c>
      <c r="EB167" t="s">
        <v>839</v>
      </c>
      <c r="EC167" t="s">
        <v>957</v>
      </c>
      <c r="ED167" t="s">
        <v>848</v>
      </c>
      <c r="EI167">
        <v>4</v>
      </c>
      <c r="EJ167" t="s">
        <v>841</v>
      </c>
      <c r="EO167">
        <v>4</v>
      </c>
      <c r="EP167" t="s">
        <v>841</v>
      </c>
      <c r="EU167">
        <v>5</v>
      </c>
      <c r="EV167" t="s">
        <v>841</v>
      </c>
      <c r="FA167">
        <v>3</v>
      </c>
      <c r="FB167" t="s">
        <v>841</v>
      </c>
      <c r="FL167" t="s">
        <v>841</v>
      </c>
      <c r="FM167">
        <v>545</v>
      </c>
      <c r="FO167">
        <v>1</v>
      </c>
      <c r="FP167">
        <v>1</v>
      </c>
      <c r="FQ167">
        <v>2</v>
      </c>
      <c r="FS167" t="s">
        <v>842</v>
      </c>
      <c r="FT167" t="s">
        <v>842</v>
      </c>
      <c r="FU167" t="s">
        <v>842</v>
      </c>
      <c r="FV167" t="s">
        <v>842</v>
      </c>
      <c r="FW167" t="s">
        <v>682</v>
      </c>
      <c r="FY167" t="s">
        <v>842</v>
      </c>
      <c r="FZ167" t="s">
        <v>839</v>
      </c>
      <c r="GA167" t="s">
        <v>842</v>
      </c>
      <c r="GB167" t="s">
        <v>839</v>
      </c>
      <c r="GC167" t="s">
        <v>842</v>
      </c>
      <c r="GD167" t="s">
        <v>842</v>
      </c>
      <c r="GG167" t="s">
        <v>668</v>
      </c>
      <c r="GI167" t="s">
        <v>1888</v>
      </c>
      <c r="GJ167">
        <v>1</v>
      </c>
      <c r="GK167">
        <v>1</v>
      </c>
      <c r="GL167">
        <v>1</v>
      </c>
      <c r="GM167">
        <v>1</v>
      </c>
      <c r="GN167">
        <v>1</v>
      </c>
      <c r="GO167">
        <v>1</v>
      </c>
      <c r="GP167">
        <v>0</v>
      </c>
      <c r="GQ167">
        <v>0</v>
      </c>
      <c r="GR167">
        <v>1</v>
      </c>
      <c r="GS167">
        <v>0</v>
      </c>
      <c r="GT167">
        <v>0</v>
      </c>
      <c r="GU167">
        <v>1</v>
      </c>
      <c r="GV167">
        <v>0</v>
      </c>
      <c r="GW167">
        <v>0</v>
      </c>
      <c r="GX167">
        <v>1</v>
      </c>
      <c r="GY167">
        <v>0</v>
      </c>
      <c r="GZ167">
        <v>0</v>
      </c>
      <c r="HB167" t="s">
        <v>839</v>
      </c>
    </row>
    <row r="168" spans="1:211" x14ac:dyDescent="0.35">
      <c r="A168" t="s">
        <v>1889</v>
      </c>
      <c r="B168" s="151">
        <v>45346.280601851853</v>
      </c>
      <c r="C168" t="s">
        <v>1890</v>
      </c>
      <c r="D168" t="s">
        <v>1891</v>
      </c>
      <c r="E168" t="s">
        <v>875</v>
      </c>
      <c r="F168" t="s">
        <v>1892</v>
      </c>
      <c r="G168" t="s">
        <v>1892</v>
      </c>
      <c r="H168" t="s">
        <v>839</v>
      </c>
      <c r="I168" t="s">
        <v>838</v>
      </c>
      <c r="K168" t="s">
        <v>839</v>
      </c>
      <c r="L168" t="s">
        <v>887</v>
      </c>
      <c r="O168">
        <v>74</v>
      </c>
      <c r="P168">
        <v>46</v>
      </c>
      <c r="Q168">
        <v>120</v>
      </c>
      <c r="T168" t="s">
        <v>841</v>
      </c>
      <c r="V168" t="s">
        <v>841</v>
      </c>
      <c r="X168" t="s">
        <v>841</v>
      </c>
      <c r="Y168" t="s">
        <v>841</v>
      </c>
      <c r="Z168" t="s">
        <v>841</v>
      </c>
      <c r="AA168" t="s">
        <v>841</v>
      </c>
      <c r="AB168" t="s">
        <v>841</v>
      </c>
      <c r="AC168" t="s">
        <v>841</v>
      </c>
      <c r="AD168" t="s">
        <v>841</v>
      </c>
      <c r="AF168" t="s">
        <v>841</v>
      </c>
      <c r="AH168">
        <v>0</v>
      </c>
      <c r="AJ168">
        <v>0</v>
      </c>
      <c r="AL168">
        <v>0</v>
      </c>
      <c r="AM168">
        <v>1</v>
      </c>
      <c r="AN168">
        <v>1</v>
      </c>
      <c r="AO168">
        <v>1</v>
      </c>
      <c r="AP168">
        <v>1</v>
      </c>
      <c r="AQ168">
        <v>1</v>
      </c>
      <c r="AR168">
        <v>1</v>
      </c>
      <c r="AS168">
        <v>1</v>
      </c>
      <c r="AT168">
        <v>0</v>
      </c>
      <c r="AU168">
        <v>1</v>
      </c>
      <c r="AW168">
        <v>14</v>
      </c>
      <c r="AX168">
        <v>10</v>
      </c>
      <c r="AY168">
        <v>24</v>
      </c>
      <c r="BB168" t="s">
        <v>1893</v>
      </c>
      <c r="BC168" t="s">
        <v>1893</v>
      </c>
      <c r="BD168" t="s">
        <v>1893</v>
      </c>
      <c r="BF168" t="s">
        <v>1894</v>
      </c>
      <c r="BG168" t="s">
        <v>1895</v>
      </c>
      <c r="BH168" t="s">
        <v>1896</v>
      </c>
      <c r="BJ168">
        <v>16</v>
      </c>
      <c r="BK168">
        <v>10</v>
      </c>
      <c r="BL168">
        <v>26</v>
      </c>
      <c r="BP168">
        <v>14</v>
      </c>
      <c r="BQ168">
        <v>10</v>
      </c>
      <c r="BR168">
        <v>24</v>
      </c>
      <c r="BV168" t="s">
        <v>842</v>
      </c>
      <c r="BX168" t="s">
        <v>839</v>
      </c>
      <c r="BY168" t="s">
        <v>759</v>
      </c>
      <c r="BZ168" t="s">
        <v>839</v>
      </c>
      <c r="CA168" t="s">
        <v>839</v>
      </c>
      <c r="CC168" t="s">
        <v>839</v>
      </c>
      <c r="CD168" t="s">
        <v>855</v>
      </c>
      <c r="CG168">
        <v>3</v>
      </c>
      <c r="CH168">
        <v>1</v>
      </c>
      <c r="CI168">
        <v>1</v>
      </c>
      <c r="CJ168">
        <v>1</v>
      </c>
      <c r="CK168" t="s">
        <v>681</v>
      </c>
      <c r="CM168" t="s">
        <v>844</v>
      </c>
      <c r="CN168">
        <v>1</v>
      </c>
      <c r="CO168">
        <v>0</v>
      </c>
      <c r="CP168">
        <v>0</v>
      </c>
      <c r="CQ168">
        <v>0</v>
      </c>
      <c r="CR168">
        <v>0</v>
      </c>
      <c r="CS168">
        <v>0</v>
      </c>
      <c r="CU168" t="s">
        <v>1249</v>
      </c>
      <c r="CV168">
        <v>1</v>
      </c>
      <c r="CW168">
        <v>0</v>
      </c>
      <c r="CX168">
        <v>1</v>
      </c>
      <c r="CY168">
        <v>1</v>
      </c>
      <c r="CZ168">
        <v>0</v>
      </c>
      <c r="DA168">
        <v>0</v>
      </c>
      <c r="DB168">
        <v>0</v>
      </c>
      <c r="DC168">
        <v>0</v>
      </c>
      <c r="DD168">
        <v>0</v>
      </c>
      <c r="DE168">
        <v>0</v>
      </c>
      <c r="DF168">
        <v>0</v>
      </c>
      <c r="DJ168">
        <v>3</v>
      </c>
      <c r="DK168">
        <v>7</v>
      </c>
      <c r="DL168">
        <v>10</v>
      </c>
      <c r="DN168">
        <v>350</v>
      </c>
      <c r="DP168">
        <v>620</v>
      </c>
      <c r="DQ168" t="s">
        <v>681</v>
      </c>
      <c r="DR168">
        <v>0</v>
      </c>
      <c r="DS168">
        <v>0</v>
      </c>
      <c r="DT168">
        <v>0</v>
      </c>
      <c r="DU168">
        <v>0</v>
      </c>
      <c r="DV168">
        <v>0</v>
      </c>
      <c r="DW168">
        <v>0</v>
      </c>
      <c r="DX168">
        <v>0</v>
      </c>
      <c r="DY168">
        <v>0</v>
      </c>
      <c r="DZ168">
        <v>1</v>
      </c>
      <c r="EB168" t="s">
        <v>839</v>
      </c>
      <c r="EC168" t="s">
        <v>957</v>
      </c>
      <c r="ED168" t="s">
        <v>848</v>
      </c>
      <c r="EI168">
        <v>190</v>
      </c>
      <c r="EM168" t="s">
        <v>841</v>
      </c>
      <c r="EO168">
        <v>220</v>
      </c>
      <c r="ES168" t="s">
        <v>841</v>
      </c>
      <c r="EU168">
        <v>300</v>
      </c>
      <c r="EY168" t="s">
        <v>841</v>
      </c>
      <c r="FA168">
        <v>5</v>
      </c>
      <c r="FB168" t="s">
        <v>841</v>
      </c>
      <c r="FL168" t="s">
        <v>841</v>
      </c>
      <c r="FM168">
        <v>672</v>
      </c>
      <c r="FO168">
        <v>0</v>
      </c>
      <c r="FP168">
        <v>0</v>
      </c>
      <c r="FQ168">
        <v>0</v>
      </c>
      <c r="FS168" t="s">
        <v>842</v>
      </c>
      <c r="FT168" t="s">
        <v>839</v>
      </c>
      <c r="FU168" t="s">
        <v>839</v>
      </c>
      <c r="FV168" t="s">
        <v>839</v>
      </c>
      <c r="FW168" t="s">
        <v>842</v>
      </c>
      <c r="FY168" t="s">
        <v>842</v>
      </c>
      <c r="FZ168" t="s">
        <v>839</v>
      </c>
      <c r="GA168" t="s">
        <v>842</v>
      </c>
      <c r="GB168" t="s">
        <v>842</v>
      </c>
      <c r="GC168" t="s">
        <v>842</v>
      </c>
      <c r="GD168" t="s">
        <v>842</v>
      </c>
      <c r="GG168" t="s">
        <v>668</v>
      </c>
      <c r="GI168" t="s">
        <v>1897</v>
      </c>
      <c r="GJ168">
        <v>1</v>
      </c>
      <c r="GK168">
        <v>0</v>
      </c>
      <c r="GL168">
        <v>1</v>
      </c>
      <c r="GM168">
        <v>0</v>
      </c>
      <c r="GN168">
        <v>0</v>
      </c>
      <c r="GO168">
        <v>0</v>
      </c>
      <c r="GP168">
        <v>1</v>
      </c>
      <c r="GQ168">
        <v>0</v>
      </c>
      <c r="GR168">
        <v>0</v>
      </c>
      <c r="GS168">
        <v>0</v>
      </c>
      <c r="GT168">
        <v>0</v>
      </c>
      <c r="GU168">
        <v>0</v>
      </c>
      <c r="GV168">
        <v>1</v>
      </c>
      <c r="GW168">
        <v>0</v>
      </c>
      <c r="GX168">
        <v>1</v>
      </c>
      <c r="GY168">
        <v>0</v>
      </c>
      <c r="GZ168">
        <v>0</v>
      </c>
      <c r="HB168" t="s">
        <v>839</v>
      </c>
    </row>
    <row r="169" spans="1:211" x14ac:dyDescent="0.35">
      <c r="A169" t="s">
        <v>1898</v>
      </c>
      <c r="B169" s="151">
        <v>45348.492731481478</v>
      </c>
      <c r="C169" t="s">
        <v>1899</v>
      </c>
      <c r="D169" t="s">
        <v>1900</v>
      </c>
      <c r="E169" t="s">
        <v>835</v>
      </c>
      <c r="F169" t="s">
        <v>1901</v>
      </c>
      <c r="G169" t="s">
        <v>1901</v>
      </c>
      <c r="H169" t="s">
        <v>839</v>
      </c>
      <c r="I169" t="s">
        <v>838</v>
      </c>
      <c r="K169" t="s">
        <v>842</v>
      </c>
      <c r="O169">
        <v>45</v>
      </c>
      <c r="P169">
        <v>57</v>
      </c>
      <c r="Q169">
        <v>102</v>
      </c>
      <c r="S169" t="s">
        <v>841</v>
      </c>
      <c r="T169" t="s">
        <v>841</v>
      </c>
      <c r="U169" t="s">
        <v>841</v>
      </c>
      <c r="V169" t="s">
        <v>841</v>
      </c>
      <c r="W169" t="s">
        <v>841</v>
      </c>
      <c r="X169" t="s">
        <v>841</v>
      </c>
      <c r="AH169">
        <v>1</v>
      </c>
      <c r="AI169">
        <v>1</v>
      </c>
      <c r="AJ169">
        <v>1</v>
      </c>
      <c r="AK169">
        <v>1</v>
      </c>
      <c r="AL169">
        <v>1</v>
      </c>
      <c r="AM169">
        <v>1</v>
      </c>
      <c r="AN169">
        <v>0</v>
      </c>
      <c r="AO169">
        <v>0</v>
      </c>
      <c r="AP169">
        <v>0</v>
      </c>
      <c r="AQ169">
        <v>0</v>
      </c>
      <c r="AR169">
        <v>0</v>
      </c>
      <c r="AS169">
        <v>0</v>
      </c>
      <c r="AT169">
        <v>0</v>
      </c>
      <c r="AU169">
        <v>0</v>
      </c>
      <c r="AW169">
        <v>0</v>
      </c>
      <c r="AX169">
        <v>0</v>
      </c>
      <c r="AY169">
        <v>0</v>
      </c>
      <c r="AZ169" t="s">
        <v>841</v>
      </c>
      <c r="BM169" t="s">
        <v>841</v>
      </c>
      <c r="BS169" t="s">
        <v>841</v>
      </c>
      <c r="BV169" t="s">
        <v>839</v>
      </c>
      <c r="BW169" t="s">
        <v>759</v>
      </c>
      <c r="BX169" t="s">
        <v>839</v>
      </c>
      <c r="BY169" t="s">
        <v>759</v>
      </c>
      <c r="BZ169" t="s">
        <v>839</v>
      </c>
      <c r="CA169" t="s">
        <v>839</v>
      </c>
      <c r="CC169" t="s">
        <v>839</v>
      </c>
      <c r="CD169" t="s">
        <v>855</v>
      </c>
      <c r="CG169">
        <v>4</v>
      </c>
      <c r="CH169">
        <v>2</v>
      </c>
      <c r="CI169">
        <v>4</v>
      </c>
      <c r="CJ169">
        <v>0</v>
      </c>
      <c r="CK169" t="s">
        <v>877</v>
      </c>
      <c r="CM169" t="s">
        <v>1902</v>
      </c>
      <c r="CN169">
        <v>1</v>
      </c>
      <c r="CO169">
        <v>0</v>
      </c>
      <c r="CP169">
        <v>1</v>
      </c>
      <c r="CQ169">
        <v>0</v>
      </c>
      <c r="CR169">
        <v>0</v>
      </c>
      <c r="CS169">
        <v>0</v>
      </c>
      <c r="CU169" t="s">
        <v>868</v>
      </c>
      <c r="CV169">
        <v>1</v>
      </c>
      <c r="CW169">
        <v>0</v>
      </c>
      <c r="CX169">
        <v>1</v>
      </c>
      <c r="CY169">
        <v>0</v>
      </c>
      <c r="CZ169">
        <v>0</v>
      </c>
      <c r="DA169">
        <v>0</v>
      </c>
      <c r="DB169">
        <v>0</v>
      </c>
      <c r="DC169">
        <v>0</v>
      </c>
      <c r="DD169">
        <v>1</v>
      </c>
      <c r="DE169">
        <v>1</v>
      </c>
      <c r="DF169">
        <v>0</v>
      </c>
      <c r="DJ169">
        <v>3</v>
      </c>
      <c r="DK169">
        <v>7</v>
      </c>
      <c r="DL169">
        <v>10</v>
      </c>
      <c r="DN169">
        <v>600</v>
      </c>
      <c r="DP169">
        <v>1000</v>
      </c>
      <c r="DQ169" t="s">
        <v>1421</v>
      </c>
      <c r="DR169">
        <v>1</v>
      </c>
      <c r="DS169">
        <v>0</v>
      </c>
      <c r="DT169">
        <v>0</v>
      </c>
      <c r="DU169">
        <v>0</v>
      </c>
      <c r="DV169">
        <v>1</v>
      </c>
      <c r="DW169">
        <v>1</v>
      </c>
      <c r="DX169">
        <v>0</v>
      </c>
      <c r="DY169">
        <v>0</v>
      </c>
      <c r="DZ169">
        <v>0</v>
      </c>
      <c r="EB169" t="s">
        <v>839</v>
      </c>
      <c r="EC169" t="s">
        <v>847</v>
      </c>
      <c r="ED169" t="s">
        <v>848</v>
      </c>
      <c r="EI169">
        <v>600</v>
      </c>
      <c r="EM169" t="s">
        <v>841</v>
      </c>
      <c r="ET169" t="s">
        <v>841</v>
      </c>
      <c r="EZ169" t="s">
        <v>841</v>
      </c>
      <c r="FA169">
        <v>7</v>
      </c>
      <c r="FB169" t="s">
        <v>841</v>
      </c>
      <c r="FL169" t="s">
        <v>841</v>
      </c>
      <c r="FM169">
        <v>500</v>
      </c>
      <c r="FO169">
        <v>0</v>
      </c>
      <c r="FP169">
        <v>0</v>
      </c>
      <c r="FQ169">
        <v>0</v>
      </c>
      <c r="FS169" t="s">
        <v>839</v>
      </c>
      <c r="FT169" t="s">
        <v>839</v>
      </c>
      <c r="FU169" t="s">
        <v>842</v>
      </c>
      <c r="FV169" t="s">
        <v>842</v>
      </c>
      <c r="FW169" t="s">
        <v>839</v>
      </c>
      <c r="FX169" t="s">
        <v>890</v>
      </c>
      <c r="FY169" t="s">
        <v>842</v>
      </c>
      <c r="FZ169" t="s">
        <v>839</v>
      </c>
      <c r="GA169" t="s">
        <v>839</v>
      </c>
      <c r="GB169" t="s">
        <v>842</v>
      </c>
      <c r="GC169" t="s">
        <v>842</v>
      </c>
      <c r="GD169" t="s">
        <v>839</v>
      </c>
      <c r="GE169" t="s">
        <v>929</v>
      </c>
      <c r="GG169" t="s">
        <v>839</v>
      </c>
      <c r="GI169" t="s">
        <v>626</v>
      </c>
      <c r="GJ169">
        <v>0</v>
      </c>
      <c r="GK169">
        <v>0</v>
      </c>
      <c r="GL169">
        <v>0</v>
      </c>
      <c r="GM169">
        <v>0</v>
      </c>
      <c r="GN169">
        <v>0</v>
      </c>
      <c r="GO169">
        <v>0</v>
      </c>
      <c r="GP169">
        <v>0</v>
      </c>
      <c r="GQ169">
        <v>0</v>
      </c>
      <c r="GR169">
        <v>0</v>
      </c>
      <c r="GS169">
        <v>0</v>
      </c>
      <c r="GT169">
        <v>0</v>
      </c>
      <c r="GU169">
        <v>0</v>
      </c>
      <c r="GV169">
        <v>0</v>
      </c>
      <c r="GW169">
        <v>0</v>
      </c>
      <c r="GX169">
        <v>0</v>
      </c>
      <c r="GY169">
        <v>1</v>
      </c>
      <c r="GZ169">
        <v>0</v>
      </c>
      <c r="HA169" t="s">
        <v>1903</v>
      </c>
      <c r="HB169" t="s">
        <v>839</v>
      </c>
    </row>
    <row r="170" spans="1:211" x14ac:dyDescent="0.35">
      <c r="A170" t="s">
        <v>1904</v>
      </c>
      <c r="B170" s="151">
        <v>45348.552731481483</v>
      </c>
      <c r="C170" t="s">
        <v>1905</v>
      </c>
      <c r="D170" t="s">
        <v>1906</v>
      </c>
      <c r="E170" t="s">
        <v>875</v>
      </c>
      <c r="F170" t="s">
        <v>1907</v>
      </c>
      <c r="G170" t="s">
        <v>1908</v>
      </c>
      <c r="H170" t="s">
        <v>839</v>
      </c>
      <c r="I170" t="s">
        <v>838</v>
      </c>
      <c r="K170" t="s">
        <v>842</v>
      </c>
      <c r="O170">
        <v>43</v>
      </c>
      <c r="P170">
        <v>37</v>
      </c>
      <c r="Q170">
        <v>80</v>
      </c>
      <c r="T170" t="s">
        <v>841</v>
      </c>
      <c r="U170" t="s">
        <v>841</v>
      </c>
      <c r="V170" t="s">
        <v>841</v>
      </c>
      <c r="W170" t="s">
        <v>841</v>
      </c>
      <c r="X170" t="s">
        <v>841</v>
      </c>
      <c r="Y170" t="s">
        <v>841</v>
      </c>
      <c r="Z170" t="s">
        <v>841</v>
      </c>
      <c r="AA170" t="s">
        <v>841</v>
      </c>
      <c r="AB170" t="s">
        <v>841</v>
      </c>
      <c r="AC170" t="s">
        <v>841</v>
      </c>
      <c r="AI170">
        <v>1</v>
      </c>
      <c r="AJ170">
        <v>1</v>
      </c>
      <c r="AK170">
        <v>1</v>
      </c>
      <c r="AL170">
        <v>1</v>
      </c>
      <c r="AM170">
        <v>1</v>
      </c>
      <c r="AN170">
        <v>1</v>
      </c>
      <c r="AO170">
        <v>1</v>
      </c>
      <c r="AP170">
        <v>1</v>
      </c>
      <c r="AQ170">
        <v>1</v>
      </c>
      <c r="AR170">
        <v>1</v>
      </c>
      <c r="AW170">
        <v>0</v>
      </c>
      <c r="AX170">
        <v>0</v>
      </c>
      <c r="AY170">
        <v>0</v>
      </c>
      <c r="AZ170" t="s">
        <v>841</v>
      </c>
      <c r="BM170" t="s">
        <v>841</v>
      </c>
      <c r="BS170" t="s">
        <v>841</v>
      </c>
      <c r="BV170" t="s">
        <v>842</v>
      </c>
      <c r="BX170" t="s">
        <v>839</v>
      </c>
      <c r="BY170" t="s">
        <v>759</v>
      </c>
      <c r="BZ170" t="s">
        <v>839</v>
      </c>
      <c r="CA170" t="s">
        <v>839</v>
      </c>
      <c r="CC170" t="s">
        <v>839</v>
      </c>
      <c r="CD170" t="s">
        <v>855</v>
      </c>
      <c r="CG170">
        <v>2</v>
      </c>
      <c r="CH170">
        <v>1</v>
      </c>
      <c r="CI170">
        <v>1</v>
      </c>
      <c r="CJ170">
        <v>0</v>
      </c>
      <c r="CK170" t="s">
        <v>681</v>
      </c>
      <c r="CM170" t="s">
        <v>844</v>
      </c>
      <c r="CN170">
        <v>1</v>
      </c>
      <c r="CO170">
        <v>0</v>
      </c>
      <c r="CP170">
        <v>0</v>
      </c>
      <c r="CQ170">
        <v>0</v>
      </c>
      <c r="CR170">
        <v>0</v>
      </c>
      <c r="CS170">
        <v>0</v>
      </c>
      <c r="CU170" t="s">
        <v>1280</v>
      </c>
      <c r="CV170">
        <v>0</v>
      </c>
      <c r="CW170">
        <v>0</v>
      </c>
      <c r="CX170">
        <v>1</v>
      </c>
      <c r="CY170">
        <v>0</v>
      </c>
      <c r="CZ170">
        <v>0</v>
      </c>
      <c r="DA170">
        <v>0</v>
      </c>
      <c r="DB170">
        <v>0</v>
      </c>
      <c r="DC170">
        <v>0</v>
      </c>
      <c r="DD170">
        <v>0</v>
      </c>
      <c r="DE170">
        <v>1</v>
      </c>
      <c r="DF170">
        <v>0</v>
      </c>
      <c r="DJ170">
        <v>4</v>
      </c>
      <c r="DK170">
        <v>6</v>
      </c>
      <c r="DL170">
        <v>10</v>
      </c>
      <c r="DN170">
        <v>250</v>
      </c>
      <c r="DP170">
        <v>400</v>
      </c>
      <c r="DQ170" t="s">
        <v>937</v>
      </c>
      <c r="DR170">
        <v>1</v>
      </c>
      <c r="DS170">
        <v>0</v>
      </c>
      <c r="DT170">
        <v>0</v>
      </c>
      <c r="DU170">
        <v>0</v>
      </c>
      <c r="DV170">
        <v>0</v>
      </c>
      <c r="DW170">
        <v>0</v>
      </c>
      <c r="DX170">
        <v>0</v>
      </c>
      <c r="DY170">
        <v>0</v>
      </c>
      <c r="DZ170">
        <v>0</v>
      </c>
      <c r="EB170" t="s">
        <v>839</v>
      </c>
      <c r="EC170" t="s">
        <v>1167</v>
      </c>
      <c r="ED170" t="s">
        <v>848</v>
      </c>
      <c r="EI170" s="157">
        <v>100</v>
      </c>
      <c r="EJ170" s="157"/>
      <c r="EK170" s="157"/>
      <c r="EL170" s="157" t="s">
        <v>841</v>
      </c>
      <c r="EM170" s="157"/>
      <c r="EN170" s="157"/>
      <c r="EO170" s="157"/>
      <c r="EP170" s="157"/>
      <c r="EQ170" s="157"/>
      <c r="ER170" s="157"/>
      <c r="ES170" s="157"/>
      <c r="ET170" s="157" t="s">
        <v>841</v>
      </c>
      <c r="EU170" s="157"/>
      <c r="EV170" s="157"/>
      <c r="EW170" s="157"/>
      <c r="EX170" s="157"/>
      <c r="EY170" s="157"/>
      <c r="EZ170" s="157" t="s">
        <v>841</v>
      </c>
      <c r="FA170" s="157">
        <v>6</v>
      </c>
      <c r="FB170" s="157" t="s">
        <v>841</v>
      </c>
      <c r="FC170" s="157"/>
      <c r="FD170" s="157"/>
      <c r="FE170" s="157"/>
      <c r="FF170" s="157"/>
      <c r="FG170" s="157"/>
      <c r="FH170" s="157"/>
      <c r="FI170" s="157"/>
      <c r="FJ170" s="157"/>
      <c r="FK170" s="157"/>
      <c r="FL170" s="157" t="s">
        <v>841</v>
      </c>
      <c r="FM170">
        <v>200</v>
      </c>
      <c r="FO170">
        <v>0</v>
      </c>
      <c r="FP170">
        <v>0</v>
      </c>
      <c r="FQ170">
        <v>0</v>
      </c>
      <c r="FS170" t="s">
        <v>839</v>
      </c>
      <c r="FT170" t="s">
        <v>842</v>
      </c>
      <c r="FU170" t="s">
        <v>839</v>
      </c>
      <c r="FV170" t="s">
        <v>839</v>
      </c>
      <c r="FW170" t="s">
        <v>839</v>
      </c>
      <c r="FX170" t="s">
        <v>965</v>
      </c>
      <c r="FY170" t="s">
        <v>842</v>
      </c>
      <c r="FZ170" t="s">
        <v>839</v>
      </c>
      <c r="GA170" t="s">
        <v>842</v>
      </c>
      <c r="GB170" t="s">
        <v>839</v>
      </c>
      <c r="GC170" t="s">
        <v>842</v>
      </c>
      <c r="GD170" t="s">
        <v>842</v>
      </c>
      <c r="GG170" t="s">
        <v>842</v>
      </c>
      <c r="GI170" t="s">
        <v>849</v>
      </c>
      <c r="GJ170">
        <v>1</v>
      </c>
      <c r="GK170">
        <v>0</v>
      </c>
      <c r="GL170">
        <v>0</v>
      </c>
      <c r="GM170">
        <v>0</v>
      </c>
      <c r="GN170">
        <v>0</v>
      </c>
      <c r="GO170">
        <v>0</v>
      </c>
      <c r="GP170">
        <v>0</v>
      </c>
      <c r="GQ170">
        <v>0</v>
      </c>
      <c r="GR170">
        <v>0</v>
      </c>
      <c r="GS170">
        <v>0</v>
      </c>
      <c r="GT170">
        <v>0</v>
      </c>
      <c r="GU170">
        <v>0</v>
      </c>
      <c r="GV170">
        <v>0</v>
      </c>
      <c r="GW170">
        <v>0</v>
      </c>
      <c r="GX170">
        <v>0</v>
      </c>
      <c r="GY170">
        <v>0</v>
      </c>
      <c r="GZ170">
        <v>0</v>
      </c>
      <c r="HB170" t="s">
        <v>839</v>
      </c>
    </row>
    <row r="171" spans="1:211" x14ac:dyDescent="0.35">
      <c r="A171" t="s">
        <v>1909</v>
      </c>
      <c r="B171" s="151">
        <v>45348.56689814815</v>
      </c>
      <c r="C171" t="s">
        <v>1910</v>
      </c>
      <c r="D171" t="s">
        <v>1911</v>
      </c>
      <c r="E171" t="s">
        <v>835</v>
      </c>
      <c r="F171" t="s">
        <v>1912</v>
      </c>
      <c r="G171" t="s">
        <v>1912</v>
      </c>
      <c r="H171" t="s">
        <v>839</v>
      </c>
      <c r="I171" t="s">
        <v>838</v>
      </c>
      <c r="K171" t="s">
        <v>839</v>
      </c>
      <c r="L171" t="s">
        <v>887</v>
      </c>
      <c r="O171">
        <v>33</v>
      </c>
      <c r="P171">
        <v>48</v>
      </c>
      <c r="Q171">
        <v>81</v>
      </c>
      <c r="T171" t="s">
        <v>841</v>
      </c>
      <c r="Z171" t="s">
        <v>841</v>
      </c>
      <c r="AH171">
        <v>1</v>
      </c>
      <c r="AI171">
        <v>1</v>
      </c>
      <c r="AJ171">
        <v>1</v>
      </c>
      <c r="AK171">
        <v>1</v>
      </c>
      <c r="AL171">
        <v>1</v>
      </c>
      <c r="AM171">
        <v>1</v>
      </c>
      <c r="AN171">
        <v>1</v>
      </c>
      <c r="BV171" t="s">
        <v>839</v>
      </c>
      <c r="BW171" t="s">
        <v>759</v>
      </c>
      <c r="BX171" t="s">
        <v>839</v>
      </c>
      <c r="BY171" t="s">
        <v>759</v>
      </c>
      <c r="BZ171" t="s">
        <v>839</v>
      </c>
      <c r="CA171" t="s">
        <v>839</v>
      </c>
      <c r="CC171" t="s">
        <v>839</v>
      </c>
      <c r="CD171" t="s">
        <v>855</v>
      </c>
      <c r="CG171">
        <v>1</v>
      </c>
      <c r="CH171">
        <v>1</v>
      </c>
      <c r="CI171">
        <v>1</v>
      </c>
      <c r="CJ171">
        <v>1</v>
      </c>
      <c r="CK171" t="s">
        <v>681</v>
      </c>
      <c r="CM171" t="s">
        <v>681</v>
      </c>
      <c r="CN171">
        <v>0</v>
      </c>
      <c r="CO171">
        <v>0</v>
      </c>
      <c r="CP171">
        <v>0</v>
      </c>
      <c r="CQ171">
        <v>0</v>
      </c>
      <c r="CR171">
        <v>1</v>
      </c>
      <c r="CS171">
        <v>0</v>
      </c>
      <c r="CU171" t="s">
        <v>1490</v>
      </c>
      <c r="CV171">
        <v>0</v>
      </c>
      <c r="CW171">
        <v>0</v>
      </c>
      <c r="CX171">
        <v>1</v>
      </c>
      <c r="CY171">
        <v>0</v>
      </c>
      <c r="CZ171">
        <v>0</v>
      </c>
      <c r="DA171">
        <v>0</v>
      </c>
      <c r="DB171">
        <v>0</v>
      </c>
      <c r="DC171">
        <v>0</v>
      </c>
      <c r="DD171">
        <v>0</v>
      </c>
      <c r="DE171">
        <v>0</v>
      </c>
      <c r="DF171">
        <v>0</v>
      </c>
      <c r="DJ171">
        <v>2</v>
      </c>
      <c r="DK171">
        <v>4</v>
      </c>
      <c r="DL171">
        <v>6</v>
      </c>
      <c r="DN171">
        <v>250</v>
      </c>
      <c r="DP171">
        <v>300</v>
      </c>
      <c r="DQ171" t="s">
        <v>1558</v>
      </c>
      <c r="DR171">
        <v>0</v>
      </c>
      <c r="DS171">
        <v>0</v>
      </c>
      <c r="DT171">
        <v>0</v>
      </c>
      <c r="DU171">
        <v>0</v>
      </c>
      <c r="DV171">
        <v>0</v>
      </c>
      <c r="DW171">
        <v>1</v>
      </c>
      <c r="DX171">
        <v>0</v>
      </c>
      <c r="DY171">
        <v>0</v>
      </c>
      <c r="DZ171">
        <v>0</v>
      </c>
      <c r="EB171" t="s">
        <v>839</v>
      </c>
      <c r="EC171" t="s">
        <v>847</v>
      </c>
      <c r="ED171" t="s">
        <v>848</v>
      </c>
      <c r="EI171">
        <v>70</v>
      </c>
      <c r="EM171" t="s">
        <v>841</v>
      </c>
      <c r="EO171">
        <v>100</v>
      </c>
      <c r="ES171" t="s">
        <v>841</v>
      </c>
      <c r="EU171">
        <v>100</v>
      </c>
      <c r="EY171" t="s">
        <v>841</v>
      </c>
      <c r="FA171">
        <v>7</v>
      </c>
      <c r="FE171" t="s">
        <v>841</v>
      </c>
      <c r="FG171">
        <v>2</v>
      </c>
      <c r="FH171" t="s">
        <v>841</v>
      </c>
      <c r="FM171">
        <v>40</v>
      </c>
      <c r="FO171">
        <v>1</v>
      </c>
      <c r="FP171">
        <v>1</v>
      </c>
      <c r="FQ171">
        <v>2</v>
      </c>
      <c r="FS171" t="s">
        <v>839</v>
      </c>
      <c r="FT171" t="s">
        <v>839</v>
      </c>
      <c r="FU171" t="s">
        <v>839</v>
      </c>
      <c r="FV171" t="s">
        <v>839</v>
      </c>
      <c r="FW171" t="s">
        <v>842</v>
      </c>
      <c r="FY171" t="s">
        <v>839</v>
      </c>
      <c r="FZ171" t="s">
        <v>839</v>
      </c>
      <c r="GA171" t="s">
        <v>839</v>
      </c>
      <c r="GB171" t="s">
        <v>839</v>
      </c>
      <c r="GC171" t="s">
        <v>839</v>
      </c>
      <c r="GD171" t="s">
        <v>839</v>
      </c>
      <c r="GE171" t="s">
        <v>881</v>
      </c>
      <c r="GG171" t="s">
        <v>839</v>
      </c>
      <c r="GI171" t="s">
        <v>1913</v>
      </c>
      <c r="GJ171">
        <v>0</v>
      </c>
      <c r="GK171">
        <v>0</v>
      </c>
      <c r="GL171">
        <v>1</v>
      </c>
      <c r="GM171">
        <v>0</v>
      </c>
      <c r="GN171">
        <v>0</v>
      </c>
      <c r="GO171">
        <v>0</v>
      </c>
      <c r="GP171">
        <v>0</v>
      </c>
      <c r="GQ171">
        <v>0</v>
      </c>
      <c r="GR171">
        <v>0</v>
      </c>
      <c r="GS171">
        <v>0</v>
      </c>
      <c r="GT171">
        <v>0</v>
      </c>
      <c r="GU171">
        <v>0</v>
      </c>
      <c r="GV171">
        <v>0</v>
      </c>
      <c r="GW171">
        <v>0</v>
      </c>
      <c r="GX171">
        <v>0</v>
      </c>
      <c r="GY171">
        <v>0</v>
      </c>
      <c r="GZ171">
        <v>0</v>
      </c>
      <c r="HB171" t="s">
        <v>839</v>
      </c>
    </row>
    <row r="172" spans="1:211" x14ac:dyDescent="0.35">
      <c r="A172" t="s">
        <v>1914</v>
      </c>
      <c r="B172" s="151">
        <v>45349.606099537043</v>
      </c>
      <c r="C172" t="s">
        <v>1915</v>
      </c>
      <c r="D172" t="s">
        <v>1916</v>
      </c>
      <c r="E172" t="s">
        <v>875</v>
      </c>
      <c r="F172" t="s">
        <v>1917</v>
      </c>
      <c r="G172" t="s">
        <v>1917</v>
      </c>
      <c r="H172" t="s">
        <v>839</v>
      </c>
      <c r="I172" t="s">
        <v>896</v>
      </c>
      <c r="K172" t="s">
        <v>839</v>
      </c>
      <c r="L172" t="s">
        <v>887</v>
      </c>
      <c r="O172">
        <v>162</v>
      </c>
      <c r="P172">
        <v>141</v>
      </c>
      <c r="Q172">
        <v>303</v>
      </c>
      <c r="S172" t="s">
        <v>841</v>
      </c>
      <c r="T172" t="s">
        <v>841</v>
      </c>
      <c r="U172" t="s">
        <v>841</v>
      </c>
      <c r="V172" t="s">
        <v>841</v>
      </c>
      <c r="W172" t="s">
        <v>841</v>
      </c>
      <c r="X172" t="s">
        <v>841</v>
      </c>
      <c r="Y172" t="s">
        <v>841</v>
      </c>
      <c r="Z172" t="s">
        <v>841</v>
      </c>
      <c r="AA172" t="s">
        <v>841</v>
      </c>
      <c r="AB172" t="s">
        <v>841</v>
      </c>
      <c r="AC172" t="s">
        <v>841</v>
      </c>
      <c r="AD172" t="s">
        <v>841</v>
      </c>
      <c r="AH172">
        <v>0</v>
      </c>
      <c r="AI172">
        <v>1</v>
      </c>
      <c r="AJ172">
        <v>1</v>
      </c>
      <c r="AK172">
        <v>1</v>
      </c>
      <c r="AL172">
        <v>1</v>
      </c>
      <c r="AM172">
        <v>1</v>
      </c>
      <c r="AN172">
        <v>1</v>
      </c>
      <c r="AO172">
        <v>1</v>
      </c>
      <c r="AP172">
        <v>1</v>
      </c>
      <c r="AQ172">
        <v>1</v>
      </c>
      <c r="AR172">
        <v>1</v>
      </c>
      <c r="AS172">
        <v>1</v>
      </c>
      <c r="AW172">
        <v>0</v>
      </c>
      <c r="AX172">
        <v>0</v>
      </c>
      <c r="AY172">
        <v>0</v>
      </c>
      <c r="AZ172" t="s">
        <v>841</v>
      </c>
      <c r="BJ172">
        <v>7</v>
      </c>
      <c r="BK172">
        <v>7</v>
      </c>
      <c r="BL172">
        <v>14</v>
      </c>
      <c r="BS172" t="s">
        <v>841</v>
      </c>
      <c r="BV172" t="s">
        <v>839</v>
      </c>
      <c r="BW172" t="s">
        <v>758</v>
      </c>
      <c r="BX172" t="s">
        <v>839</v>
      </c>
      <c r="BY172" t="s">
        <v>950</v>
      </c>
      <c r="BZ172" t="s">
        <v>839</v>
      </c>
      <c r="CA172" t="s">
        <v>839</v>
      </c>
      <c r="CC172" t="s">
        <v>839</v>
      </c>
      <c r="CD172" t="s">
        <v>855</v>
      </c>
      <c r="CG172">
        <v>4</v>
      </c>
      <c r="CH172">
        <v>2</v>
      </c>
      <c r="CI172">
        <v>2</v>
      </c>
      <c r="CJ172">
        <v>0</v>
      </c>
      <c r="CK172" t="s">
        <v>877</v>
      </c>
      <c r="CM172" t="s">
        <v>867</v>
      </c>
      <c r="CN172">
        <v>0</v>
      </c>
      <c r="CO172">
        <v>1</v>
      </c>
      <c r="CP172">
        <v>0</v>
      </c>
      <c r="CQ172">
        <v>0</v>
      </c>
      <c r="CR172">
        <v>0</v>
      </c>
      <c r="CS172">
        <v>0</v>
      </c>
      <c r="CU172" t="s">
        <v>1918</v>
      </c>
      <c r="CV172">
        <v>1</v>
      </c>
      <c r="CW172">
        <v>1</v>
      </c>
      <c r="CX172">
        <v>1</v>
      </c>
      <c r="CY172">
        <v>0</v>
      </c>
      <c r="CZ172">
        <v>0</v>
      </c>
      <c r="DA172">
        <v>0</v>
      </c>
      <c r="DB172">
        <v>1</v>
      </c>
      <c r="DC172">
        <v>0</v>
      </c>
      <c r="DD172">
        <v>1</v>
      </c>
      <c r="DE172">
        <v>1</v>
      </c>
      <c r="DF172">
        <v>0</v>
      </c>
      <c r="DJ172">
        <v>9</v>
      </c>
      <c r="DK172">
        <v>3</v>
      </c>
      <c r="DL172">
        <v>12</v>
      </c>
      <c r="DN172">
        <v>560</v>
      </c>
      <c r="DP172">
        <v>1020</v>
      </c>
      <c r="DQ172" t="s">
        <v>1919</v>
      </c>
      <c r="DR172">
        <v>1</v>
      </c>
      <c r="DS172">
        <v>0</v>
      </c>
      <c r="DT172">
        <v>0</v>
      </c>
      <c r="DU172">
        <v>0</v>
      </c>
      <c r="DV172">
        <v>1</v>
      </c>
      <c r="DW172">
        <v>1</v>
      </c>
      <c r="DX172">
        <v>0</v>
      </c>
      <c r="DY172">
        <v>1</v>
      </c>
      <c r="DZ172">
        <v>0</v>
      </c>
      <c r="EA172" t="s">
        <v>1920</v>
      </c>
      <c r="EB172" t="s">
        <v>842</v>
      </c>
      <c r="EC172" t="s">
        <v>869</v>
      </c>
      <c r="ED172" t="s">
        <v>848</v>
      </c>
      <c r="EI172">
        <v>420</v>
      </c>
      <c r="EM172" t="s">
        <v>841</v>
      </c>
      <c r="ET172" t="s">
        <v>841</v>
      </c>
      <c r="EZ172" t="s">
        <v>841</v>
      </c>
      <c r="FA172">
        <v>5</v>
      </c>
      <c r="FB172" t="s">
        <v>841</v>
      </c>
      <c r="FL172" t="s">
        <v>841</v>
      </c>
      <c r="FM172" s="156">
        <v>1185</v>
      </c>
      <c r="FO172">
        <v>3</v>
      </c>
      <c r="FP172">
        <v>4</v>
      </c>
      <c r="FQ172">
        <v>7</v>
      </c>
      <c r="FS172" t="s">
        <v>839</v>
      </c>
      <c r="FT172" t="s">
        <v>842</v>
      </c>
      <c r="FU172" t="s">
        <v>839</v>
      </c>
      <c r="FV172" t="s">
        <v>839</v>
      </c>
      <c r="FW172" t="s">
        <v>839</v>
      </c>
      <c r="FX172" t="s">
        <v>880</v>
      </c>
      <c r="FY172" t="s">
        <v>839</v>
      </c>
      <c r="FZ172" t="s">
        <v>839</v>
      </c>
      <c r="GA172" t="s">
        <v>839</v>
      </c>
      <c r="GB172" t="s">
        <v>839</v>
      </c>
      <c r="GC172" t="s">
        <v>839</v>
      </c>
      <c r="GD172" t="s">
        <v>842</v>
      </c>
      <c r="GG172" t="s">
        <v>842</v>
      </c>
      <c r="GI172" t="s">
        <v>1025</v>
      </c>
      <c r="GJ172">
        <v>1</v>
      </c>
      <c r="GK172">
        <v>0</v>
      </c>
      <c r="GL172">
        <v>0</v>
      </c>
      <c r="GM172">
        <v>0</v>
      </c>
      <c r="GN172">
        <v>0</v>
      </c>
      <c r="GO172">
        <v>1</v>
      </c>
      <c r="GP172">
        <v>0</v>
      </c>
      <c r="GQ172">
        <v>0</v>
      </c>
      <c r="GR172">
        <v>0</v>
      </c>
      <c r="GS172">
        <v>0</v>
      </c>
      <c r="GT172">
        <v>0</v>
      </c>
      <c r="GU172">
        <v>0</v>
      </c>
      <c r="GV172">
        <v>0</v>
      </c>
      <c r="GW172">
        <v>0</v>
      </c>
      <c r="GX172">
        <v>0</v>
      </c>
      <c r="GY172">
        <v>0</v>
      </c>
      <c r="GZ172">
        <v>0</v>
      </c>
      <c r="HB172" t="s">
        <v>839</v>
      </c>
    </row>
    <row r="173" spans="1:211" x14ac:dyDescent="0.35">
      <c r="A173" t="s">
        <v>1921</v>
      </c>
      <c r="B173" s="151">
        <v>45350.557372685187</v>
      </c>
      <c r="C173" t="s">
        <v>1922</v>
      </c>
      <c r="D173" t="s">
        <v>552</v>
      </c>
      <c r="E173" t="s">
        <v>875</v>
      </c>
      <c r="F173" t="s">
        <v>1923</v>
      </c>
      <c r="H173" t="s">
        <v>839</v>
      </c>
      <c r="I173" t="s">
        <v>838</v>
      </c>
      <c r="K173" t="s">
        <v>839</v>
      </c>
      <c r="L173" t="s">
        <v>887</v>
      </c>
      <c r="O173">
        <v>260</v>
      </c>
      <c r="P173">
        <v>256</v>
      </c>
      <c r="Q173">
        <v>516</v>
      </c>
      <c r="T173" t="s">
        <v>841</v>
      </c>
      <c r="U173" t="s">
        <v>841</v>
      </c>
      <c r="V173" t="s">
        <v>841</v>
      </c>
      <c r="W173" t="s">
        <v>841</v>
      </c>
      <c r="X173" t="s">
        <v>841</v>
      </c>
      <c r="Y173" t="s">
        <v>841</v>
      </c>
      <c r="Z173" t="s">
        <v>841</v>
      </c>
      <c r="AA173" t="s">
        <v>841</v>
      </c>
      <c r="AB173" t="s">
        <v>841</v>
      </c>
      <c r="AC173" t="s">
        <v>841</v>
      </c>
      <c r="AD173" t="s">
        <v>841</v>
      </c>
      <c r="AE173" t="s">
        <v>841</v>
      </c>
      <c r="AF173" t="s">
        <v>841</v>
      </c>
      <c r="AH173">
        <v>0</v>
      </c>
      <c r="AI173">
        <v>1</v>
      </c>
      <c r="AJ173">
        <v>1</v>
      </c>
      <c r="AK173">
        <v>1</v>
      </c>
      <c r="AL173">
        <v>2</v>
      </c>
      <c r="AM173">
        <v>2</v>
      </c>
      <c r="AN173">
        <v>2</v>
      </c>
      <c r="AO173">
        <v>2</v>
      </c>
      <c r="AP173">
        <v>2</v>
      </c>
      <c r="AQ173">
        <v>1</v>
      </c>
      <c r="AR173">
        <v>1</v>
      </c>
      <c r="AS173">
        <v>1</v>
      </c>
      <c r="AT173">
        <v>1</v>
      </c>
      <c r="AU173">
        <v>1</v>
      </c>
      <c r="AW173">
        <v>14</v>
      </c>
      <c r="AX173">
        <v>19</v>
      </c>
      <c r="AY173">
        <v>33</v>
      </c>
      <c r="BB173" t="s">
        <v>1894</v>
      </c>
      <c r="BC173" t="s">
        <v>1894</v>
      </c>
      <c r="BD173" t="s">
        <v>1924</v>
      </c>
      <c r="BF173" t="s">
        <v>1925</v>
      </c>
      <c r="BG173" t="s">
        <v>1925</v>
      </c>
      <c r="BH173" t="s">
        <v>1926</v>
      </c>
      <c r="BJ173">
        <v>7</v>
      </c>
      <c r="BK173">
        <v>8</v>
      </c>
      <c r="BL173">
        <v>15</v>
      </c>
      <c r="BP173">
        <v>14</v>
      </c>
      <c r="BQ173">
        <v>19</v>
      </c>
      <c r="BR173">
        <v>33</v>
      </c>
      <c r="BV173" t="s">
        <v>839</v>
      </c>
      <c r="BW173" t="s">
        <v>759</v>
      </c>
      <c r="BX173" t="s">
        <v>839</v>
      </c>
      <c r="BY173" t="s">
        <v>759</v>
      </c>
      <c r="BZ173" t="s">
        <v>839</v>
      </c>
      <c r="CA173" t="s">
        <v>839</v>
      </c>
      <c r="CC173" t="s">
        <v>839</v>
      </c>
      <c r="CD173" t="s">
        <v>855</v>
      </c>
      <c r="CG173">
        <v>3</v>
      </c>
      <c r="CH173">
        <v>1</v>
      </c>
      <c r="CI173">
        <v>1</v>
      </c>
      <c r="CJ173">
        <v>0</v>
      </c>
      <c r="CK173" t="s">
        <v>993</v>
      </c>
      <c r="CM173" t="s">
        <v>844</v>
      </c>
      <c r="CN173">
        <v>1</v>
      </c>
      <c r="CO173">
        <v>0</v>
      </c>
      <c r="CP173">
        <v>0</v>
      </c>
      <c r="CQ173">
        <v>0</v>
      </c>
      <c r="CR173">
        <v>0</v>
      </c>
      <c r="CS173">
        <v>0</v>
      </c>
      <c r="CU173" t="s">
        <v>907</v>
      </c>
      <c r="CV173">
        <v>1</v>
      </c>
      <c r="CW173">
        <v>0</v>
      </c>
      <c r="CX173">
        <v>1</v>
      </c>
      <c r="CY173">
        <v>0</v>
      </c>
      <c r="CZ173">
        <v>0</v>
      </c>
      <c r="DA173">
        <v>0</v>
      </c>
      <c r="DB173">
        <v>0</v>
      </c>
      <c r="DC173">
        <v>0</v>
      </c>
      <c r="DD173">
        <v>1</v>
      </c>
      <c r="DE173">
        <v>0</v>
      </c>
      <c r="DF173">
        <v>0</v>
      </c>
      <c r="DJ173">
        <v>16</v>
      </c>
      <c r="DK173">
        <v>10</v>
      </c>
      <c r="DL173">
        <v>26</v>
      </c>
      <c r="DN173">
        <v>500</v>
      </c>
      <c r="DP173">
        <v>2000</v>
      </c>
      <c r="DQ173" t="s">
        <v>937</v>
      </c>
      <c r="DR173">
        <v>1</v>
      </c>
      <c r="DS173">
        <v>0</v>
      </c>
      <c r="DT173">
        <v>0</v>
      </c>
      <c r="DU173">
        <v>0</v>
      </c>
      <c r="DV173">
        <v>0</v>
      </c>
      <c r="DW173">
        <v>0</v>
      </c>
      <c r="DX173">
        <v>0</v>
      </c>
      <c r="DY173">
        <v>0</v>
      </c>
      <c r="DZ173">
        <v>0</v>
      </c>
      <c r="EB173" t="s">
        <v>839</v>
      </c>
      <c r="EC173" t="s">
        <v>847</v>
      </c>
      <c r="ED173" t="s">
        <v>848</v>
      </c>
      <c r="EI173">
        <v>10</v>
      </c>
      <c r="EJ173" t="s">
        <v>841</v>
      </c>
      <c r="ET173" t="s">
        <v>841</v>
      </c>
      <c r="EZ173" t="s">
        <v>841</v>
      </c>
      <c r="FA173">
        <v>0</v>
      </c>
      <c r="FF173" t="s">
        <v>841</v>
      </c>
      <c r="FL173" t="s">
        <v>841</v>
      </c>
      <c r="FM173" s="156">
        <v>5683</v>
      </c>
      <c r="FO173">
        <v>11</v>
      </c>
      <c r="FP173">
        <v>9</v>
      </c>
      <c r="FQ173">
        <v>20</v>
      </c>
      <c r="FS173" t="s">
        <v>839</v>
      </c>
      <c r="FT173" t="s">
        <v>839</v>
      </c>
      <c r="FU173" t="s">
        <v>839</v>
      </c>
      <c r="FV173" t="s">
        <v>839</v>
      </c>
      <c r="FW173" t="s">
        <v>839</v>
      </c>
      <c r="FX173" t="s">
        <v>965</v>
      </c>
      <c r="FY173" t="s">
        <v>842</v>
      </c>
      <c r="FZ173" t="s">
        <v>842</v>
      </c>
      <c r="GA173" t="s">
        <v>839</v>
      </c>
      <c r="GB173" t="s">
        <v>842</v>
      </c>
      <c r="GC173" t="s">
        <v>842</v>
      </c>
      <c r="GD173" t="s">
        <v>842</v>
      </c>
      <c r="GG173" t="s">
        <v>668</v>
      </c>
      <c r="GI173" t="s">
        <v>849</v>
      </c>
      <c r="GJ173">
        <v>1</v>
      </c>
      <c r="GK173">
        <v>0</v>
      </c>
      <c r="GL173">
        <v>0</v>
      </c>
      <c r="GM173">
        <v>0</v>
      </c>
      <c r="GN173">
        <v>0</v>
      </c>
      <c r="GO173">
        <v>0</v>
      </c>
      <c r="GP173">
        <v>0</v>
      </c>
      <c r="GQ173">
        <v>0</v>
      </c>
      <c r="GR173">
        <v>0</v>
      </c>
      <c r="GS173">
        <v>0</v>
      </c>
      <c r="GT173">
        <v>0</v>
      </c>
      <c r="GU173">
        <v>0</v>
      </c>
      <c r="GV173">
        <v>0</v>
      </c>
      <c r="GW173">
        <v>0</v>
      </c>
      <c r="GX173">
        <v>0</v>
      </c>
      <c r="GY173">
        <v>0</v>
      </c>
      <c r="GZ173">
        <v>0</v>
      </c>
      <c r="HB173" t="s">
        <v>839</v>
      </c>
    </row>
    <row r="174" spans="1:211" x14ac:dyDescent="0.35">
      <c r="A174" t="s">
        <v>1927</v>
      </c>
      <c r="B174" s="151">
        <v>45350.633321759262</v>
      </c>
      <c r="C174" t="s">
        <v>1928</v>
      </c>
      <c r="D174" t="s">
        <v>1929</v>
      </c>
      <c r="E174" t="s">
        <v>875</v>
      </c>
      <c r="F174" t="s">
        <v>1930</v>
      </c>
      <c r="G174" t="s">
        <v>1931</v>
      </c>
      <c r="H174" t="s">
        <v>839</v>
      </c>
      <c r="I174" t="s">
        <v>838</v>
      </c>
      <c r="K174" t="s">
        <v>839</v>
      </c>
      <c r="L174" t="s">
        <v>887</v>
      </c>
      <c r="O174">
        <v>747</v>
      </c>
      <c r="P174">
        <v>612</v>
      </c>
      <c r="Q174">
        <v>1359</v>
      </c>
      <c r="T174" t="s">
        <v>841</v>
      </c>
      <c r="U174" t="s">
        <v>841</v>
      </c>
      <c r="V174" t="s">
        <v>841</v>
      </c>
      <c r="W174" t="s">
        <v>841</v>
      </c>
      <c r="X174" t="s">
        <v>841</v>
      </c>
      <c r="Y174" t="s">
        <v>841</v>
      </c>
      <c r="Z174" t="s">
        <v>841</v>
      </c>
      <c r="AA174" t="s">
        <v>841</v>
      </c>
      <c r="AB174" t="s">
        <v>841</v>
      </c>
      <c r="AC174" t="s">
        <v>841</v>
      </c>
      <c r="AD174" t="s">
        <v>841</v>
      </c>
      <c r="AE174" t="s">
        <v>841</v>
      </c>
      <c r="AF174" t="s">
        <v>841</v>
      </c>
      <c r="AI174">
        <v>1</v>
      </c>
      <c r="AJ174">
        <v>2</v>
      </c>
      <c r="AK174">
        <v>1</v>
      </c>
      <c r="AL174">
        <v>1</v>
      </c>
      <c r="AM174">
        <v>1</v>
      </c>
      <c r="AN174">
        <v>1</v>
      </c>
      <c r="AO174">
        <v>1</v>
      </c>
      <c r="AP174">
        <v>1</v>
      </c>
      <c r="AQ174">
        <v>1</v>
      </c>
      <c r="AR174">
        <v>1</v>
      </c>
      <c r="AS174">
        <v>1</v>
      </c>
      <c r="AT174">
        <v>1</v>
      </c>
      <c r="AU174">
        <v>1</v>
      </c>
      <c r="AW174">
        <v>33</v>
      </c>
      <c r="AX174">
        <v>25</v>
      </c>
      <c r="AY174">
        <v>58</v>
      </c>
      <c r="BB174" t="s">
        <v>1932</v>
      </c>
      <c r="BC174" t="s">
        <v>1933</v>
      </c>
      <c r="BD174" t="s">
        <v>1934</v>
      </c>
      <c r="BF174" t="s">
        <v>1935</v>
      </c>
      <c r="BG174" t="s">
        <v>1934</v>
      </c>
      <c r="BH174" t="s">
        <v>1936</v>
      </c>
      <c r="BJ174">
        <v>62</v>
      </c>
      <c r="BK174">
        <v>58</v>
      </c>
      <c r="BL174">
        <v>120</v>
      </c>
      <c r="BP174">
        <v>33</v>
      </c>
      <c r="BQ174">
        <v>25</v>
      </c>
      <c r="BR174">
        <v>58</v>
      </c>
      <c r="BV174" t="s">
        <v>842</v>
      </c>
      <c r="BX174" t="s">
        <v>839</v>
      </c>
      <c r="BY174" t="s">
        <v>950</v>
      </c>
      <c r="BZ174" t="s">
        <v>839</v>
      </c>
      <c r="CA174" t="s">
        <v>839</v>
      </c>
      <c r="CC174" t="s">
        <v>839</v>
      </c>
      <c r="CD174" t="s">
        <v>855</v>
      </c>
      <c r="CG174">
        <v>15</v>
      </c>
      <c r="CH174">
        <v>5</v>
      </c>
      <c r="CI174">
        <v>5</v>
      </c>
      <c r="CJ174">
        <v>5</v>
      </c>
      <c r="CK174" t="s">
        <v>877</v>
      </c>
      <c r="CM174" t="s">
        <v>844</v>
      </c>
      <c r="CN174">
        <v>1</v>
      </c>
      <c r="CO174">
        <v>0</v>
      </c>
      <c r="CP174">
        <v>0</v>
      </c>
      <c r="CQ174">
        <v>0</v>
      </c>
      <c r="CR174">
        <v>0</v>
      </c>
      <c r="CS174">
        <v>0</v>
      </c>
      <c r="CU174" t="s">
        <v>1937</v>
      </c>
      <c r="CV174">
        <v>1</v>
      </c>
      <c r="CW174">
        <v>1</v>
      </c>
      <c r="CX174">
        <v>1</v>
      </c>
      <c r="CY174">
        <v>1</v>
      </c>
      <c r="CZ174">
        <v>1</v>
      </c>
      <c r="DA174">
        <v>1</v>
      </c>
      <c r="DB174">
        <v>0</v>
      </c>
      <c r="DC174">
        <v>1</v>
      </c>
      <c r="DD174">
        <v>1</v>
      </c>
      <c r="DE174">
        <v>1</v>
      </c>
      <c r="DF174">
        <v>0</v>
      </c>
      <c r="DJ174">
        <v>10</v>
      </c>
      <c r="DK174">
        <v>15</v>
      </c>
      <c r="DL174">
        <v>25</v>
      </c>
      <c r="DN174">
        <v>600</v>
      </c>
      <c r="DP174">
        <v>1100</v>
      </c>
      <c r="DQ174" t="s">
        <v>908</v>
      </c>
      <c r="DR174">
        <v>1</v>
      </c>
      <c r="DS174">
        <v>1</v>
      </c>
      <c r="DT174">
        <v>1</v>
      </c>
      <c r="DU174">
        <v>0</v>
      </c>
      <c r="DV174">
        <v>1</v>
      </c>
      <c r="DW174">
        <v>0</v>
      </c>
      <c r="DX174">
        <v>0</v>
      </c>
      <c r="DY174">
        <v>0</v>
      </c>
      <c r="DZ174">
        <v>0</v>
      </c>
      <c r="EB174" t="s">
        <v>839</v>
      </c>
      <c r="EC174" t="s">
        <v>869</v>
      </c>
      <c r="ED174" t="s">
        <v>928</v>
      </c>
      <c r="EI174">
        <v>900</v>
      </c>
      <c r="EM174" t="s">
        <v>841</v>
      </c>
      <c r="EO174">
        <v>1050</v>
      </c>
      <c r="ES174" t="s">
        <v>841</v>
      </c>
      <c r="EZ174" t="s">
        <v>841</v>
      </c>
      <c r="FF174" t="s">
        <v>841</v>
      </c>
      <c r="FL174" t="s">
        <v>841</v>
      </c>
      <c r="FM174">
        <v>905</v>
      </c>
      <c r="FO174">
        <v>37</v>
      </c>
      <c r="FP174">
        <v>25</v>
      </c>
      <c r="FQ174">
        <v>62</v>
      </c>
      <c r="FS174" t="s">
        <v>839</v>
      </c>
      <c r="FT174" t="s">
        <v>839</v>
      </c>
      <c r="FU174" t="s">
        <v>839</v>
      </c>
      <c r="FV174" t="s">
        <v>839</v>
      </c>
      <c r="FW174" t="s">
        <v>839</v>
      </c>
      <c r="FX174" t="s">
        <v>890</v>
      </c>
      <c r="FY174" t="s">
        <v>842</v>
      </c>
      <c r="FZ174" t="s">
        <v>839</v>
      </c>
      <c r="GA174" t="s">
        <v>839</v>
      </c>
      <c r="GB174" t="s">
        <v>839</v>
      </c>
      <c r="GC174" t="s">
        <v>842</v>
      </c>
      <c r="GD174" t="s">
        <v>842</v>
      </c>
      <c r="GG174" t="s">
        <v>668</v>
      </c>
      <c r="GI174" t="s">
        <v>1938</v>
      </c>
      <c r="GJ174">
        <v>1</v>
      </c>
      <c r="GK174">
        <v>0</v>
      </c>
      <c r="GL174">
        <v>0</v>
      </c>
      <c r="GM174">
        <v>0</v>
      </c>
      <c r="GN174">
        <v>1</v>
      </c>
      <c r="GO174">
        <v>0</v>
      </c>
      <c r="GP174">
        <v>0</v>
      </c>
      <c r="GQ174">
        <v>0</v>
      </c>
      <c r="GR174">
        <v>0</v>
      </c>
      <c r="GS174">
        <v>0</v>
      </c>
      <c r="GT174">
        <v>0</v>
      </c>
      <c r="GU174">
        <v>1</v>
      </c>
      <c r="GV174">
        <v>0</v>
      </c>
      <c r="GW174">
        <v>1</v>
      </c>
      <c r="GX174">
        <v>1</v>
      </c>
      <c r="GY174">
        <v>0</v>
      </c>
      <c r="GZ174">
        <v>0</v>
      </c>
      <c r="HB174" t="s">
        <v>839</v>
      </c>
    </row>
    <row r="175" spans="1:211" x14ac:dyDescent="0.35">
      <c r="A175" t="s">
        <v>1939</v>
      </c>
      <c r="B175" s="151">
        <v>45350.688159722216</v>
      </c>
      <c r="C175" t="s">
        <v>1940</v>
      </c>
      <c r="D175" t="s">
        <v>1941</v>
      </c>
      <c r="E175" t="s">
        <v>875</v>
      </c>
      <c r="F175" t="s">
        <v>1942</v>
      </c>
      <c r="G175" t="s">
        <v>1942</v>
      </c>
      <c r="H175" t="s">
        <v>839</v>
      </c>
      <c r="I175" t="s">
        <v>838</v>
      </c>
      <c r="K175" t="s">
        <v>839</v>
      </c>
      <c r="L175" t="s">
        <v>887</v>
      </c>
      <c r="O175">
        <v>521</v>
      </c>
      <c r="P175">
        <v>481</v>
      </c>
      <c r="Q175">
        <v>1002</v>
      </c>
      <c r="S175" t="s">
        <v>841</v>
      </c>
      <c r="T175" t="s">
        <v>841</v>
      </c>
      <c r="U175" t="s">
        <v>841</v>
      </c>
      <c r="V175" t="s">
        <v>841</v>
      </c>
      <c r="W175" t="s">
        <v>841</v>
      </c>
      <c r="X175" t="s">
        <v>841</v>
      </c>
      <c r="Y175" t="s">
        <v>841</v>
      </c>
      <c r="Z175" t="s">
        <v>841</v>
      </c>
      <c r="AA175" t="s">
        <v>841</v>
      </c>
      <c r="AB175" t="s">
        <v>841</v>
      </c>
      <c r="AC175" t="s">
        <v>841</v>
      </c>
      <c r="AD175" t="s">
        <v>841</v>
      </c>
      <c r="AE175" t="s">
        <v>841</v>
      </c>
      <c r="AF175" t="s">
        <v>841</v>
      </c>
      <c r="AH175">
        <v>1</v>
      </c>
      <c r="AI175">
        <v>1</v>
      </c>
      <c r="AJ175">
        <v>3</v>
      </c>
      <c r="AK175">
        <v>3</v>
      </c>
      <c r="AL175">
        <v>3</v>
      </c>
      <c r="AM175">
        <v>2</v>
      </c>
      <c r="AN175">
        <v>3</v>
      </c>
      <c r="AO175">
        <v>3</v>
      </c>
      <c r="AP175">
        <v>3</v>
      </c>
      <c r="AQ175">
        <v>3</v>
      </c>
      <c r="AR175">
        <v>3</v>
      </c>
      <c r="AS175">
        <v>2</v>
      </c>
      <c r="AT175">
        <v>2</v>
      </c>
      <c r="AU175">
        <v>1</v>
      </c>
      <c r="AW175">
        <v>15</v>
      </c>
      <c r="AX175">
        <v>12</v>
      </c>
      <c r="AY175">
        <v>27</v>
      </c>
      <c r="BB175" t="s">
        <v>1943</v>
      </c>
      <c r="BC175" t="s">
        <v>1932</v>
      </c>
      <c r="BD175" t="s">
        <v>1944</v>
      </c>
      <c r="BF175" t="s">
        <v>1943</v>
      </c>
      <c r="BG175" t="s">
        <v>1933</v>
      </c>
      <c r="BH175" t="s">
        <v>1945</v>
      </c>
      <c r="BJ175">
        <v>39</v>
      </c>
      <c r="BK175">
        <v>29</v>
      </c>
      <c r="BL175">
        <v>68</v>
      </c>
      <c r="BP175">
        <v>15</v>
      </c>
      <c r="BQ175">
        <v>12</v>
      </c>
      <c r="BR175">
        <v>27</v>
      </c>
      <c r="BV175" t="s">
        <v>839</v>
      </c>
      <c r="BW175" t="s">
        <v>758</v>
      </c>
      <c r="BX175" t="s">
        <v>839</v>
      </c>
      <c r="BY175" t="s">
        <v>759</v>
      </c>
      <c r="BZ175" t="s">
        <v>839</v>
      </c>
      <c r="CA175" t="s">
        <v>839</v>
      </c>
      <c r="CC175" t="s">
        <v>839</v>
      </c>
      <c r="CD175" t="s">
        <v>855</v>
      </c>
      <c r="CG175">
        <v>6</v>
      </c>
      <c r="CH175">
        <v>2</v>
      </c>
      <c r="CI175">
        <v>2</v>
      </c>
      <c r="CJ175">
        <v>2</v>
      </c>
      <c r="CK175" t="s">
        <v>877</v>
      </c>
      <c r="CM175" t="s">
        <v>867</v>
      </c>
      <c r="CN175">
        <v>0</v>
      </c>
      <c r="CO175">
        <v>1</v>
      </c>
      <c r="CP175">
        <v>0</v>
      </c>
      <c r="CQ175">
        <v>0</v>
      </c>
      <c r="CR175">
        <v>0</v>
      </c>
      <c r="CS175">
        <v>0</v>
      </c>
      <c r="CU175" t="s">
        <v>1124</v>
      </c>
      <c r="CV175">
        <v>1</v>
      </c>
      <c r="CW175">
        <v>0</v>
      </c>
      <c r="CX175">
        <v>1</v>
      </c>
      <c r="CY175">
        <v>1</v>
      </c>
      <c r="CZ175">
        <v>0</v>
      </c>
      <c r="DA175">
        <v>0</v>
      </c>
      <c r="DB175">
        <v>0</v>
      </c>
      <c r="DC175">
        <v>1</v>
      </c>
      <c r="DD175">
        <v>1</v>
      </c>
      <c r="DE175">
        <v>1</v>
      </c>
      <c r="DF175">
        <v>0</v>
      </c>
      <c r="DJ175">
        <v>12</v>
      </c>
      <c r="DK175">
        <v>15</v>
      </c>
      <c r="DL175">
        <v>27</v>
      </c>
      <c r="DN175">
        <v>500</v>
      </c>
      <c r="DP175">
        <v>2200</v>
      </c>
      <c r="DQ175" t="s">
        <v>1946</v>
      </c>
      <c r="DR175">
        <v>1</v>
      </c>
      <c r="DS175">
        <v>1</v>
      </c>
      <c r="DT175">
        <v>0</v>
      </c>
      <c r="DU175">
        <v>0</v>
      </c>
      <c r="DV175">
        <v>1</v>
      </c>
      <c r="DW175">
        <v>1</v>
      </c>
      <c r="DX175">
        <v>1</v>
      </c>
      <c r="DY175">
        <v>0</v>
      </c>
      <c r="DZ175">
        <v>0</v>
      </c>
      <c r="EB175" t="s">
        <v>839</v>
      </c>
      <c r="EC175" t="s">
        <v>869</v>
      </c>
      <c r="ED175" t="s">
        <v>848</v>
      </c>
      <c r="FM175">
        <v>500</v>
      </c>
      <c r="FO175">
        <v>18</v>
      </c>
      <c r="FP175">
        <v>14</v>
      </c>
      <c r="FQ175">
        <v>32</v>
      </c>
      <c r="FS175" t="s">
        <v>842</v>
      </c>
      <c r="FT175" t="s">
        <v>839</v>
      </c>
      <c r="FU175" t="s">
        <v>839</v>
      </c>
      <c r="FV175" t="s">
        <v>839</v>
      </c>
      <c r="FW175" t="s">
        <v>839</v>
      </c>
      <c r="FX175" t="s">
        <v>890</v>
      </c>
      <c r="FY175" t="s">
        <v>839</v>
      </c>
      <c r="FZ175" t="s">
        <v>839</v>
      </c>
      <c r="GA175" t="s">
        <v>839</v>
      </c>
      <c r="GB175" t="s">
        <v>839</v>
      </c>
      <c r="GC175" t="s">
        <v>842</v>
      </c>
      <c r="GD175" t="s">
        <v>842</v>
      </c>
      <c r="GG175" t="s">
        <v>839</v>
      </c>
      <c r="GI175" t="s">
        <v>1196</v>
      </c>
      <c r="GJ175">
        <v>0</v>
      </c>
      <c r="GK175">
        <v>0</v>
      </c>
      <c r="GL175">
        <v>0</v>
      </c>
      <c r="GM175">
        <v>0</v>
      </c>
      <c r="GN175">
        <v>0</v>
      </c>
      <c r="GO175">
        <v>1</v>
      </c>
      <c r="GP175">
        <v>0</v>
      </c>
      <c r="GQ175">
        <v>0</v>
      </c>
      <c r="GR175">
        <v>0</v>
      </c>
      <c r="GS175">
        <v>0</v>
      </c>
      <c r="GT175">
        <v>0</v>
      </c>
      <c r="GU175">
        <v>0</v>
      </c>
      <c r="GV175">
        <v>0</v>
      </c>
      <c r="GW175">
        <v>0</v>
      </c>
      <c r="GX175">
        <v>0</v>
      </c>
      <c r="GY175">
        <v>0</v>
      </c>
      <c r="GZ175">
        <v>0</v>
      </c>
      <c r="HB175" t="s">
        <v>839</v>
      </c>
    </row>
    <row r="176" spans="1:211" x14ac:dyDescent="0.35">
      <c r="A176" t="s">
        <v>1947</v>
      </c>
      <c r="B176" s="151">
        <v>45351.582499999997</v>
      </c>
      <c r="C176" t="s">
        <v>1948</v>
      </c>
      <c r="D176" t="s">
        <v>1949</v>
      </c>
      <c r="E176" t="s">
        <v>875</v>
      </c>
      <c r="F176" t="s">
        <v>1950</v>
      </c>
      <c r="G176" t="s">
        <v>1950</v>
      </c>
      <c r="H176" t="s">
        <v>839</v>
      </c>
      <c r="I176" t="s">
        <v>1046</v>
      </c>
      <c r="K176" t="s">
        <v>839</v>
      </c>
      <c r="L176" t="s">
        <v>897</v>
      </c>
      <c r="O176">
        <v>567</v>
      </c>
      <c r="P176">
        <v>352</v>
      </c>
      <c r="Q176">
        <v>919</v>
      </c>
      <c r="S176" t="s">
        <v>841</v>
      </c>
      <c r="T176" t="s">
        <v>841</v>
      </c>
      <c r="U176" t="s">
        <v>841</v>
      </c>
      <c r="V176" t="s">
        <v>841</v>
      </c>
      <c r="W176" t="s">
        <v>841</v>
      </c>
      <c r="X176" t="s">
        <v>841</v>
      </c>
      <c r="Y176" t="s">
        <v>841</v>
      </c>
      <c r="Z176" t="s">
        <v>841</v>
      </c>
      <c r="AA176" t="s">
        <v>841</v>
      </c>
      <c r="AB176" t="s">
        <v>841</v>
      </c>
      <c r="AC176" t="s">
        <v>841</v>
      </c>
      <c r="AD176" t="s">
        <v>841</v>
      </c>
      <c r="AE176" t="s">
        <v>841</v>
      </c>
      <c r="AF176" t="s">
        <v>841</v>
      </c>
      <c r="AH176">
        <v>1</v>
      </c>
      <c r="AI176">
        <v>1</v>
      </c>
      <c r="AJ176">
        <v>1</v>
      </c>
      <c r="AK176">
        <v>1</v>
      </c>
      <c r="AL176">
        <v>1</v>
      </c>
      <c r="AM176">
        <v>1</v>
      </c>
      <c r="AN176">
        <v>1</v>
      </c>
      <c r="AO176">
        <v>1</v>
      </c>
      <c r="AP176">
        <v>1</v>
      </c>
      <c r="AQ176">
        <v>1</v>
      </c>
      <c r="AR176">
        <v>1</v>
      </c>
      <c r="AS176">
        <v>1</v>
      </c>
      <c r="AT176">
        <v>1</v>
      </c>
      <c r="AU176">
        <v>1</v>
      </c>
      <c r="AW176">
        <v>6</v>
      </c>
      <c r="AX176">
        <v>10</v>
      </c>
      <c r="AY176">
        <v>16</v>
      </c>
      <c r="BB176" t="s">
        <v>1896</v>
      </c>
      <c r="BC176" t="s">
        <v>1933</v>
      </c>
      <c r="BD176" t="s">
        <v>1951</v>
      </c>
      <c r="BF176" t="s">
        <v>1952</v>
      </c>
      <c r="BG176" t="s">
        <v>1953</v>
      </c>
      <c r="BH176" t="s">
        <v>1896</v>
      </c>
      <c r="BJ176">
        <v>21</v>
      </c>
      <c r="BK176">
        <v>21</v>
      </c>
      <c r="BL176">
        <v>42</v>
      </c>
      <c r="BT176" t="s">
        <v>841</v>
      </c>
      <c r="BV176" t="s">
        <v>839</v>
      </c>
      <c r="BW176" t="s">
        <v>759</v>
      </c>
      <c r="BX176" t="s">
        <v>839</v>
      </c>
      <c r="BY176" t="s">
        <v>950</v>
      </c>
      <c r="BZ176" t="s">
        <v>839</v>
      </c>
      <c r="CA176" t="s">
        <v>839</v>
      </c>
      <c r="CC176" t="s">
        <v>839</v>
      </c>
      <c r="CD176" t="s">
        <v>855</v>
      </c>
      <c r="CG176">
        <v>22</v>
      </c>
      <c r="CH176">
        <v>12</v>
      </c>
      <c r="CI176">
        <v>12</v>
      </c>
      <c r="CJ176">
        <v>0</v>
      </c>
      <c r="CK176" t="s">
        <v>877</v>
      </c>
      <c r="CM176" t="s">
        <v>844</v>
      </c>
      <c r="CN176">
        <v>1</v>
      </c>
      <c r="CO176">
        <v>0</v>
      </c>
      <c r="CP176">
        <v>0</v>
      </c>
      <c r="CQ176">
        <v>0</v>
      </c>
      <c r="CR176">
        <v>0</v>
      </c>
      <c r="CS176">
        <v>0</v>
      </c>
      <c r="CU176" t="s">
        <v>1143</v>
      </c>
      <c r="CV176">
        <v>1</v>
      </c>
      <c r="CW176">
        <v>1</v>
      </c>
      <c r="CX176">
        <v>1</v>
      </c>
      <c r="CY176">
        <v>1</v>
      </c>
      <c r="CZ176">
        <v>1</v>
      </c>
      <c r="DA176">
        <v>1</v>
      </c>
      <c r="DB176">
        <v>1</v>
      </c>
      <c r="DC176">
        <v>1</v>
      </c>
      <c r="DD176">
        <v>1</v>
      </c>
      <c r="DE176">
        <v>1</v>
      </c>
      <c r="DF176">
        <v>0</v>
      </c>
      <c r="DJ176">
        <v>8</v>
      </c>
      <c r="DK176">
        <v>10</v>
      </c>
      <c r="DL176">
        <v>18</v>
      </c>
      <c r="DN176">
        <v>500</v>
      </c>
      <c r="DP176">
        <v>1600</v>
      </c>
      <c r="DQ176" t="s">
        <v>1181</v>
      </c>
      <c r="DR176">
        <v>1</v>
      </c>
      <c r="DS176">
        <v>0</v>
      </c>
      <c r="DT176">
        <v>1</v>
      </c>
      <c r="DU176">
        <v>0</v>
      </c>
      <c r="DV176">
        <v>1</v>
      </c>
      <c r="DW176">
        <v>0</v>
      </c>
      <c r="DX176">
        <v>0</v>
      </c>
      <c r="DY176">
        <v>0</v>
      </c>
      <c r="DZ176">
        <v>0</v>
      </c>
      <c r="EB176" t="s">
        <v>839</v>
      </c>
      <c r="EC176" t="s">
        <v>957</v>
      </c>
      <c r="ED176" t="s">
        <v>848</v>
      </c>
      <c r="EI176">
        <v>500</v>
      </c>
      <c r="EM176" t="s">
        <v>841</v>
      </c>
      <c r="EO176">
        <v>700</v>
      </c>
      <c r="ES176" t="s">
        <v>841</v>
      </c>
      <c r="EZ176" t="s">
        <v>841</v>
      </c>
      <c r="FA176">
        <v>6</v>
      </c>
      <c r="FB176" t="s">
        <v>841</v>
      </c>
      <c r="FL176" t="s">
        <v>841</v>
      </c>
      <c r="FM176">
        <v>1650</v>
      </c>
      <c r="FO176">
        <v>0</v>
      </c>
      <c r="FP176">
        <v>0</v>
      </c>
      <c r="FQ176">
        <v>0</v>
      </c>
      <c r="FS176" t="s">
        <v>839</v>
      </c>
      <c r="FT176" t="s">
        <v>839</v>
      </c>
      <c r="FU176" t="s">
        <v>839</v>
      </c>
      <c r="FV176" t="s">
        <v>839</v>
      </c>
      <c r="FW176" t="s">
        <v>839</v>
      </c>
      <c r="FX176" t="s">
        <v>880</v>
      </c>
      <c r="FY176" t="s">
        <v>839</v>
      </c>
      <c r="FZ176" t="s">
        <v>839</v>
      </c>
      <c r="GA176" t="s">
        <v>839</v>
      </c>
      <c r="GB176" t="s">
        <v>839</v>
      </c>
      <c r="GC176" t="s">
        <v>842</v>
      </c>
      <c r="GD176" t="s">
        <v>839</v>
      </c>
      <c r="GE176" t="s">
        <v>929</v>
      </c>
      <c r="GG176" t="s">
        <v>668</v>
      </c>
      <c r="GI176" t="s">
        <v>1954</v>
      </c>
      <c r="GJ176">
        <v>1</v>
      </c>
      <c r="GK176">
        <v>1</v>
      </c>
      <c r="GL176">
        <v>0</v>
      </c>
      <c r="GM176">
        <v>1</v>
      </c>
      <c r="GN176">
        <v>1</v>
      </c>
      <c r="GO176">
        <v>1</v>
      </c>
      <c r="GP176">
        <v>0</v>
      </c>
      <c r="GQ176">
        <v>1</v>
      </c>
      <c r="GR176">
        <v>0</v>
      </c>
      <c r="GS176">
        <v>0</v>
      </c>
      <c r="GT176">
        <v>1</v>
      </c>
      <c r="GU176">
        <v>0</v>
      </c>
      <c r="GV176">
        <v>0</v>
      </c>
      <c r="GW176">
        <v>1</v>
      </c>
      <c r="GX176">
        <v>1</v>
      </c>
      <c r="GY176">
        <v>0</v>
      </c>
      <c r="GZ176">
        <v>0</v>
      </c>
      <c r="HB176" t="s">
        <v>839</v>
      </c>
    </row>
    <row r="177" spans="1:211" x14ac:dyDescent="0.35">
      <c r="A177" t="s">
        <v>1955</v>
      </c>
      <c r="B177" s="151">
        <v>45351.635671296302</v>
      </c>
      <c r="C177" t="s">
        <v>1956</v>
      </c>
      <c r="D177" t="s">
        <v>1957</v>
      </c>
      <c r="E177" t="s">
        <v>835</v>
      </c>
      <c r="F177" t="s">
        <v>1958</v>
      </c>
      <c r="G177" t="s">
        <v>1958</v>
      </c>
      <c r="H177" t="s">
        <v>839</v>
      </c>
      <c r="I177" t="s">
        <v>896</v>
      </c>
      <c r="K177" t="s">
        <v>842</v>
      </c>
      <c r="O177">
        <v>3</v>
      </c>
      <c r="P177">
        <v>5</v>
      </c>
      <c r="Q177">
        <v>8</v>
      </c>
      <c r="S177" t="s">
        <v>841</v>
      </c>
      <c r="T177" t="s">
        <v>841</v>
      </c>
      <c r="U177" t="s">
        <v>841</v>
      </c>
      <c r="V177" t="s">
        <v>841</v>
      </c>
      <c r="W177" t="s">
        <v>841</v>
      </c>
      <c r="AH177">
        <v>2</v>
      </c>
      <c r="AI177">
        <v>2</v>
      </c>
      <c r="AJ177">
        <v>2</v>
      </c>
      <c r="AK177">
        <v>1</v>
      </c>
      <c r="AL177">
        <v>1</v>
      </c>
      <c r="AZ177" t="s">
        <v>841</v>
      </c>
      <c r="BM177" t="s">
        <v>841</v>
      </c>
      <c r="BS177" t="s">
        <v>841</v>
      </c>
      <c r="BV177" t="s">
        <v>839</v>
      </c>
      <c r="BW177" t="s">
        <v>759</v>
      </c>
      <c r="BX177" t="s">
        <v>839</v>
      </c>
      <c r="BY177" t="s">
        <v>759</v>
      </c>
      <c r="BZ177" t="s">
        <v>839</v>
      </c>
      <c r="CA177" t="s">
        <v>839</v>
      </c>
      <c r="CC177" t="s">
        <v>839</v>
      </c>
      <c r="CD177" t="s">
        <v>855</v>
      </c>
      <c r="CG177">
        <v>1</v>
      </c>
      <c r="CH177">
        <v>0</v>
      </c>
      <c r="CI177">
        <v>0</v>
      </c>
      <c r="CJ177">
        <v>1</v>
      </c>
      <c r="CK177" t="s">
        <v>856</v>
      </c>
      <c r="CM177" t="s">
        <v>844</v>
      </c>
      <c r="CN177">
        <v>1</v>
      </c>
      <c r="CO177">
        <v>0</v>
      </c>
      <c r="CP177">
        <v>0</v>
      </c>
      <c r="CQ177">
        <v>0</v>
      </c>
      <c r="CR177">
        <v>0</v>
      </c>
      <c r="CS177">
        <v>0</v>
      </c>
      <c r="CU177" t="s">
        <v>1311</v>
      </c>
      <c r="CV177">
        <v>1</v>
      </c>
      <c r="CW177">
        <v>0</v>
      </c>
      <c r="CX177">
        <v>1</v>
      </c>
      <c r="CY177">
        <v>1</v>
      </c>
      <c r="CZ177">
        <v>0</v>
      </c>
      <c r="DA177">
        <v>0</v>
      </c>
      <c r="DB177">
        <v>0</v>
      </c>
      <c r="DC177">
        <v>0</v>
      </c>
      <c r="DD177">
        <v>1</v>
      </c>
      <c r="DE177">
        <v>0</v>
      </c>
      <c r="DF177">
        <v>0</v>
      </c>
      <c r="DJ177">
        <v>1</v>
      </c>
      <c r="DK177">
        <v>2</v>
      </c>
      <c r="DL177">
        <v>3</v>
      </c>
      <c r="DN177">
        <v>500</v>
      </c>
      <c r="DP177">
        <v>750</v>
      </c>
      <c r="DQ177" t="s">
        <v>1262</v>
      </c>
      <c r="DR177">
        <v>1</v>
      </c>
      <c r="DS177">
        <v>0</v>
      </c>
      <c r="DT177">
        <v>0</v>
      </c>
      <c r="DU177">
        <v>0</v>
      </c>
      <c r="DV177">
        <v>0</v>
      </c>
      <c r="DW177">
        <v>0</v>
      </c>
      <c r="DX177">
        <v>1</v>
      </c>
      <c r="DY177">
        <v>0</v>
      </c>
      <c r="DZ177">
        <v>0</v>
      </c>
      <c r="EB177" t="s">
        <v>839</v>
      </c>
      <c r="EC177" t="s">
        <v>847</v>
      </c>
      <c r="ED177" t="s">
        <v>848</v>
      </c>
      <c r="EI177">
        <v>200</v>
      </c>
      <c r="EM177" t="s">
        <v>841</v>
      </c>
      <c r="EO177">
        <v>200</v>
      </c>
      <c r="ES177" t="s">
        <v>841</v>
      </c>
      <c r="EZ177" t="s">
        <v>841</v>
      </c>
      <c r="FA177">
        <v>5</v>
      </c>
      <c r="FB177" t="s">
        <v>841</v>
      </c>
      <c r="FG177">
        <v>5</v>
      </c>
      <c r="FH177" t="s">
        <v>841</v>
      </c>
      <c r="FM177">
        <v>600</v>
      </c>
      <c r="FO177">
        <v>0</v>
      </c>
      <c r="FP177">
        <v>0</v>
      </c>
      <c r="FQ177">
        <v>0</v>
      </c>
      <c r="FS177" t="s">
        <v>842</v>
      </c>
      <c r="FT177" t="s">
        <v>839</v>
      </c>
      <c r="FU177" t="s">
        <v>839</v>
      </c>
      <c r="FV177" t="s">
        <v>839</v>
      </c>
      <c r="FW177" t="s">
        <v>842</v>
      </c>
      <c r="FY177" t="s">
        <v>842</v>
      </c>
      <c r="FZ177" t="s">
        <v>839</v>
      </c>
      <c r="GA177" t="s">
        <v>839</v>
      </c>
      <c r="GB177" t="s">
        <v>839</v>
      </c>
      <c r="GC177" t="s">
        <v>842</v>
      </c>
      <c r="GD177" t="s">
        <v>839</v>
      </c>
      <c r="GE177" t="s">
        <v>881</v>
      </c>
      <c r="GG177" t="s">
        <v>839</v>
      </c>
      <c r="GI177" t="s">
        <v>1959</v>
      </c>
      <c r="GJ177">
        <v>1</v>
      </c>
      <c r="GK177">
        <v>0</v>
      </c>
      <c r="GL177">
        <v>1</v>
      </c>
      <c r="GM177">
        <v>0</v>
      </c>
      <c r="GN177">
        <v>0</v>
      </c>
      <c r="GO177">
        <v>0</v>
      </c>
      <c r="GP177">
        <v>1</v>
      </c>
      <c r="GQ177">
        <v>0</v>
      </c>
      <c r="GR177">
        <v>0</v>
      </c>
      <c r="GS177">
        <v>0</v>
      </c>
      <c r="GT177">
        <v>0</v>
      </c>
      <c r="GU177">
        <v>0</v>
      </c>
      <c r="GV177">
        <v>0</v>
      </c>
      <c r="GW177">
        <v>1</v>
      </c>
      <c r="GX177">
        <v>1</v>
      </c>
      <c r="GY177">
        <v>0</v>
      </c>
      <c r="GZ177">
        <v>0</v>
      </c>
      <c r="HB177" t="s">
        <v>839</v>
      </c>
    </row>
    <row r="178" spans="1:211" x14ac:dyDescent="0.35">
      <c r="A178" t="s">
        <v>1960</v>
      </c>
      <c r="B178" s="151">
        <v>45355.373159722221</v>
      </c>
      <c r="C178" t="s">
        <v>1961</v>
      </c>
      <c r="D178" t="s">
        <v>1962</v>
      </c>
      <c r="E178" t="s">
        <v>875</v>
      </c>
      <c r="F178" t="s">
        <v>1963</v>
      </c>
      <c r="G178" t="s">
        <v>1963</v>
      </c>
      <c r="H178" t="s">
        <v>839</v>
      </c>
      <c r="I178" t="s">
        <v>838</v>
      </c>
      <c r="K178" t="s">
        <v>839</v>
      </c>
      <c r="L178" t="s">
        <v>887</v>
      </c>
      <c r="O178">
        <v>154</v>
      </c>
      <c r="P178">
        <v>136</v>
      </c>
      <c r="Q178">
        <v>290</v>
      </c>
      <c r="U178" t="s">
        <v>841</v>
      </c>
      <c r="V178" t="s">
        <v>841</v>
      </c>
      <c r="W178" t="s">
        <v>841</v>
      </c>
      <c r="X178" t="s">
        <v>841</v>
      </c>
      <c r="Y178" t="s">
        <v>841</v>
      </c>
      <c r="Z178" t="s">
        <v>841</v>
      </c>
      <c r="AA178" t="s">
        <v>841</v>
      </c>
      <c r="AB178" t="s">
        <v>841</v>
      </c>
      <c r="AC178" t="s">
        <v>841</v>
      </c>
      <c r="AD178" t="s">
        <v>841</v>
      </c>
      <c r="AE178" t="s">
        <v>841</v>
      </c>
      <c r="AF178" t="s">
        <v>841</v>
      </c>
      <c r="AH178">
        <v>0</v>
      </c>
      <c r="AI178">
        <v>0</v>
      </c>
      <c r="AJ178">
        <v>1</v>
      </c>
      <c r="AK178">
        <v>1</v>
      </c>
      <c r="AL178">
        <v>1</v>
      </c>
      <c r="AM178">
        <v>1</v>
      </c>
      <c r="AN178">
        <v>1</v>
      </c>
      <c r="AO178">
        <v>1</v>
      </c>
      <c r="AP178">
        <v>1</v>
      </c>
      <c r="AQ178">
        <v>1</v>
      </c>
      <c r="AR178">
        <v>1</v>
      </c>
      <c r="AS178">
        <v>1</v>
      </c>
      <c r="AT178">
        <v>1</v>
      </c>
      <c r="AU178">
        <v>1</v>
      </c>
      <c r="AW178">
        <v>7</v>
      </c>
      <c r="AX178">
        <v>8</v>
      </c>
      <c r="AY178">
        <v>15</v>
      </c>
      <c r="BB178" t="s">
        <v>1964</v>
      </c>
      <c r="BC178" t="s">
        <v>1964</v>
      </c>
      <c r="BD178" t="s">
        <v>1964</v>
      </c>
      <c r="BF178" t="s">
        <v>1952</v>
      </c>
      <c r="BG178" t="s">
        <v>1952</v>
      </c>
      <c r="BH178" t="s">
        <v>1895</v>
      </c>
      <c r="BJ178">
        <v>8</v>
      </c>
      <c r="BK178">
        <v>11</v>
      </c>
      <c r="BL178">
        <v>19</v>
      </c>
      <c r="BP178">
        <v>7</v>
      </c>
      <c r="BQ178">
        <v>8</v>
      </c>
      <c r="BR178">
        <v>15</v>
      </c>
      <c r="BV178" t="s">
        <v>842</v>
      </c>
      <c r="BX178" t="s">
        <v>839</v>
      </c>
      <c r="BY178" t="s">
        <v>759</v>
      </c>
      <c r="BZ178" t="s">
        <v>839</v>
      </c>
      <c r="CA178" t="s">
        <v>839</v>
      </c>
      <c r="CC178" t="s">
        <v>839</v>
      </c>
      <c r="CD178" t="s">
        <v>855</v>
      </c>
      <c r="CG178">
        <v>7</v>
      </c>
      <c r="CH178">
        <v>3</v>
      </c>
      <c r="CI178">
        <v>3</v>
      </c>
      <c r="CJ178">
        <v>1</v>
      </c>
      <c r="CK178" t="s">
        <v>866</v>
      </c>
      <c r="CM178" t="s">
        <v>1965</v>
      </c>
      <c r="CN178">
        <v>0</v>
      </c>
      <c r="CO178">
        <v>0</v>
      </c>
      <c r="CP178">
        <v>1</v>
      </c>
      <c r="CQ178">
        <v>0</v>
      </c>
      <c r="CR178">
        <v>1</v>
      </c>
      <c r="CS178">
        <v>0</v>
      </c>
      <c r="CU178" t="s">
        <v>1966</v>
      </c>
      <c r="CV178">
        <v>0</v>
      </c>
      <c r="CW178">
        <v>0</v>
      </c>
      <c r="CX178">
        <v>1</v>
      </c>
      <c r="CY178">
        <v>1</v>
      </c>
      <c r="CZ178">
        <v>0</v>
      </c>
      <c r="DA178">
        <v>0</v>
      </c>
      <c r="DB178">
        <v>0</v>
      </c>
      <c r="DC178">
        <v>0</v>
      </c>
      <c r="DD178">
        <v>1</v>
      </c>
      <c r="DE178">
        <v>1</v>
      </c>
      <c r="DF178">
        <v>0</v>
      </c>
      <c r="DJ178">
        <v>7</v>
      </c>
      <c r="DK178">
        <v>7</v>
      </c>
      <c r="DL178">
        <v>14</v>
      </c>
      <c r="DN178">
        <v>350</v>
      </c>
      <c r="DP178">
        <v>550</v>
      </c>
      <c r="DQ178" t="s">
        <v>1181</v>
      </c>
      <c r="DR178">
        <v>1</v>
      </c>
      <c r="DS178">
        <v>0</v>
      </c>
      <c r="DT178">
        <v>1</v>
      </c>
      <c r="DU178">
        <v>0</v>
      </c>
      <c r="DV178">
        <v>1</v>
      </c>
      <c r="DW178">
        <v>0</v>
      </c>
      <c r="DX178">
        <v>0</v>
      </c>
      <c r="DY178">
        <v>0</v>
      </c>
      <c r="DZ178">
        <v>0</v>
      </c>
      <c r="EB178" t="s">
        <v>839</v>
      </c>
      <c r="EC178" t="s">
        <v>869</v>
      </c>
      <c r="ED178" t="s">
        <v>848</v>
      </c>
      <c r="EI178">
        <v>10</v>
      </c>
      <c r="EJ178" t="s">
        <v>841</v>
      </c>
      <c r="EO178">
        <v>11</v>
      </c>
      <c r="EP178" t="s">
        <v>841</v>
      </c>
      <c r="EU178">
        <v>12</v>
      </c>
      <c r="EV178" t="s">
        <v>841</v>
      </c>
      <c r="FF178" t="s">
        <v>841</v>
      </c>
      <c r="FG178">
        <v>2</v>
      </c>
      <c r="FH178" t="s">
        <v>841</v>
      </c>
      <c r="FM178">
        <v>225</v>
      </c>
      <c r="FO178">
        <v>4</v>
      </c>
      <c r="FP178">
        <v>4</v>
      </c>
      <c r="FQ178">
        <v>8</v>
      </c>
      <c r="FS178" t="s">
        <v>842</v>
      </c>
      <c r="FT178" t="s">
        <v>842</v>
      </c>
      <c r="FU178" t="s">
        <v>839</v>
      </c>
      <c r="FV178" t="s">
        <v>842</v>
      </c>
      <c r="FW178" t="s">
        <v>839</v>
      </c>
      <c r="FX178" t="s">
        <v>890</v>
      </c>
      <c r="FY178" t="s">
        <v>839</v>
      </c>
      <c r="FZ178" t="s">
        <v>839</v>
      </c>
      <c r="GA178" t="s">
        <v>839</v>
      </c>
      <c r="GB178" t="s">
        <v>839</v>
      </c>
      <c r="GC178" t="s">
        <v>839</v>
      </c>
      <c r="GD178" t="s">
        <v>842</v>
      </c>
      <c r="GG178" t="s">
        <v>668</v>
      </c>
      <c r="GI178" t="s">
        <v>1967</v>
      </c>
      <c r="GJ178">
        <v>1</v>
      </c>
      <c r="GK178">
        <v>0</v>
      </c>
      <c r="GL178">
        <v>0</v>
      </c>
      <c r="GM178">
        <v>0</v>
      </c>
      <c r="GN178">
        <v>0</v>
      </c>
      <c r="GO178">
        <v>0</v>
      </c>
      <c r="GP178">
        <v>0</v>
      </c>
      <c r="GQ178">
        <v>0</v>
      </c>
      <c r="GR178">
        <v>1</v>
      </c>
      <c r="GS178">
        <v>0</v>
      </c>
      <c r="GT178">
        <v>1</v>
      </c>
      <c r="GU178">
        <v>0</v>
      </c>
      <c r="GV178">
        <v>0</v>
      </c>
      <c r="GW178">
        <v>1</v>
      </c>
      <c r="GX178">
        <v>0</v>
      </c>
      <c r="GY178">
        <v>0</v>
      </c>
      <c r="GZ178">
        <v>0</v>
      </c>
      <c r="HB178" t="s">
        <v>839</v>
      </c>
    </row>
    <row r="179" spans="1:211" x14ac:dyDescent="0.35">
      <c r="A179" t="s">
        <v>1968</v>
      </c>
      <c r="B179" s="151">
        <v>45356.38354166667</v>
      </c>
      <c r="C179" t="s">
        <v>1969</v>
      </c>
      <c r="D179" t="s">
        <v>1970</v>
      </c>
      <c r="E179" t="s">
        <v>835</v>
      </c>
      <c r="F179" t="s">
        <v>1971</v>
      </c>
      <c r="G179" t="s">
        <v>1971</v>
      </c>
      <c r="H179" t="s">
        <v>839</v>
      </c>
      <c r="I179" t="s">
        <v>838</v>
      </c>
      <c r="K179" t="s">
        <v>839</v>
      </c>
      <c r="L179" t="s">
        <v>887</v>
      </c>
      <c r="O179">
        <v>251</v>
      </c>
      <c r="P179">
        <v>286</v>
      </c>
      <c r="Q179">
        <v>537</v>
      </c>
      <c r="S179" t="s">
        <v>841</v>
      </c>
      <c r="T179" t="s">
        <v>841</v>
      </c>
      <c r="U179" t="s">
        <v>841</v>
      </c>
      <c r="V179" t="s">
        <v>841</v>
      </c>
      <c r="W179" t="s">
        <v>841</v>
      </c>
      <c r="X179" t="s">
        <v>841</v>
      </c>
      <c r="Y179" t="s">
        <v>841</v>
      </c>
      <c r="Z179" t="s">
        <v>841</v>
      </c>
      <c r="AA179" t="s">
        <v>841</v>
      </c>
      <c r="AB179" t="s">
        <v>841</v>
      </c>
      <c r="AC179" t="s">
        <v>841</v>
      </c>
      <c r="AD179" t="s">
        <v>841</v>
      </c>
      <c r="AE179" t="s">
        <v>841</v>
      </c>
      <c r="AF179" t="s">
        <v>841</v>
      </c>
      <c r="AI179">
        <v>2</v>
      </c>
      <c r="AJ179">
        <v>1</v>
      </c>
      <c r="AK179">
        <v>1</v>
      </c>
      <c r="AL179">
        <v>1</v>
      </c>
      <c r="AM179">
        <v>2</v>
      </c>
      <c r="AN179">
        <v>2</v>
      </c>
      <c r="AO179">
        <v>1</v>
      </c>
      <c r="AP179">
        <v>1</v>
      </c>
      <c r="AQ179">
        <v>1</v>
      </c>
      <c r="AR179">
        <v>1</v>
      </c>
      <c r="AS179">
        <v>1</v>
      </c>
      <c r="AT179">
        <v>1</v>
      </c>
      <c r="AU179">
        <v>1</v>
      </c>
      <c r="AW179">
        <v>5</v>
      </c>
      <c r="AX179">
        <v>8</v>
      </c>
      <c r="AY179">
        <v>13</v>
      </c>
      <c r="BF179" t="s">
        <v>1895</v>
      </c>
      <c r="BG179" t="s">
        <v>1964</v>
      </c>
      <c r="BH179" t="s">
        <v>1895</v>
      </c>
      <c r="BJ179">
        <v>15</v>
      </c>
      <c r="BK179">
        <v>22</v>
      </c>
      <c r="BL179">
        <v>37</v>
      </c>
      <c r="BP179">
        <v>5</v>
      </c>
      <c r="BQ179">
        <v>8</v>
      </c>
      <c r="BR179">
        <v>13</v>
      </c>
      <c r="BV179" t="s">
        <v>839</v>
      </c>
      <c r="BW179" t="s">
        <v>759</v>
      </c>
      <c r="BX179" t="s">
        <v>839</v>
      </c>
      <c r="BY179" t="s">
        <v>759</v>
      </c>
      <c r="BZ179" t="s">
        <v>839</v>
      </c>
      <c r="CA179" t="s">
        <v>839</v>
      </c>
      <c r="CC179" t="s">
        <v>839</v>
      </c>
      <c r="CD179" t="s">
        <v>855</v>
      </c>
      <c r="CG179">
        <v>6</v>
      </c>
      <c r="CH179">
        <v>3</v>
      </c>
      <c r="CI179">
        <v>3</v>
      </c>
      <c r="CK179" t="s">
        <v>877</v>
      </c>
      <c r="CM179" t="s">
        <v>951</v>
      </c>
      <c r="CN179">
        <v>1</v>
      </c>
      <c r="CO179">
        <v>1</v>
      </c>
      <c r="CP179">
        <v>0</v>
      </c>
      <c r="CQ179">
        <v>0</v>
      </c>
      <c r="CR179">
        <v>0</v>
      </c>
      <c r="CS179">
        <v>0</v>
      </c>
      <c r="CU179" t="s">
        <v>907</v>
      </c>
      <c r="CV179">
        <v>1</v>
      </c>
      <c r="CW179">
        <v>0</v>
      </c>
      <c r="CX179">
        <v>1</v>
      </c>
      <c r="CY179">
        <v>0</v>
      </c>
      <c r="CZ179">
        <v>0</v>
      </c>
      <c r="DA179">
        <v>0</v>
      </c>
      <c r="DB179">
        <v>0</v>
      </c>
      <c r="DC179">
        <v>0</v>
      </c>
      <c r="DD179">
        <v>1</v>
      </c>
      <c r="DE179">
        <v>0</v>
      </c>
      <c r="DF179">
        <v>0</v>
      </c>
      <c r="DJ179">
        <v>9</v>
      </c>
      <c r="DK179">
        <v>9</v>
      </c>
      <c r="DL179">
        <v>18</v>
      </c>
      <c r="DN179">
        <v>300</v>
      </c>
      <c r="DP179">
        <v>600</v>
      </c>
      <c r="DQ179" t="s">
        <v>681</v>
      </c>
      <c r="DR179">
        <v>0</v>
      </c>
      <c r="DS179">
        <v>0</v>
      </c>
      <c r="DT179">
        <v>0</v>
      </c>
      <c r="DU179">
        <v>0</v>
      </c>
      <c r="DV179">
        <v>0</v>
      </c>
      <c r="DW179">
        <v>0</v>
      </c>
      <c r="DX179">
        <v>0</v>
      </c>
      <c r="DY179">
        <v>0</v>
      </c>
      <c r="DZ179">
        <v>1</v>
      </c>
      <c r="EB179" t="s">
        <v>842</v>
      </c>
      <c r="EC179" t="s">
        <v>847</v>
      </c>
      <c r="ED179" t="s">
        <v>848</v>
      </c>
      <c r="EI179">
        <v>700</v>
      </c>
      <c r="EM179" t="s">
        <v>841</v>
      </c>
      <c r="EO179">
        <v>760</v>
      </c>
      <c r="ES179" t="s">
        <v>841</v>
      </c>
      <c r="EZ179" t="s">
        <v>841</v>
      </c>
      <c r="FA179">
        <v>50</v>
      </c>
      <c r="FC179" t="s">
        <v>841</v>
      </c>
      <c r="FG179">
        <v>150</v>
      </c>
      <c r="FJ179" t="s">
        <v>841</v>
      </c>
      <c r="FM179">
        <v>770</v>
      </c>
      <c r="FO179">
        <v>0</v>
      </c>
      <c r="FP179">
        <v>0</v>
      </c>
      <c r="FQ179">
        <v>0</v>
      </c>
      <c r="FS179" t="s">
        <v>839</v>
      </c>
      <c r="FT179" t="s">
        <v>839</v>
      </c>
      <c r="FU179" t="s">
        <v>839</v>
      </c>
      <c r="FV179" t="s">
        <v>842</v>
      </c>
      <c r="FW179" t="s">
        <v>839</v>
      </c>
      <c r="FX179" t="s">
        <v>910</v>
      </c>
      <c r="FY179" t="s">
        <v>842</v>
      </c>
      <c r="FZ179" t="s">
        <v>839</v>
      </c>
      <c r="GA179" t="s">
        <v>839</v>
      </c>
      <c r="GB179" t="s">
        <v>842</v>
      </c>
      <c r="GC179" t="s">
        <v>842</v>
      </c>
      <c r="GD179" t="s">
        <v>842</v>
      </c>
      <c r="GG179" t="s">
        <v>839</v>
      </c>
      <c r="GI179" t="s">
        <v>1972</v>
      </c>
      <c r="GJ179">
        <v>1</v>
      </c>
      <c r="GK179">
        <v>0</v>
      </c>
      <c r="GL179">
        <v>0</v>
      </c>
      <c r="GM179">
        <v>0</v>
      </c>
      <c r="GN179">
        <v>1</v>
      </c>
      <c r="GO179">
        <v>1</v>
      </c>
      <c r="GP179">
        <v>0</v>
      </c>
      <c r="GQ179">
        <v>0</v>
      </c>
      <c r="GR179">
        <v>0</v>
      </c>
      <c r="GS179">
        <v>0</v>
      </c>
      <c r="GT179">
        <v>0</v>
      </c>
      <c r="GU179">
        <v>1</v>
      </c>
      <c r="GV179">
        <v>0</v>
      </c>
      <c r="GW179">
        <v>0</v>
      </c>
      <c r="GX179">
        <v>0</v>
      </c>
      <c r="GY179">
        <v>0</v>
      </c>
      <c r="GZ179">
        <v>0</v>
      </c>
      <c r="HB179" t="s">
        <v>839</v>
      </c>
    </row>
    <row r="180" spans="1:211" x14ac:dyDescent="0.35">
      <c r="A180" t="s">
        <v>1973</v>
      </c>
      <c r="B180" s="151">
        <v>45356.494143518517</v>
      </c>
      <c r="C180" t="s">
        <v>1974</v>
      </c>
      <c r="D180" t="s">
        <v>1975</v>
      </c>
      <c r="E180" t="s">
        <v>875</v>
      </c>
      <c r="F180" t="s">
        <v>1976</v>
      </c>
      <c r="G180" t="s">
        <v>1977</v>
      </c>
      <c r="H180" t="s">
        <v>839</v>
      </c>
      <c r="I180" t="s">
        <v>896</v>
      </c>
      <c r="K180" t="s">
        <v>842</v>
      </c>
      <c r="O180">
        <v>91</v>
      </c>
      <c r="P180">
        <v>71</v>
      </c>
      <c r="Q180">
        <v>162</v>
      </c>
      <c r="T180" t="s">
        <v>841</v>
      </c>
      <c r="U180" t="s">
        <v>841</v>
      </c>
      <c r="V180" t="s">
        <v>841</v>
      </c>
      <c r="W180" t="s">
        <v>841</v>
      </c>
      <c r="X180" t="s">
        <v>841</v>
      </c>
      <c r="Y180" t="s">
        <v>841</v>
      </c>
      <c r="Z180" t="s">
        <v>841</v>
      </c>
      <c r="AI180">
        <v>1</v>
      </c>
      <c r="AJ180">
        <v>1</v>
      </c>
      <c r="AK180">
        <v>1</v>
      </c>
      <c r="AL180">
        <v>1</v>
      </c>
      <c r="AM180">
        <v>1</v>
      </c>
      <c r="AN180">
        <v>1</v>
      </c>
      <c r="AO180">
        <v>1</v>
      </c>
      <c r="AP180">
        <v>0</v>
      </c>
      <c r="AQ180">
        <v>0</v>
      </c>
      <c r="AR180">
        <v>0</v>
      </c>
      <c r="AS180">
        <v>0</v>
      </c>
      <c r="AT180">
        <v>0</v>
      </c>
      <c r="AU180">
        <v>0</v>
      </c>
      <c r="AZ180" t="s">
        <v>841</v>
      </c>
      <c r="BM180" t="s">
        <v>841</v>
      </c>
      <c r="BS180" t="s">
        <v>841</v>
      </c>
      <c r="BV180" t="s">
        <v>842</v>
      </c>
      <c r="BX180" t="s">
        <v>839</v>
      </c>
      <c r="BY180" t="s">
        <v>950</v>
      </c>
      <c r="BZ180" t="s">
        <v>839</v>
      </c>
      <c r="CA180" t="s">
        <v>839</v>
      </c>
      <c r="CC180" t="s">
        <v>839</v>
      </c>
      <c r="CD180" t="s">
        <v>855</v>
      </c>
      <c r="CG180">
        <v>1</v>
      </c>
      <c r="CH180">
        <v>0</v>
      </c>
      <c r="CI180">
        <v>0</v>
      </c>
      <c r="CJ180">
        <v>1</v>
      </c>
      <c r="CK180" t="s">
        <v>866</v>
      </c>
      <c r="CM180" t="s">
        <v>844</v>
      </c>
      <c r="CN180">
        <v>1</v>
      </c>
      <c r="CO180">
        <v>0</v>
      </c>
      <c r="CP180">
        <v>0</v>
      </c>
      <c r="CQ180">
        <v>0</v>
      </c>
      <c r="CR180">
        <v>0</v>
      </c>
      <c r="CS180">
        <v>0</v>
      </c>
      <c r="CU180" t="s">
        <v>987</v>
      </c>
      <c r="CV180">
        <v>1</v>
      </c>
      <c r="CW180">
        <v>0</v>
      </c>
      <c r="CX180">
        <v>1</v>
      </c>
      <c r="CY180">
        <v>0</v>
      </c>
      <c r="CZ180">
        <v>0</v>
      </c>
      <c r="DA180">
        <v>0</v>
      </c>
      <c r="DB180">
        <v>0</v>
      </c>
      <c r="DC180">
        <v>0</v>
      </c>
      <c r="DD180">
        <v>0</v>
      </c>
      <c r="DE180">
        <v>0</v>
      </c>
      <c r="DF180">
        <v>0</v>
      </c>
      <c r="DJ180">
        <v>4</v>
      </c>
      <c r="DK180">
        <v>2</v>
      </c>
      <c r="DL180">
        <v>6</v>
      </c>
      <c r="DN180">
        <v>401</v>
      </c>
      <c r="DP180">
        <v>512</v>
      </c>
      <c r="DQ180" t="s">
        <v>937</v>
      </c>
      <c r="DR180">
        <v>1</v>
      </c>
      <c r="DS180">
        <v>0</v>
      </c>
      <c r="DT180">
        <v>0</v>
      </c>
      <c r="DU180">
        <v>0</v>
      </c>
      <c r="DV180">
        <v>0</v>
      </c>
      <c r="DW180">
        <v>0</v>
      </c>
      <c r="DX180">
        <v>0</v>
      </c>
      <c r="DY180">
        <v>0</v>
      </c>
      <c r="DZ180">
        <v>0</v>
      </c>
      <c r="EB180" t="s">
        <v>842</v>
      </c>
      <c r="EC180" t="s">
        <v>847</v>
      </c>
      <c r="ED180" t="s">
        <v>848</v>
      </c>
      <c r="EI180">
        <v>1000</v>
      </c>
      <c r="EM180" t="s">
        <v>841</v>
      </c>
      <c r="EO180">
        <v>1200</v>
      </c>
      <c r="ES180" t="s">
        <v>841</v>
      </c>
      <c r="EZ180" t="s">
        <v>841</v>
      </c>
      <c r="FA180">
        <v>15</v>
      </c>
      <c r="FB180" t="s">
        <v>841</v>
      </c>
      <c r="FG180">
        <v>10</v>
      </c>
      <c r="FH180" t="s">
        <v>841</v>
      </c>
      <c r="FM180">
        <v>650</v>
      </c>
      <c r="FO180">
        <v>0</v>
      </c>
      <c r="FP180">
        <v>0</v>
      </c>
      <c r="FQ180">
        <v>0</v>
      </c>
      <c r="FS180" t="s">
        <v>842</v>
      </c>
      <c r="FT180" t="s">
        <v>842</v>
      </c>
      <c r="FU180" t="s">
        <v>839</v>
      </c>
      <c r="FV180" t="s">
        <v>839</v>
      </c>
      <c r="FW180" t="s">
        <v>682</v>
      </c>
      <c r="FY180" t="s">
        <v>839</v>
      </c>
      <c r="FZ180" t="s">
        <v>839</v>
      </c>
      <c r="GA180" t="s">
        <v>842</v>
      </c>
      <c r="GB180" t="s">
        <v>842</v>
      </c>
      <c r="GC180" t="s">
        <v>842</v>
      </c>
      <c r="GD180" t="s">
        <v>842</v>
      </c>
      <c r="GG180" t="s">
        <v>668</v>
      </c>
      <c r="GI180" t="s">
        <v>1025</v>
      </c>
      <c r="GJ180">
        <v>1</v>
      </c>
      <c r="GK180">
        <v>0</v>
      </c>
      <c r="GL180">
        <v>0</v>
      </c>
      <c r="GM180">
        <v>0</v>
      </c>
      <c r="GN180">
        <v>0</v>
      </c>
      <c r="GO180">
        <v>1</v>
      </c>
      <c r="GP180">
        <v>0</v>
      </c>
      <c r="GQ180">
        <v>0</v>
      </c>
      <c r="GR180">
        <v>0</v>
      </c>
      <c r="GS180">
        <v>0</v>
      </c>
      <c r="GT180">
        <v>0</v>
      </c>
      <c r="GU180">
        <v>0</v>
      </c>
      <c r="GV180">
        <v>0</v>
      </c>
      <c r="GW180">
        <v>0</v>
      </c>
      <c r="GX180">
        <v>0</v>
      </c>
      <c r="GY180">
        <v>0</v>
      </c>
      <c r="GZ180">
        <v>0</v>
      </c>
      <c r="HB180" t="s">
        <v>839</v>
      </c>
    </row>
    <row r="181" spans="1:211" x14ac:dyDescent="0.35">
      <c r="A181" t="s">
        <v>1978</v>
      </c>
      <c r="B181" s="151">
        <v>45360.056527777779</v>
      </c>
      <c r="C181" t="s">
        <v>1979</v>
      </c>
      <c r="D181" t="s">
        <v>1980</v>
      </c>
      <c r="E181" t="s">
        <v>875</v>
      </c>
      <c r="F181" t="s">
        <v>1981</v>
      </c>
      <c r="G181" t="s">
        <v>1981</v>
      </c>
      <c r="H181" t="s">
        <v>842</v>
      </c>
      <c r="K181" t="s">
        <v>839</v>
      </c>
      <c r="L181" t="s">
        <v>887</v>
      </c>
      <c r="O181">
        <v>23</v>
      </c>
      <c r="P181">
        <v>31</v>
      </c>
      <c r="Q181">
        <v>54</v>
      </c>
      <c r="S181" t="s">
        <v>841</v>
      </c>
      <c r="T181" t="s">
        <v>841</v>
      </c>
      <c r="U181" t="s">
        <v>841</v>
      </c>
      <c r="V181" t="s">
        <v>841</v>
      </c>
      <c r="W181" t="s">
        <v>841</v>
      </c>
      <c r="X181" t="s">
        <v>841</v>
      </c>
      <c r="Y181" t="s">
        <v>841</v>
      </c>
      <c r="AH181">
        <v>1</v>
      </c>
      <c r="AI181">
        <v>1</v>
      </c>
      <c r="AJ181">
        <v>1</v>
      </c>
      <c r="AK181">
        <v>1</v>
      </c>
      <c r="AL181">
        <v>1</v>
      </c>
      <c r="AM181">
        <v>1</v>
      </c>
      <c r="AN181">
        <v>1</v>
      </c>
      <c r="BV181" t="s">
        <v>839</v>
      </c>
      <c r="BW181" t="s">
        <v>759</v>
      </c>
      <c r="BX181" t="s">
        <v>839</v>
      </c>
      <c r="BY181" t="s">
        <v>759</v>
      </c>
      <c r="BZ181" t="s">
        <v>839</v>
      </c>
      <c r="CA181" t="s">
        <v>839</v>
      </c>
      <c r="CC181" t="s">
        <v>842</v>
      </c>
      <c r="CD181" t="s">
        <v>1502</v>
      </c>
      <c r="CG181">
        <v>2</v>
      </c>
      <c r="CH181">
        <v>1</v>
      </c>
      <c r="CI181">
        <v>1</v>
      </c>
      <c r="CK181" t="s">
        <v>866</v>
      </c>
      <c r="CM181" t="s">
        <v>844</v>
      </c>
      <c r="CN181">
        <v>1</v>
      </c>
      <c r="CO181">
        <v>0</v>
      </c>
      <c r="CP181">
        <v>0</v>
      </c>
      <c r="CQ181">
        <v>0</v>
      </c>
      <c r="CR181">
        <v>0</v>
      </c>
      <c r="CS181">
        <v>0</v>
      </c>
      <c r="CU181" t="s">
        <v>1982</v>
      </c>
      <c r="CV181">
        <v>1</v>
      </c>
      <c r="CW181">
        <v>1</v>
      </c>
      <c r="CX181">
        <v>1</v>
      </c>
      <c r="CY181">
        <v>1</v>
      </c>
      <c r="CZ181">
        <v>0</v>
      </c>
      <c r="DA181">
        <v>0</v>
      </c>
      <c r="DB181">
        <v>0</v>
      </c>
      <c r="DC181">
        <v>1</v>
      </c>
      <c r="DD181">
        <v>1</v>
      </c>
      <c r="DE181">
        <v>0</v>
      </c>
      <c r="DF181">
        <v>0</v>
      </c>
      <c r="DJ181">
        <v>2</v>
      </c>
      <c r="DK181">
        <v>6</v>
      </c>
      <c r="DL181">
        <v>8</v>
      </c>
      <c r="DN181">
        <v>500</v>
      </c>
      <c r="DP181">
        <v>100</v>
      </c>
      <c r="DQ181" t="s">
        <v>1629</v>
      </c>
      <c r="DR181">
        <v>1</v>
      </c>
      <c r="DS181">
        <v>1</v>
      </c>
      <c r="DT181">
        <v>0</v>
      </c>
      <c r="DU181">
        <v>0</v>
      </c>
      <c r="DV181">
        <v>0</v>
      </c>
      <c r="DW181">
        <v>1</v>
      </c>
      <c r="DX181">
        <v>0</v>
      </c>
      <c r="DY181">
        <v>0</v>
      </c>
      <c r="DZ181">
        <v>0</v>
      </c>
      <c r="EB181" t="s">
        <v>839</v>
      </c>
      <c r="EC181" t="s">
        <v>847</v>
      </c>
      <c r="ED181" t="s">
        <v>848</v>
      </c>
      <c r="EI181">
        <v>700</v>
      </c>
      <c r="EM181" t="s">
        <v>841</v>
      </c>
      <c r="EO181">
        <v>700</v>
      </c>
      <c r="ES181" t="s">
        <v>841</v>
      </c>
      <c r="EZ181" t="s">
        <v>841</v>
      </c>
      <c r="FA181">
        <v>8</v>
      </c>
      <c r="FB181" t="s">
        <v>841</v>
      </c>
      <c r="FG181">
        <v>0</v>
      </c>
      <c r="FL181" t="s">
        <v>841</v>
      </c>
      <c r="FM181">
        <v>1300</v>
      </c>
      <c r="FO181">
        <v>2</v>
      </c>
      <c r="FP181">
        <v>2</v>
      </c>
      <c r="FQ181">
        <v>4</v>
      </c>
      <c r="FS181" t="s">
        <v>839</v>
      </c>
      <c r="FT181" t="s">
        <v>839</v>
      </c>
      <c r="FU181" t="s">
        <v>839</v>
      </c>
      <c r="FV181" t="s">
        <v>839</v>
      </c>
      <c r="FW181" t="s">
        <v>839</v>
      </c>
      <c r="FX181" t="s">
        <v>880</v>
      </c>
      <c r="FY181" t="s">
        <v>839</v>
      </c>
      <c r="FZ181" t="s">
        <v>839</v>
      </c>
      <c r="GA181" t="s">
        <v>842</v>
      </c>
      <c r="GB181" t="s">
        <v>839</v>
      </c>
      <c r="GC181" t="s">
        <v>842</v>
      </c>
      <c r="GD181" t="s">
        <v>839</v>
      </c>
      <c r="GE181" t="s">
        <v>1049</v>
      </c>
      <c r="GG181" t="s">
        <v>842</v>
      </c>
      <c r="GI181" t="s">
        <v>1503</v>
      </c>
      <c r="GJ181">
        <v>0</v>
      </c>
      <c r="GK181">
        <v>0</v>
      </c>
      <c r="GL181">
        <v>0</v>
      </c>
      <c r="GM181">
        <v>0</v>
      </c>
      <c r="GN181">
        <v>0</v>
      </c>
      <c r="GO181">
        <v>0</v>
      </c>
      <c r="GP181">
        <v>0</v>
      </c>
      <c r="GQ181">
        <v>0</v>
      </c>
      <c r="GR181">
        <v>0</v>
      </c>
      <c r="GS181">
        <v>1</v>
      </c>
      <c r="GT181">
        <v>0</v>
      </c>
      <c r="GU181">
        <v>0</v>
      </c>
      <c r="GV181">
        <v>0</v>
      </c>
      <c r="GW181">
        <v>0</v>
      </c>
      <c r="GX181">
        <v>0</v>
      </c>
      <c r="GY181">
        <v>0</v>
      </c>
      <c r="GZ181">
        <v>0</v>
      </c>
      <c r="HB181" t="s">
        <v>839</v>
      </c>
    </row>
    <row r="182" spans="1:211" x14ac:dyDescent="0.35">
      <c r="A182" t="s">
        <v>1983</v>
      </c>
      <c r="B182" s="151">
        <v>45572.636076388888</v>
      </c>
      <c r="C182" t="s">
        <v>1984</v>
      </c>
      <c r="D182" t="s">
        <v>1985</v>
      </c>
      <c r="E182" t="s">
        <v>875</v>
      </c>
      <c r="F182" t="s">
        <v>1986</v>
      </c>
      <c r="G182" t="s">
        <v>1986</v>
      </c>
      <c r="H182" t="s">
        <v>839</v>
      </c>
      <c r="I182" t="s">
        <v>896</v>
      </c>
      <c r="K182" t="s">
        <v>839</v>
      </c>
      <c r="L182" t="s">
        <v>887</v>
      </c>
      <c r="O182">
        <v>192</v>
      </c>
      <c r="P182">
        <v>195</v>
      </c>
      <c r="Q182">
        <v>387</v>
      </c>
      <c r="S182" t="s">
        <v>841</v>
      </c>
      <c r="T182" t="s">
        <v>841</v>
      </c>
      <c r="U182" t="s">
        <v>841</v>
      </c>
      <c r="V182" t="s">
        <v>841</v>
      </c>
      <c r="W182" t="s">
        <v>841</v>
      </c>
      <c r="X182" t="s">
        <v>841</v>
      </c>
      <c r="Y182" t="s">
        <v>841</v>
      </c>
      <c r="Z182" t="s">
        <v>841</v>
      </c>
      <c r="AA182" t="s">
        <v>841</v>
      </c>
      <c r="AB182" t="s">
        <v>841</v>
      </c>
      <c r="AC182" t="s">
        <v>841</v>
      </c>
      <c r="AD182" t="s">
        <v>841</v>
      </c>
      <c r="AE182" t="s">
        <v>841</v>
      </c>
      <c r="AF182" t="s">
        <v>841</v>
      </c>
      <c r="AH182">
        <v>1</v>
      </c>
      <c r="AI182">
        <v>1</v>
      </c>
      <c r="AJ182">
        <v>1</v>
      </c>
      <c r="AK182">
        <v>1</v>
      </c>
      <c r="AL182">
        <v>1</v>
      </c>
      <c r="AM182">
        <v>2</v>
      </c>
      <c r="AN182">
        <v>2</v>
      </c>
      <c r="AO182">
        <v>1</v>
      </c>
      <c r="AP182">
        <v>1</v>
      </c>
      <c r="AQ182">
        <v>1</v>
      </c>
      <c r="AR182">
        <v>1</v>
      </c>
      <c r="AS182">
        <v>1</v>
      </c>
      <c r="AT182">
        <v>1</v>
      </c>
      <c r="AU182">
        <v>1</v>
      </c>
      <c r="AZ182" t="s">
        <v>841</v>
      </c>
      <c r="BJ182">
        <v>8</v>
      </c>
      <c r="BK182">
        <v>9</v>
      </c>
      <c r="BL182">
        <v>17</v>
      </c>
      <c r="BS182" t="s">
        <v>841</v>
      </c>
      <c r="BV182" t="s">
        <v>839</v>
      </c>
      <c r="BW182" t="s">
        <v>759</v>
      </c>
      <c r="BX182" t="s">
        <v>839</v>
      </c>
      <c r="BY182" t="s">
        <v>759</v>
      </c>
      <c r="BZ182" t="s">
        <v>839</v>
      </c>
      <c r="CA182" t="s">
        <v>839</v>
      </c>
      <c r="CC182" t="s">
        <v>839</v>
      </c>
      <c r="CD182" t="s">
        <v>855</v>
      </c>
      <c r="CG182">
        <v>8</v>
      </c>
      <c r="CH182">
        <v>4</v>
      </c>
      <c r="CI182">
        <v>4</v>
      </c>
      <c r="CJ182">
        <v>0</v>
      </c>
      <c r="CK182" t="s">
        <v>877</v>
      </c>
      <c r="CM182" t="s">
        <v>844</v>
      </c>
      <c r="CN182">
        <v>1</v>
      </c>
      <c r="CO182">
        <v>0</v>
      </c>
      <c r="CP182">
        <v>0</v>
      </c>
      <c r="CQ182">
        <v>0</v>
      </c>
      <c r="CR182">
        <v>0</v>
      </c>
      <c r="CS182">
        <v>0</v>
      </c>
      <c r="CU182" t="s">
        <v>1650</v>
      </c>
      <c r="CV182">
        <v>1</v>
      </c>
      <c r="CW182">
        <v>1</v>
      </c>
      <c r="CX182">
        <v>1</v>
      </c>
      <c r="CY182">
        <v>1</v>
      </c>
      <c r="CZ182">
        <v>0</v>
      </c>
      <c r="DA182">
        <v>0</v>
      </c>
      <c r="DB182">
        <v>1</v>
      </c>
      <c r="DC182">
        <v>0</v>
      </c>
      <c r="DD182">
        <v>1</v>
      </c>
      <c r="DE182">
        <v>1</v>
      </c>
      <c r="DF182">
        <v>0</v>
      </c>
      <c r="DJ182">
        <v>10</v>
      </c>
      <c r="DK182">
        <v>11</v>
      </c>
      <c r="DL182">
        <v>21</v>
      </c>
      <c r="DN182">
        <v>400</v>
      </c>
      <c r="DP182">
        <v>1000</v>
      </c>
      <c r="DR182" t="s">
        <v>1040</v>
      </c>
      <c r="DS182">
        <v>0</v>
      </c>
      <c r="DT182">
        <v>0</v>
      </c>
      <c r="DU182">
        <v>1</v>
      </c>
      <c r="DV182">
        <v>0</v>
      </c>
      <c r="DW182">
        <v>0</v>
      </c>
      <c r="DX182">
        <v>0</v>
      </c>
      <c r="DY182">
        <v>0</v>
      </c>
      <c r="DZ182">
        <v>0</v>
      </c>
      <c r="EA182">
        <v>0</v>
      </c>
      <c r="EC182" t="s">
        <v>839</v>
      </c>
      <c r="ED182" t="s">
        <v>869</v>
      </c>
      <c r="EE182" t="s">
        <v>928</v>
      </c>
      <c r="EI182">
        <v>240</v>
      </c>
      <c r="EM182" t="s">
        <v>841</v>
      </c>
      <c r="EO182">
        <v>280</v>
      </c>
      <c r="ES182" t="s">
        <v>841</v>
      </c>
      <c r="EU182">
        <v>350</v>
      </c>
      <c r="EY182" t="s">
        <v>841</v>
      </c>
      <c r="FA182">
        <v>7</v>
      </c>
      <c r="FB182" t="s">
        <v>841</v>
      </c>
      <c r="FG182">
        <v>5</v>
      </c>
      <c r="FH182" t="s">
        <v>841</v>
      </c>
      <c r="FM182">
        <v>35</v>
      </c>
      <c r="FO182">
        <v>7</v>
      </c>
      <c r="FP182">
        <v>3</v>
      </c>
      <c r="FQ182">
        <v>10</v>
      </c>
      <c r="FS182" t="s">
        <v>839</v>
      </c>
      <c r="FT182" t="s">
        <v>842</v>
      </c>
      <c r="FU182" t="s">
        <v>839</v>
      </c>
      <c r="FV182" t="s">
        <v>839</v>
      </c>
      <c r="FW182" t="s">
        <v>839</v>
      </c>
      <c r="FX182" t="s">
        <v>910</v>
      </c>
      <c r="FY182" t="s">
        <v>842</v>
      </c>
      <c r="FZ182" t="s">
        <v>839</v>
      </c>
      <c r="GA182" t="s">
        <v>839</v>
      </c>
      <c r="GB182" t="s">
        <v>842</v>
      </c>
      <c r="GC182" t="s">
        <v>842</v>
      </c>
      <c r="GD182" t="s">
        <v>839</v>
      </c>
      <c r="GE182" t="s">
        <v>881</v>
      </c>
      <c r="GG182" t="s">
        <v>842</v>
      </c>
      <c r="GI182" t="s">
        <v>1987</v>
      </c>
      <c r="GJ182">
        <v>1</v>
      </c>
      <c r="GK182">
        <v>1</v>
      </c>
      <c r="GL182">
        <v>0</v>
      </c>
      <c r="GM182">
        <v>0</v>
      </c>
      <c r="GN182">
        <v>0</v>
      </c>
      <c r="GO182">
        <v>1</v>
      </c>
      <c r="GP182">
        <v>0</v>
      </c>
      <c r="GQ182">
        <v>0</v>
      </c>
      <c r="GR182">
        <v>0</v>
      </c>
      <c r="GS182">
        <v>0</v>
      </c>
      <c r="GT182">
        <v>0</v>
      </c>
      <c r="GU182">
        <v>0</v>
      </c>
      <c r="GV182">
        <v>0</v>
      </c>
      <c r="GW182">
        <v>1</v>
      </c>
      <c r="GX182">
        <v>0</v>
      </c>
      <c r="GY182">
        <v>0</v>
      </c>
      <c r="GZ182">
        <v>0</v>
      </c>
      <c r="HB182" t="s">
        <v>839</v>
      </c>
    </row>
    <row r="183" spans="1:211" x14ac:dyDescent="0.35">
      <c r="A183" t="s">
        <v>1988</v>
      </c>
      <c r="B183" s="151">
        <v>45572.647662037038</v>
      </c>
      <c r="C183" t="s">
        <v>1989</v>
      </c>
      <c r="D183" t="s">
        <v>1990</v>
      </c>
      <c r="E183" t="s">
        <v>875</v>
      </c>
      <c r="F183" t="s">
        <v>1991</v>
      </c>
      <c r="G183" t="s">
        <v>1991</v>
      </c>
      <c r="H183" t="s">
        <v>839</v>
      </c>
      <c r="I183" t="s">
        <v>896</v>
      </c>
      <c r="K183" t="s">
        <v>839</v>
      </c>
      <c r="L183" t="s">
        <v>897</v>
      </c>
      <c r="O183">
        <v>299</v>
      </c>
      <c r="P183">
        <v>316</v>
      </c>
      <c r="Q183">
        <v>614</v>
      </c>
      <c r="T183" t="s">
        <v>841</v>
      </c>
      <c r="U183" t="s">
        <v>841</v>
      </c>
      <c r="V183" t="s">
        <v>841</v>
      </c>
      <c r="W183" t="s">
        <v>841</v>
      </c>
      <c r="X183" t="s">
        <v>841</v>
      </c>
      <c r="Y183" t="s">
        <v>841</v>
      </c>
      <c r="Z183" t="s">
        <v>841</v>
      </c>
      <c r="AA183" t="s">
        <v>841</v>
      </c>
      <c r="AB183" t="s">
        <v>841</v>
      </c>
      <c r="AC183" t="s">
        <v>841</v>
      </c>
      <c r="AD183" t="s">
        <v>841</v>
      </c>
      <c r="AE183" t="s">
        <v>841</v>
      </c>
      <c r="AF183" t="s">
        <v>841</v>
      </c>
      <c r="AI183">
        <v>1</v>
      </c>
      <c r="AJ183">
        <v>1</v>
      </c>
      <c r="AK183">
        <v>1</v>
      </c>
      <c r="AL183">
        <v>2</v>
      </c>
      <c r="AM183">
        <v>2</v>
      </c>
      <c r="AN183">
        <v>2</v>
      </c>
      <c r="AO183">
        <v>2</v>
      </c>
      <c r="AP183">
        <v>2</v>
      </c>
      <c r="AQ183">
        <v>2</v>
      </c>
      <c r="AR183">
        <v>2</v>
      </c>
      <c r="AS183">
        <v>1</v>
      </c>
      <c r="AT183">
        <v>2</v>
      </c>
      <c r="AU183">
        <v>1</v>
      </c>
      <c r="AW183">
        <v>7</v>
      </c>
      <c r="AX183">
        <v>15</v>
      </c>
      <c r="AY183">
        <v>22</v>
      </c>
      <c r="BF183">
        <v>1</v>
      </c>
      <c r="BG183">
        <v>5</v>
      </c>
      <c r="BH183">
        <v>6</v>
      </c>
      <c r="BJ183">
        <v>13</v>
      </c>
      <c r="BK183">
        <v>24</v>
      </c>
      <c r="BL183">
        <v>37</v>
      </c>
      <c r="BP183">
        <v>7</v>
      </c>
      <c r="BQ183">
        <v>15</v>
      </c>
      <c r="BR183">
        <v>22</v>
      </c>
      <c r="BV183" t="s">
        <v>839</v>
      </c>
      <c r="BW183" t="s">
        <v>759</v>
      </c>
      <c r="BX183" t="s">
        <v>839</v>
      </c>
      <c r="BY183" t="s">
        <v>759</v>
      </c>
      <c r="BZ183" t="s">
        <v>839</v>
      </c>
      <c r="CA183" t="s">
        <v>839</v>
      </c>
      <c r="CC183" t="s">
        <v>839</v>
      </c>
      <c r="CD183" t="s">
        <v>855</v>
      </c>
      <c r="CG183">
        <v>4</v>
      </c>
      <c r="CH183">
        <v>2</v>
      </c>
      <c r="CI183">
        <v>2</v>
      </c>
      <c r="CJ183">
        <v>0</v>
      </c>
      <c r="CK183" t="s">
        <v>877</v>
      </c>
      <c r="CM183" t="s">
        <v>844</v>
      </c>
      <c r="CN183">
        <v>1</v>
      </c>
      <c r="CO183">
        <v>0</v>
      </c>
      <c r="CP183">
        <v>0</v>
      </c>
      <c r="CQ183">
        <v>0</v>
      </c>
      <c r="CR183">
        <v>0</v>
      </c>
      <c r="CS183">
        <v>0</v>
      </c>
      <c r="CU183" t="s">
        <v>1992</v>
      </c>
      <c r="CV183">
        <v>1</v>
      </c>
      <c r="CW183">
        <v>0</v>
      </c>
      <c r="CX183">
        <v>1</v>
      </c>
      <c r="CY183">
        <v>1</v>
      </c>
      <c r="CZ183">
        <v>1</v>
      </c>
      <c r="DA183">
        <v>0</v>
      </c>
      <c r="DB183">
        <v>1</v>
      </c>
      <c r="DC183">
        <v>0</v>
      </c>
      <c r="DD183">
        <v>1</v>
      </c>
      <c r="DE183">
        <v>1</v>
      </c>
      <c r="DF183">
        <v>0</v>
      </c>
      <c r="DJ183">
        <v>9</v>
      </c>
      <c r="DK183">
        <v>17</v>
      </c>
      <c r="DL183">
        <v>26</v>
      </c>
      <c r="DN183">
        <v>600</v>
      </c>
      <c r="DP183">
        <v>1400</v>
      </c>
      <c r="DR183" t="s">
        <v>1181</v>
      </c>
      <c r="DS183">
        <v>1</v>
      </c>
      <c r="DT183">
        <v>0</v>
      </c>
      <c r="DU183">
        <v>1</v>
      </c>
      <c r="DV183">
        <v>0</v>
      </c>
      <c r="DW183">
        <v>1</v>
      </c>
      <c r="DX183">
        <v>0</v>
      </c>
      <c r="DY183">
        <v>0</v>
      </c>
      <c r="DZ183">
        <v>0</v>
      </c>
      <c r="EA183">
        <v>0</v>
      </c>
      <c r="EC183" t="s">
        <v>839</v>
      </c>
      <c r="ED183" t="s">
        <v>847</v>
      </c>
      <c r="EE183" t="s">
        <v>626</v>
      </c>
      <c r="EF183" t="s">
        <v>1993</v>
      </c>
      <c r="EI183">
        <v>200</v>
      </c>
      <c r="EM183" t="s">
        <v>841</v>
      </c>
      <c r="EO183">
        <v>200</v>
      </c>
      <c r="ES183" t="s">
        <v>841</v>
      </c>
      <c r="EU183">
        <v>300</v>
      </c>
      <c r="EY183" t="s">
        <v>841</v>
      </c>
      <c r="FA183">
        <v>9</v>
      </c>
      <c r="FB183" t="s">
        <v>841</v>
      </c>
      <c r="FG183">
        <v>5</v>
      </c>
      <c r="FH183" t="s">
        <v>841</v>
      </c>
      <c r="FM183">
        <v>35</v>
      </c>
      <c r="FO183">
        <v>9</v>
      </c>
      <c r="FP183">
        <v>6</v>
      </c>
      <c r="FQ183">
        <v>15</v>
      </c>
      <c r="FS183" t="s">
        <v>842</v>
      </c>
      <c r="FT183" t="s">
        <v>839</v>
      </c>
      <c r="FU183" t="s">
        <v>839</v>
      </c>
      <c r="FV183" t="s">
        <v>839</v>
      </c>
      <c r="FW183" t="s">
        <v>839</v>
      </c>
      <c r="FX183" t="s">
        <v>910</v>
      </c>
      <c r="FY183" t="s">
        <v>842</v>
      </c>
      <c r="FZ183" t="s">
        <v>842</v>
      </c>
      <c r="GA183" t="s">
        <v>842</v>
      </c>
      <c r="GB183" t="s">
        <v>839</v>
      </c>
      <c r="GC183" t="s">
        <v>842</v>
      </c>
      <c r="GD183" t="s">
        <v>839</v>
      </c>
      <c r="GE183" t="s">
        <v>929</v>
      </c>
      <c r="GG183" t="s">
        <v>839</v>
      </c>
      <c r="GI183" t="s">
        <v>1994</v>
      </c>
      <c r="GJ183">
        <v>1</v>
      </c>
      <c r="GK183">
        <v>0</v>
      </c>
      <c r="GL183">
        <v>0</v>
      </c>
      <c r="GM183">
        <v>1</v>
      </c>
      <c r="GN183">
        <v>0</v>
      </c>
      <c r="GO183">
        <v>0</v>
      </c>
      <c r="GP183">
        <v>0</v>
      </c>
      <c r="GQ183">
        <v>0</v>
      </c>
      <c r="GR183">
        <v>0</v>
      </c>
      <c r="GS183">
        <v>0</v>
      </c>
      <c r="GT183">
        <v>0</v>
      </c>
      <c r="GU183">
        <v>0</v>
      </c>
      <c r="GV183">
        <v>0</v>
      </c>
      <c r="GW183">
        <v>1</v>
      </c>
      <c r="GX183">
        <v>0</v>
      </c>
      <c r="GY183">
        <v>0</v>
      </c>
      <c r="GZ183">
        <v>0</v>
      </c>
      <c r="HB183" t="s">
        <v>839</v>
      </c>
    </row>
    <row r="184" spans="1:211" x14ac:dyDescent="0.35">
      <c r="A184" t="s">
        <v>1995</v>
      </c>
      <c r="B184" s="151">
        <v>45572.694293981483</v>
      </c>
      <c r="C184" t="s">
        <v>1996</v>
      </c>
      <c r="D184" t="s">
        <v>1997</v>
      </c>
      <c r="E184" t="s">
        <v>875</v>
      </c>
      <c r="F184" t="s">
        <v>1998</v>
      </c>
      <c r="G184" t="s">
        <v>1998</v>
      </c>
      <c r="H184" t="s">
        <v>839</v>
      </c>
      <c r="I184" t="s">
        <v>838</v>
      </c>
      <c r="K184" t="s">
        <v>842</v>
      </c>
      <c r="O184">
        <v>23</v>
      </c>
      <c r="P184">
        <v>31</v>
      </c>
      <c r="Q184">
        <v>54</v>
      </c>
      <c r="S184" t="s">
        <v>841</v>
      </c>
      <c r="T184" t="s">
        <v>841</v>
      </c>
      <c r="U184" t="s">
        <v>841</v>
      </c>
      <c r="V184" t="s">
        <v>841</v>
      </c>
      <c r="W184" t="s">
        <v>841</v>
      </c>
      <c r="AH184">
        <v>1</v>
      </c>
      <c r="AI184">
        <v>1</v>
      </c>
      <c r="AJ184">
        <v>1</v>
      </c>
      <c r="AK184">
        <v>1</v>
      </c>
      <c r="AL184">
        <v>1</v>
      </c>
      <c r="AZ184" t="s">
        <v>841</v>
      </c>
      <c r="BM184" t="s">
        <v>841</v>
      </c>
      <c r="BS184" t="s">
        <v>841</v>
      </c>
      <c r="BV184" t="s">
        <v>839</v>
      </c>
      <c r="BW184" t="s">
        <v>759</v>
      </c>
      <c r="BX184" t="s">
        <v>839</v>
      </c>
      <c r="BY184" t="s">
        <v>759</v>
      </c>
      <c r="BZ184" t="s">
        <v>839</v>
      </c>
      <c r="CA184" t="s">
        <v>839</v>
      </c>
      <c r="CC184" t="s">
        <v>839</v>
      </c>
      <c r="CD184" t="s">
        <v>1502</v>
      </c>
      <c r="CG184">
        <v>2</v>
      </c>
      <c r="CH184">
        <v>1</v>
      </c>
      <c r="CI184">
        <v>1</v>
      </c>
      <c r="CJ184">
        <v>0</v>
      </c>
      <c r="CK184" t="s">
        <v>681</v>
      </c>
      <c r="CM184" t="s">
        <v>951</v>
      </c>
      <c r="CN184">
        <v>1</v>
      </c>
      <c r="CO184">
        <v>1</v>
      </c>
      <c r="CP184">
        <v>0</v>
      </c>
      <c r="CQ184">
        <v>0</v>
      </c>
      <c r="CR184">
        <v>0</v>
      </c>
      <c r="CS184">
        <v>0</v>
      </c>
      <c r="CU184" t="s">
        <v>1347</v>
      </c>
      <c r="CV184">
        <v>1</v>
      </c>
      <c r="CW184">
        <v>0</v>
      </c>
      <c r="CX184">
        <v>0</v>
      </c>
      <c r="CY184">
        <v>0</v>
      </c>
      <c r="CZ184">
        <v>0</v>
      </c>
      <c r="DA184">
        <v>0</v>
      </c>
      <c r="DB184">
        <v>0</v>
      </c>
      <c r="DC184">
        <v>0</v>
      </c>
      <c r="DD184">
        <v>1</v>
      </c>
      <c r="DE184">
        <v>0</v>
      </c>
      <c r="DF184">
        <v>0</v>
      </c>
      <c r="DJ184">
        <v>4</v>
      </c>
      <c r="DK184">
        <v>1</v>
      </c>
      <c r="DL184">
        <v>5</v>
      </c>
      <c r="DN184">
        <v>500</v>
      </c>
      <c r="DP184">
        <v>1000</v>
      </c>
      <c r="DR184" t="s">
        <v>927</v>
      </c>
      <c r="DS184">
        <v>1</v>
      </c>
      <c r="DT184">
        <v>0</v>
      </c>
      <c r="DU184">
        <v>1</v>
      </c>
      <c r="DV184">
        <v>0</v>
      </c>
      <c r="DW184">
        <v>0</v>
      </c>
      <c r="DX184">
        <v>0</v>
      </c>
      <c r="DY184">
        <v>0</v>
      </c>
      <c r="DZ184">
        <v>0</v>
      </c>
      <c r="EA184">
        <v>0</v>
      </c>
      <c r="EC184" t="s">
        <v>839</v>
      </c>
      <c r="ED184" t="s">
        <v>847</v>
      </c>
      <c r="EE184" t="s">
        <v>626</v>
      </c>
      <c r="EF184" t="s">
        <v>1999</v>
      </c>
      <c r="EN184" t="s">
        <v>841</v>
      </c>
      <c r="ET184" t="s">
        <v>841</v>
      </c>
      <c r="EZ184" t="s">
        <v>841</v>
      </c>
      <c r="FA184">
        <v>13</v>
      </c>
      <c r="FB184" t="s">
        <v>841</v>
      </c>
      <c r="FL184" t="s">
        <v>841</v>
      </c>
      <c r="FM184">
        <v>15</v>
      </c>
      <c r="FO184">
        <v>0</v>
      </c>
      <c r="FP184">
        <v>0</v>
      </c>
      <c r="FQ184">
        <v>0</v>
      </c>
      <c r="FS184" t="s">
        <v>842</v>
      </c>
      <c r="FT184" t="s">
        <v>842</v>
      </c>
      <c r="FU184" t="s">
        <v>839</v>
      </c>
      <c r="FV184" t="s">
        <v>839</v>
      </c>
      <c r="FW184" t="s">
        <v>839</v>
      </c>
      <c r="FX184" t="s">
        <v>965</v>
      </c>
      <c r="FY184" t="s">
        <v>839</v>
      </c>
      <c r="FZ184" t="s">
        <v>839</v>
      </c>
      <c r="GA184" t="s">
        <v>839</v>
      </c>
      <c r="GB184" t="s">
        <v>842</v>
      </c>
      <c r="GC184" t="s">
        <v>842</v>
      </c>
      <c r="GD184" t="s">
        <v>839</v>
      </c>
      <c r="GE184" t="s">
        <v>626</v>
      </c>
      <c r="GF184" t="s">
        <v>2000</v>
      </c>
      <c r="GG184" t="s">
        <v>839</v>
      </c>
      <c r="GI184" t="s">
        <v>976</v>
      </c>
      <c r="GJ184">
        <v>1</v>
      </c>
      <c r="GK184">
        <v>1</v>
      </c>
      <c r="GL184">
        <v>0</v>
      </c>
      <c r="GM184">
        <v>0</v>
      </c>
      <c r="GN184">
        <v>0</v>
      </c>
      <c r="GO184">
        <v>0</v>
      </c>
      <c r="GP184">
        <v>0</v>
      </c>
      <c r="GQ184">
        <v>0</v>
      </c>
      <c r="GR184">
        <v>0</v>
      </c>
      <c r="GS184">
        <v>0</v>
      </c>
      <c r="GT184">
        <v>0</v>
      </c>
      <c r="GU184">
        <v>0</v>
      </c>
      <c r="GV184">
        <v>0</v>
      </c>
      <c r="GW184">
        <v>0</v>
      </c>
      <c r="GX184">
        <v>0</v>
      </c>
      <c r="GY184">
        <v>0</v>
      </c>
      <c r="GZ184">
        <v>0</v>
      </c>
      <c r="HB184" t="s">
        <v>839</v>
      </c>
    </row>
    <row r="185" spans="1:211" x14ac:dyDescent="0.35">
      <c r="A185" t="s">
        <v>2001</v>
      </c>
      <c r="B185" s="151">
        <v>45572.705555555563</v>
      </c>
      <c r="C185" t="s">
        <v>2002</v>
      </c>
      <c r="D185" t="s">
        <v>2003</v>
      </c>
      <c r="E185" t="s">
        <v>875</v>
      </c>
      <c r="F185" t="s">
        <v>2004</v>
      </c>
      <c r="G185" t="s">
        <v>2004</v>
      </c>
      <c r="H185" t="s">
        <v>839</v>
      </c>
      <c r="I185" t="s">
        <v>1046</v>
      </c>
      <c r="K185" t="s">
        <v>839</v>
      </c>
      <c r="L185" t="s">
        <v>626</v>
      </c>
      <c r="M185" t="s">
        <v>2005</v>
      </c>
      <c r="O185">
        <v>355</v>
      </c>
      <c r="P185">
        <v>389</v>
      </c>
      <c r="Q185">
        <v>744</v>
      </c>
      <c r="S185" t="s">
        <v>841</v>
      </c>
      <c r="T185" t="s">
        <v>841</v>
      </c>
      <c r="U185" t="s">
        <v>841</v>
      </c>
      <c r="V185" t="s">
        <v>841</v>
      </c>
      <c r="W185" t="s">
        <v>841</v>
      </c>
      <c r="X185" t="s">
        <v>841</v>
      </c>
      <c r="Y185" t="s">
        <v>841</v>
      </c>
      <c r="Z185" t="s">
        <v>841</v>
      </c>
      <c r="AA185" t="s">
        <v>841</v>
      </c>
      <c r="AB185" t="s">
        <v>841</v>
      </c>
      <c r="AC185" t="s">
        <v>841</v>
      </c>
      <c r="AD185" t="s">
        <v>841</v>
      </c>
      <c r="AE185" t="s">
        <v>841</v>
      </c>
      <c r="AF185" t="s">
        <v>841</v>
      </c>
      <c r="AH185">
        <v>2</v>
      </c>
      <c r="AI185">
        <v>4</v>
      </c>
      <c r="AJ185">
        <v>6</v>
      </c>
      <c r="AK185">
        <v>5</v>
      </c>
      <c r="AL185">
        <v>5</v>
      </c>
      <c r="AM185">
        <v>4</v>
      </c>
      <c r="AN185">
        <v>3</v>
      </c>
      <c r="AO185">
        <v>3</v>
      </c>
      <c r="AP185">
        <v>2</v>
      </c>
      <c r="AQ185">
        <v>1</v>
      </c>
      <c r="AR185">
        <v>1</v>
      </c>
      <c r="AS185">
        <v>1</v>
      </c>
      <c r="AT185">
        <v>1</v>
      </c>
      <c r="AU185">
        <v>1</v>
      </c>
      <c r="AZ185" t="s">
        <v>841</v>
      </c>
      <c r="BJ185">
        <v>8</v>
      </c>
      <c r="BK185">
        <v>12</v>
      </c>
      <c r="BL185">
        <v>20</v>
      </c>
      <c r="BS185" t="s">
        <v>841</v>
      </c>
      <c r="BV185" t="s">
        <v>839</v>
      </c>
      <c r="BW185" t="s">
        <v>758</v>
      </c>
      <c r="BX185" t="s">
        <v>839</v>
      </c>
      <c r="BY185" t="s">
        <v>950</v>
      </c>
      <c r="BZ185" t="s">
        <v>839</v>
      </c>
      <c r="CA185" t="s">
        <v>839</v>
      </c>
      <c r="CC185" t="s">
        <v>839</v>
      </c>
      <c r="CD185" t="s">
        <v>855</v>
      </c>
      <c r="CG185">
        <v>13</v>
      </c>
      <c r="CH185">
        <v>5</v>
      </c>
      <c r="CI185">
        <v>5</v>
      </c>
      <c r="CJ185">
        <v>3</v>
      </c>
      <c r="CK185" t="s">
        <v>877</v>
      </c>
      <c r="CM185" t="s">
        <v>844</v>
      </c>
      <c r="CN185">
        <v>1</v>
      </c>
      <c r="CO185">
        <v>0</v>
      </c>
      <c r="CP185">
        <v>0</v>
      </c>
      <c r="CQ185">
        <v>0</v>
      </c>
      <c r="CR185">
        <v>0</v>
      </c>
      <c r="CS185">
        <v>0</v>
      </c>
      <c r="CU185" t="s">
        <v>1194</v>
      </c>
      <c r="CV185">
        <v>1</v>
      </c>
      <c r="CW185">
        <v>0</v>
      </c>
      <c r="CX185">
        <v>1</v>
      </c>
      <c r="CY185">
        <v>0</v>
      </c>
      <c r="CZ185">
        <v>0</v>
      </c>
      <c r="DA185">
        <v>0</v>
      </c>
      <c r="DB185">
        <v>0</v>
      </c>
      <c r="DC185">
        <v>0</v>
      </c>
      <c r="DD185">
        <v>0</v>
      </c>
      <c r="DE185">
        <v>1</v>
      </c>
      <c r="DF185">
        <v>0</v>
      </c>
      <c r="DJ185">
        <v>40</v>
      </c>
      <c r="DK185">
        <v>45</v>
      </c>
      <c r="DL185">
        <v>85</v>
      </c>
      <c r="DN185">
        <v>500</v>
      </c>
      <c r="DP185">
        <v>1600</v>
      </c>
      <c r="DR185" t="s">
        <v>1844</v>
      </c>
      <c r="DS185">
        <v>1</v>
      </c>
      <c r="DT185">
        <v>1</v>
      </c>
      <c r="DU185">
        <v>0</v>
      </c>
      <c r="DV185">
        <v>0</v>
      </c>
      <c r="DW185">
        <v>1</v>
      </c>
      <c r="DX185">
        <v>1</v>
      </c>
      <c r="DY185">
        <v>0</v>
      </c>
      <c r="DZ185">
        <v>0</v>
      </c>
      <c r="EA185">
        <v>0</v>
      </c>
      <c r="EC185" t="s">
        <v>839</v>
      </c>
      <c r="ED185" t="s">
        <v>925</v>
      </c>
      <c r="EE185" t="s">
        <v>848</v>
      </c>
      <c r="EI185">
        <v>1755</v>
      </c>
      <c r="EM185" t="s">
        <v>841</v>
      </c>
      <c r="EO185">
        <v>1825</v>
      </c>
      <c r="ES185" t="s">
        <v>841</v>
      </c>
      <c r="EU185">
        <v>1825</v>
      </c>
      <c r="EY185" t="s">
        <v>841</v>
      </c>
      <c r="FA185">
        <v>11</v>
      </c>
      <c r="FB185" t="s">
        <v>841</v>
      </c>
      <c r="FL185" t="s">
        <v>841</v>
      </c>
      <c r="FM185">
        <v>25</v>
      </c>
      <c r="FO185">
        <v>2</v>
      </c>
      <c r="FP185">
        <v>1</v>
      </c>
      <c r="FQ185">
        <v>3</v>
      </c>
      <c r="FS185" t="s">
        <v>839</v>
      </c>
      <c r="FT185" t="s">
        <v>839</v>
      </c>
      <c r="FU185" t="s">
        <v>839</v>
      </c>
      <c r="FV185" t="s">
        <v>839</v>
      </c>
      <c r="FW185" t="s">
        <v>839</v>
      </c>
      <c r="FX185" t="s">
        <v>965</v>
      </c>
      <c r="FY185" t="s">
        <v>839</v>
      </c>
      <c r="FZ185" t="s">
        <v>839</v>
      </c>
      <c r="GA185" t="s">
        <v>839</v>
      </c>
      <c r="GB185" t="s">
        <v>842</v>
      </c>
      <c r="GC185" t="s">
        <v>842</v>
      </c>
      <c r="GD185" t="s">
        <v>839</v>
      </c>
      <c r="GE185" t="s">
        <v>929</v>
      </c>
      <c r="GG185" t="s">
        <v>668</v>
      </c>
      <c r="GI185" t="s">
        <v>1076</v>
      </c>
      <c r="GJ185">
        <v>0</v>
      </c>
      <c r="GK185">
        <v>0</v>
      </c>
      <c r="GL185">
        <v>0</v>
      </c>
      <c r="GM185">
        <v>0</v>
      </c>
      <c r="GN185">
        <v>0</v>
      </c>
      <c r="GO185">
        <v>0</v>
      </c>
      <c r="GP185">
        <v>0</v>
      </c>
      <c r="GQ185">
        <v>0</v>
      </c>
      <c r="GR185">
        <v>0</v>
      </c>
      <c r="GS185">
        <v>0</v>
      </c>
      <c r="GT185">
        <v>0</v>
      </c>
      <c r="GU185">
        <v>0</v>
      </c>
      <c r="GV185">
        <v>0</v>
      </c>
      <c r="GW185">
        <v>0</v>
      </c>
      <c r="GX185">
        <v>0</v>
      </c>
      <c r="GY185">
        <v>0</v>
      </c>
      <c r="GZ185">
        <v>1</v>
      </c>
      <c r="HB185" t="s">
        <v>842</v>
      </c>
      <c r="HC185" t="s">
        <v>2006</v>
      </c>
    </row>
    <row r="186" spans="1:211" x14ac:dyDescent="0.35">
      <c r="A186" t="s">
        <v>2007</v>
      </c>
      <c r="B186" s="151">
        <v>45572.717256944437</v>
      </c>
      <c r="C186" t="s">
        <v>2008</v>
      </c>
      <c r="D186" t="s">
        <v>2009</v>
      </c>
      <c r="E186" t="s">
        <v>835</v>
      </c>
      <c r="F186" t="s">
        <v>2010</v>
      </c>
      <c r="G186" t="s">
        <v>2010</v>
      </c>
      <c r="H186" t="s">
        <v>839</v>
      </c>
      <c r="I186" t="s">
        <v>838</v>
      </c>
      <c r="K186" t="s">
        <v>842</v>
      </c>
      <c r="O186">
        <v>28</v>
      </c>
      <c r="P186">
        <v>32</v>
      </c>
      <c r="Q186">
        <v>60</v>
      </c>
      <c r="S186" t="s">
        <v>841</v>
      </c>
      <c r="T186" t="s">
        <v>841</v>
      </c>
      <c r="U186" t="s">
        <v>841</v>
      </c>
      <c r="V186" t="s">
        <v>841</v>
      </c>
      <c r="W186" t="s">
        <v>841</v>
      </c>
      <c r="AH186">
        <v>1</v>
      </c>
      <c r="AI186">
        <v>1</v>
      </c>
      <c r="AJ186">
        <v>1</v>
      </c>
      <c r="AK186">
        <v>1</v>
      </c>
      <c r="AL186">
        <v>1</v>
      </c>
      <c r="AZ186" t="s">
        <v>841</v>
      </c>
      <c r="BM186" t="s">
        <v>841</v>
      </c>
      <c r="BS186" t="s">
        <v>841</v>
      </c>
      <c r="BV186" t="s">
        <v>842</v>
      </c>
      <c r="BX186" t="s">
        <v>839</v>
      </c>
      <c r="BY186" t="s">
        <v>759</v>
      </c>
      <c r="BZ186" t="s">
        <v>839</v>
      </c>
      <c r="CA186" t="s">
        <v>925</v>
      </c>
      <c r="CC186" t="s">
        <v>842</v>
      </c>
      <c r="CD186" t="s">
        <v>855</v>
      </c>
      <c r="CG186">
        <v>4</v>
      </c>
      <c r="CH186">
        <v>2</v>
      </c>
      <c r="CI186">
        <v>2</v>
      </c>
      <c r="CJ186">
        <v>0</v>
      </c>
      <c r="CK186" t="s">
        <v>681</v>
      </c>
      <c r="CM186" t="s">
        <v>844</v>
      </c>
      <c r="CN186">
        <v>1</v>
      </c>
      <c r="CO186">
        <v>0</v>
      </c>
      <c r="CP186">
        <v>0</v>
      </c>
      <c r="CQ186">
        <v>0</v>
      </c>
      <c r="CR186">
        <v>0</v>
      </c>
      <c r="CS186">
        <v>0</v>
      </c>
      <c r="CU186" t="s">
        <v>888</v>
      </c>
      <c r="CV186">
        <v>1</v>
      </c>
      <c r="CW186">
        <v>1</v>
      </c>
      <c r="CX186">
        <v>1</v>
      </c>
      <c r="CY186">
        <v>0</v>
      </c>
      <c r="CZ186">
        <v>0</v>
      </c>
      <c r="DA186">
        <v>0</v>
      </c>
      <c r="DB186">
        <v>0</v>
      </c>
      <c r="DC186">
        <v>0</v>
      </c>
      <c r="DD186">
        <v>1</v>
      </c>
      <c r="DE186">
        <v>0</v>
      </c>
      <c r="DF186">
        <v>0</v>
      </c>
      <c r="DJ186">
        <v>4</v>
      </c>
      <c r="DK186">
        <v>0</v>
      </c>
      <c r="DL186">
        <v>4</v>
      </c>
      <c r="DN186">
        <v>400</v>
      </c>
      <c r="DP186">
        <v>500</v>
      </c>
      <c r="DR186" t="s">
        <v>1491</v>
      </c>
      <c r="DS186">
        <v>1</v>
      </c>
      <c r="DT186">
        <v>0</v>
      </c>
      <c r="DU186">
        <v>0</v>
      </c>
      <c r="DV186">
        <v>0</v>
      </c>
      <c r="DW186">
        <v>0</v>
      </c>
      <c r="DX186">
        <v>0</v>
      </c>
      <c r="DY186">
        <v>0</v>
      </c>
      <c r="DZ186">
        <v>1</v>
      </c>
      <c r="EA186">
        <v>0</v>
      </c>
      <c r="EB186" t="s">
        <v>2011</v>
      </c>
      <c r="EC186" t="s">
        <v>842</v>
      </c>
      <c r="ED186" t="s">
        <v>1167</v>
      </c>
      <c r="EE186" t="s">
        <v>848</v>
      </c>
      <c r="EN186" t="s">
        <v>841</v>
      </c>
      <c r="ET186" t="s">
        <v>841</v>
      </c>
      <c r="EZ186" t="s">
        <v>841</v>
      </c>
      <c r="FA186">
        <v>7</v>
      </c>
      <c r="FB186" t="s">
        <v>841</v>
      </c>
      <c r="FL186" t="s">
        <v>841</v>
      </c>
      <c r="FM186">
        <v>20</v>
      </c>
      <c r="FO186">
        <v>0</v>
      </c>
      <c r="FP186">
        <v>0</v>
      </c>
      <c r="FQ186">
        <v>0</v>
      </c>
      <c r="FS186" t="s">
        <v>842</v>
      </c>
      <c r="FT186" t="s">
        <v>842</v>
      </c>
      <c r="FU186" t="s">
        <v>839</v>
      </c>
      <c r="FV186" t="s">
        <v>839</v>
      </c>
      <c r="FW186" t="s">
        <v>839</v>
      </c>
      <c r="FX186" t="s">
        <v>890</v>
      </c>
      <c r="FY186" t="s">
        <v>842</v>
      </c>
      <c r="FZ186" t="s">
        <v>842</v>
      </c>
      <c r="GA186" t="s">
        <v>842</v>
      </c>
      <c r="GB186" t="s">
        <v>839</v>
      </c>
      <c r="GC186" t="s">
        <v>842</v>
      </c>
      <c r="GD186" t="s">
        <v>842</v>
      </c>
      <c r="GG186" t="s">
        <v>668</v>
      </c>
      <c r="GI186" t="s">
        <v>2012</v>
      </c>
      <c r="GJ186">
        <v>1</v>
      </c>
      <c r="GK186">
        <v>1</v>
      </c>
      <c r="GL186">
        <v>0</v>
      </c>
      <c r="GM186">
        <v>1</v>
      </c>
      <c r="GN186">
        <v>1</v>
      </c>
      <c r="GO186">
        <v>0</v>
      </c>
      <c r="GP186">
        <v>0</v>
      </c>
      <c r="GQ186">
        <v>0</v>
      </c>
      <c r="GR186">
        <v>1</v>
      </c>
      <c r="GS186">
        <v>0</v>
      </c>
      <c r="GT186">
        <v>1</v>
      </c>
      <c r="GU186">
        <v>1</v>
      </c>
      <c r="GV186">
        <v>0</v>
      </c>
      <c r="GW186">
        <v>1</v>
      </c>
      <c r="GX186">
        <v>0</v>
      </c>
      <c r="GY186">
        <v>0</v>
      </c>
      <c r="GZ186">
        <v>0</v>
      </c>
      <c r="HB186" t="s">
        <v>839</v>
      </c>
    </row>
    <row r="187" spans="1:211" x14ac:dyDescent="0.35">
      <c r="A187" t="s">
        <v>2013</v>
      </c>
      <c r="B187" s="151">
        <v>45572.725358796299</v>
      </c>
      <c r="C187" t="s">
        <v>2014</v>
      </c>
      <c r="D187" t="s">
        <v>2015</v>
      </c>
      <c r="E187" t="s">
        <v>875</v>
      </c>
      <c r="F187" t="s">
        <v>2016</v>
      </c>
      <c r="G187" t="s">
        <v>2016</v>
      </c>
      <c r="H187" t="s">
        <v>839</v>
      </c>
      <c r="I187" t="s">
        <v>838</v>
      </c>
      <c r="K187" t="s">
        <v>839</v>
      </c>
      <c r="L187" t="s">
        <v>887</v>
      </c>
      <c r="O187">
        <v>179</v>
      </c>
      <c r="P187">
        <v>201</v>
      </c>
      <c r="Q187">
        <v>380</v>
      </c>
      <c r="S187" t="s">
        <v>841</v>
      </c>
      <c r="T187" t="s">
        <v>841</v>
      </c>
      <c r="U187" t="s">
        <v>841</v>
      </c>
      <c r="V187" t="s">
        <v>841</v>
      </c>
      <c r="W187" t="s">
        <v>841</v>
      </c>
      <c r="X187" t="s">
        <v>841</v>
      </c>
      <c r="Y187" t="s">
        <v>841</v>
      </c>
      <c r="Z187" t="s">
        <v>841</v>
      </c>
      <c r="AA187" t="s">
        <v>841</v>
      </c>
      <c r="AB187" t="s">
        <v>841</v>
      </c>
      <c r="AC187" t="s">
        <v>841</v>
      </c>
      <c r="AD187" t="s">
        <v>841</v>
      </c>
      <c r="AE187" t="s">
        <v>841</v>
      </c>
      <c r="AF187" t="s">
        <v>841</v>
      </c>
      <c r="AH187">
        <v>1</v>
      </c>
      <c r="AI187">
        <v>1</v>
      </c>
      <c r="AJ187">
        <v>1</v>
      </c>
      <c r="AK187">
        <v>1</v>
      </c>
      <c r="AL187">
        <v>1</v>
      </c>
      <c r="AM187">
        <v>1</v>
      </c>
      <c r="AN187">
        <v>1</v>
      </c>
      <c r="AO187">
        <v>1</v>
      </c>
      <c r="AP187">
        <v>1</v>
      </c>
      <c r="AQ187">
        <v>1</v>
      </c>
      <c r="AR187">
        <v>1</v>
      </c>
      <c r="AS187">
        <v>1</v>
      </c>
      <c r="AT187">
        <v>1</v>
      </c>
      <c r="AU187">
        <v>1</v>
      </c>
      <c r="AW187">
        <v>6</v>
      </c>
      <c r="AX187">
        <v>9</v>
      </c>
      <c r="AY187">
        <v>15</v>
      </c>
      <c r="BB187">
        <v>2</v>
      </c>
      <c r="BC187">
        <v>1</v>
      </c>
      <c r="BD187">
        <v>3</v>
      </c>
      <c r="BF187">
        <v>3</v>
      </c>
      <c r="BG187">
        <v>4</v>
      </c>
      <c r="BH187">
        <v>7</v>
      </c>
      <c r="BJ187">
        <v>11</v>
      </c>
      <c r="BK187">
        <v>15</v>
      </c>
      <c r="BL187">
        <v>26</v>
      </c>
      <c r="BP187">
        <v>6</v>
      </c>
      <c r="BQ187">
        <v>9</v>
      </c>
      <c r="BR187">
        <v>15</v>
      </c>
      <c r="BV187" t="s">
        <v>839</v>
      </c>
      <c r="BW187" t="s">
        <v>758</v>
      </c>
      <c r="BX187" t="s">
        <v>839</v>
      </c>
      <c r="BY187" t="s">
        <v>759</v>
      </c>
      <c r="BZ187" t="s">
        <v>839</v>
      </c>
      <c r="CA187" t="s">
        <v>839</v>
      </c>
      <c r="CC187" t="s">
        <v>839</v>
      </c>
      <c r="CD187" t="s">
        <v>855</v>
      </c>
      <c r="CG187">
        <v>7</v>
      </c>
      <c r="CH187">
        <v>2</v>
      </c>
      <c r="CI187">
        <v>2</v>
      </c>
      <c r="CJ187">
        <v>3</v>
      </c>
      <c r="CK187" t="s">
        <v>877</v>
      </c>
      <c r="CM187" t="s">
        <v>844</v>
      </c>
      <c r="CN187">
        <v>1</v>
      </c>
      <c r="CO187">
        <v>0</v>
      </c>
      <c r="CP187">
        <v>0</v>
      </c>
      <c r="CQ187">
        <v>0</v>
      </c>
      <c r="CR187">
        <v>0</v>
      </c>
      <c r="CS187">
        <v>0</v>
      </c>
      <c r="CU187" t="s">
        <v>2017</v>
      </c>
      <c r="CV187">
        <v>1</v>
      </c>
      <c r="CW187">
        <v>1</v>
      </c>
      <c r="CX187">
        <v>1</v>
      </c>
      <c r="CY187">
        <v>1</v>
      </c>
      <c r="CZ187">
        <v>1</v>
      </c>
      <c r="DA187">
        <v>1</v>
      </c>
      <c r="DB187">
        <v>1</v>
      </c>
      <c r="DC187">
        <v>1</v>
      </c>
      <c r="DD187">
        <v>0</v>
      </c>
      <c r="DE187">
        <v>1</v>
      </c>
      <c r="DF187">
        <v>0</v>
      </c>
      <c r="DJ187">
        <v>9</v>
      </c>
      <c r="DK187">
        <v>10</v>
      </c>
      <c r="DL187">
        <v>19</v>
      </c>
      <c r="DN187">
        <v>260</v>
      </c>
      <c r="DP187">
        <v>850</v>
      </c>
      <c r="DR187" t="s">
        <v>1070</v>
      </c>
      <c r="DS187">
        <v>1</v>
      </c>
      <c r="DT187">
        <v>1</v>
      </c>
      <c r="DU187">
        <v>0</v>
      </c>
      <c r="DV187">
        <v>0</v>
      </c>
      <c r="DW187">
        <v>0</v>
      </c>
      <c r="DX187">
        <v>0</v>
      </c>
      <c r="DY187">
        <v>0</v>
      </c>
      <c r="DZ187">
        <v>0</v>
      </c>
      <c r="EA187">
        <v>0</v>
      </c>
      <c r="EC187" t="s">
        <v>839</v>
      </c>
      <c r="ED187" t="s">
        <v>869</v>
      </c>
      <c r="EE187" t="s">
        <v>900</v>
      </c>
      <c r="EI187">
        <v>4</v>
      </c>
      <c r="EJ187" t="s">
        <v>841</v>
      </c>
      <c r="EO187">
        <v>5</v>
      </c>
      <c r="EP187" t="s">
        <v>841</v>
      </c>
      <c r="EU187">
        <v>5</v>
      </c>
      <c r="EV187" t="s">
        <v>841</v>
      </c>
      <c r="FA187">
        <v>6</v>
      </c>
      <c r="FB187" t="s">
        <v>841</v>
      </c>
      <c r="FG187">
        <v>4</v>
      </c>
      <c r="FH187" t="s">
        <v>841</v>
      </c>
      <c r="FM187">
        <v>25</v>
      </c>
      <c r="FO187">
        <v>9</v>
      </c>
      <c r="FP187">
        <v>6</v>
      </c>
      <c r="FQ187">
        <v>15</v>
      </c>
      <c r="FS187" t="s">
        <v>842</v>
      </c>
      <c r="FT187" t="s">
        <v>839</v>
      </c>
      <c r="FU187" t="s">
        <v>839</v>
      </c>
      <c r="FV187" t="s">
        <v>839</v>
      </c>
      <c r="FW187" t="s">
        <v>839</v>
      </c>
      <c r="FX187" t="s">
        <v>910</v>
      </c>
      <c r="FY187" t="s">
        <v>842</v>
      </c>
      <c r="FZ187" t="s">
        <v>839</v>
      </c>
      <c r="GA187" t="s">
        <v>839</v>
      </c>
      <c r="GB187" t="s">
        <v>842</v>
      </c>
      <c r="GC187" t="s">
        <v>842</v>
      </c>
      <c r="GD187" t="s">
        <v>839</v>
      </c>
      <c r="GE187" t="s">
        <v>929</v>
      </c>
      <c r="GG187" t="s">
        <v>839</v>
      </c>
      <c r="GI187" t="s">
        <v>2018</v>
      </c>
      <c r="GJ187">
        <v>1</v>
      </c>
      <c r="GK187">
        <v>1</v>
      </c>
      <c r="GL187">
        <v>0</v>
      </c>
      <c r="GM187">
        <v>1</v>
      </c>
      <c r="GN187">
        <v>0</v>
      </c>
      <c r="GO187">
        <v>1</v>
      </c>
      <c r="GP187">
        <v>0</v>
      </c>
      <c r="GQ187">
        <v>1</v>
      </c>
      <c r="GR187">
        <v>0</v>
      </c>
      <c r="GS187">
        <v>0</v>
      </c>
      <c r="GT187">
        <v>1</v>
      </c>
      <c r="GU187">
        <v>1</v>
      </c>
      <c r="GV187">
        <v>0</v>
      </c>
      <c r="GW187">
        <v>0</v>
      </c>
      <c r="GX187">
        <v>1</v>
      </c>
      <c r="GY187">
        <v>0</v>
      </c>
      <c r="GZ187">
        <v>0</v>
      </c>
      <c r="HB187" t="s">
        <v>839</v>
      </c>
    </row>
    <row r="188" spans="1:211" x14ac:dyDescent="0.35">
      <c r="A188" t="s">
        <v>2019</v>
      </c>
      <c r="B188" s="151">
        <v>45572.770821759259</v>
      </c>
      <c r="C188" t="s">
        <v>2020</v>
      </c>
      <c r="D188" t="s">
        <v>2021</v>
      </c>
      <c r="E188" t="s">
        <v>835</v>
      </c>
      <c r="F188" t="s">
        <v>2022</v>
      </c>
      <c r="G188" t="s">
        <v>2022</v>
      </c>
      <c r="H188" t="s">
        <v>839</v>
      </c>
      <c r="I188" t="s">
        <v>838</v>
      </c>
      <c r="K188" t="s">
        <v>839</v>
      </c>
      <c r="L188" t="s">
        <v>887</v>
      </c>
      <c r="O188">
        <v>122</v>
      </c>
      <c r="P188">
        <v>92</v>
      </c>
      <c r="Q188">
        <v>204</v>
      </c>
      <c r="T188" t="s">
        <v>841</v>
      </c>
      <c r="U188" t="s">
        <v>841</v>
      </c>
      <c r="V188" t="s">
        <v>841</v>
      </c>
      <c r="W188" t="s">
        <v>841</v>
      </c>
      <c r="X188" t="s">
        <v>841</v>
      </c>
      <c r="Y188" t="s">
        <v>841</v>
      </c>
      <c r="Z188" t="s">
        <v>841</v>
      </c>
      <c r="AA188" t="s">
        <v>841</v>
      </c>
      <c r="AB188" t="s">
        <v>841</v>
      </c>
      <c r="AC188" t="s">
        <v>841</v>
      </c>
      <c r="AD188" t="s">
        <v>841</v>
      </c>
      <c r="AE188" t="s">
        <v>841</v>
      </c>
      <c r="AI188">
        <v>1</v>
      </c>
      <c r="AJ188">
        <v>1</v>
      </c>
      <c r="AK188">
        <v>1</v>
      </c>
      <c r="AL188">
        <v>1</v>
      </c>
      <c r="AM188">
        <v>1</v>
      </c>
      <c r="AN188">
        <v>1</v>
      </c>
      <c r="AO188">
        <v>1</v>
      </c>
      <c r="AP188">
        <v>1</v>
      </c>
      <c r="AQ188">
        <v>1</v>
      </c>
      <c r="AR188">
        <v>1</v>
      </c>
      <c r="AS188">
        <v>1</v>
      </c>
      <c r="AT188">
        <v>1</v>
      </c>
      <c r="AZ188" t="s">
        <v>841</v>
      </c>
      <c r="BJ188">
        <v>6</v>
      </c>
      <c r="BK188">
        <v>4</v>
      </c>
      <c r="BL188">
        <v>10</v>
      </c>
      <c r="BS188" t="s">
        <v>841</v>
      </c>
      <c r="BV188" t="s">
        <v>839</v>
      </c>
      <c r="BW188" t="s">
        <v>759</v>
      </c>
      <c r="BX188" t="s">
        <v>839</v>
      </c>
      <c r="BY188" t="s">
        <v>759</v>
      </c>
      <c r="BZ188" t="s">
        <v>839</v>
      </c>
      <c r="CA188" t="s">
        <v>839</v>
      </c>
      <c r="CC188" t="s">
        <v>839</v>
      </c>
      <c r="CD188" t="s">
        <v>855</v>
      </c>
      <c r="CG188">
        <v>6</v>
      </c>
      <c r="CH188">
        <v>2</v>
      </c>
      <c r="CI188">
        <v>3</v>
      </c>
      <c r="CJ188">
        <v>1</v>
      </c>
      <c r="CK188" t="s">
        <v>877</v>
      </c>
      <c r="CM188" t="s">
        <v>844</v>
      </c>
      <c r="CN188">
        <v>1</v>
      </c>
      <c r="CO188">
        <v>0</v>
      </c>
      <c r="CP188">
        <v>0</v>
      </c>
      <c r="CQ188">
        <v>0</v>
      </c>
      <c r="CR188">
        <v>0</v>
      </c>
      <c r="CS188">
        <v>0</v>
      </c>
      <c r="CU188" t="s">
        <v>1194</v>
      </c>
      <c r="CV188">
        <v>1</v>
      </c>
      <c r="CW188">
        <v>0</v>
      </c>
      <c r="CX188">
        <v>1</v>
      </c>
      <c r="CY188">
        <v>0</v>
      </c>
      <c r="CZ188">
        <v>0</v>
      </c>
      <c r="DA188">
        <v>0</v>
      </c>
      <c r="DB188">
        <v>0</v>
      </c>
      <c r="DC188">
        <v>0</v>
      </c>
      <c r="DD188">
        <v>0</v>
      </c>
      <c r="DE188">
        <v>1</v>
      </c>
      <c r="DF188">
        <v>0</v>
      </c>
      <c r="DJ188">
        <v>4</v>
      </c>
      <c r="DK188">
        <v>10</v>
      </c>
      <c r="DL188">
        <v>14</v>
      </c>
      <c r="DN188">
        <v>300</v>
      </c>
      <c r="DP188">
        <v>800</v>
      </c>
      <c r="DR188" t="s">
        <v>1048</v>
      </c>
      <c r="DS188">
        <v>1</v>
      </c>
      <c r="DT188">
        <v>0</v>
      </c>
      <c r="DU188">
        <v>1</v>
      </c>
      <c r="DV188">
        <v>0</v>
      </c>
      <c r="DW188">
        <v>1</v>
      </c>
      <c r="DX188">
        <v>1</v>
      </c>
      <c r="DY188">
        <v>0</v>
      </c>
      <c r="DZ188">
        <v>0</v>
      </c>
      <c r="EA188">
        <v>0</v>
      </c>
      <c r="EC188" t="s">
        <v>839</v>
      </c>
      <c r="ED188" t="s">
        <v>925</v>
      </c>
      <c r="EE188" t="s">
        <v>848</v>
      </c>
      <c r="EN188" t="s">
        <v>841</v>
      </c>
      <c r="ET188" t="s">
        <v>841</v>
      </c>
      <c r="EZ188" t="s">
        <v>841</v>
      </c>
      <c r="FA188">
        <v>6</v>
      </c>
      <c r="FB188" t="s">
        <v>841</v>
      </c>
      <c r="FG188">
        <v>4</v>
      </c>
      <c r="FH188" t="s">
        <v>841</v>
      </c>
      <c r="FL188" t="s">
        <v>841</v>
      </c>
      <c r="FM188">
        <v>25</v>
      </c>
      <c r="FO188">
        <v>1</v>
      </c>
      <c r="FP188">
        <v>3</v>
      </c>
      <c r="FQ188">
        <v>4</v>
      </c>
      <c r="FS188" t="s">
        <v>839</v>
      </c>
      <c r="FT188" t="s">
        <v>842</v>
      </c>
      <c r="FU188" t="s">
        <v>842</v>
      </c>
      <c r="FV188" t="s">
        <v>839</v>
      </c>
      <c r="FW188" t="s">
        <v>839</v>
      </c>
      <c r="FX188" t="s">
        <v>910</v>
      </c>
      <c r="FY188" t="s">
        <v>842</v>
      </c>
      <c r="FZ188" t="s">
        <v>842</v>
      </c>
      <c r="GA188" t="s">
        <v>842</v>
      </c>
      <c r="GB188" t="s">
        <v>839</v>
      </c>
      <c r="GC188" t="s">
        <v>842</v>
      </c>
      <c r="GD188" t="s">
        <v>839</v>
      </c>
      <c r="GE188" t="s">
        <v>881</v>
      </c>
      <c r="GG188" t="s">
        <v>842</v>
      </c>
      <c r="GI188" t="s">
        <v>1126</v>
      </c>
      <c r="GJ188">
        <v>1</v>
      </c>
      <c r="GK188">
        <v>0</v>
      </c>
      <c r="GL188">
        <v>0</v>
      </c>
      <c r="GM188">
        <v>0</v>
      </c>
      <c r="GN188">
        <v>0</v>
      </c>
      <c r="GO188">
        <v>1</v>
      </c>
      <c r="GP188">
        <v>0</v>
      </c>
      <c r="GQ188">
        <v>0</v>
      </c>
      <c r="GR188">
        <v>0</v>
      </c>
      <c r="GS188">
        <v>0</v>
      </c>
      <c r="GT188">
        <v>0</v>
      </c>
      <c r="GU188">
        <v>1</v>
      </c>
      <c r="GV188">
        <v>0</v>
      </c>
      <c r="GW188">
        <v>1</v>
      </c>
      <c r="GX188">
        <v>0</v>
      </c>
      <c r="GY188">
        <v>0</v>
      </c>
      <c r="GZ188">
        <v>0</v>
      </c>
      <c r="HB188" t="s">
        <v>839</v>
      </c>
    </row>
    <row r="189" spans="1:211" x14ac:dyDescent="0.35">
      <c r="A189" t="s">
        <v>2023</v>
      </c>
      <c r="B189" s="151">
        <v>45572.782268518517</v>
      </c>
      <c r="C189" t="s">
        <v>2024</v>
      </c>
      <c r="D189" t="s">
        <v>2025</v>
      </c>
      <c r="E189" t="s">
        <v>835</v>
      </c>
      <c r="F189" t="s">
        <v>2026</v>
      </c>
      <c r="G189" t="s">
        <v>2026</v>
      </c>
      <c r="H189" t="s">
        <v>839</v>
      </c>
      <c r="I189" t="s">
        <v>896</v>
      </c>
      <c r="K189" t="s">
        <v>839</v>
      </c>
      <c r="L189" t="s">
        <v>897</v>
      </c>
      <c r="O189">
        <v>116</v>
      </c>
      <c r="P189">
        <v>114</v>
      </c>
      <c r="Q189">
        <v>230</v>
      </c>
      <c r="S189" t="s">
        <v>841</v>
      </c>
      <c r="T189" t="s">
        <v>841</v>
      </c>
      <c r="U189" t="s">
        <v>841</v>
      </c>
      <c r="V189" t="s">
        <v>841</v>
      </c>
      <c r="W189" t="s">
        <v>841</v>
      </c>
      <c r="X189" t="s">
        <v>841</v>
      </c>
      <c r="Y189" t="s">
        <v>841</v>
      </c>
      <c r="Z189" t="s">
        <v>841</v>
      </c>
      <c r="AA189" t="s">
        <v>841</v>
      </c>
      <c r="AB189" t="s">
        <v>841</v>
      </c>
      <c r="AC189" t="s">
        <v>841</v>
      </c>
      <c r="AD189" t="s">
        <v>841</v>
      </c>
      <c r="AE189" t="s">
        <v>841</v>
      </c>
      <c r="AF189" t="s">
        <v>841</v>
      </c>
      <c r="AH189">
        <v>1</v>
      </c>
      <c r="AI189">
        <v>1</v>
      </c>
      <c r="AJ189">
        <v>1</v>
      </c>
      <c r="AK189">
        <v>1</v>
      </c>
      <c r="AL189">
        <v>1</v>
      </c>
      <c r="AM189">
        <v>1</v>
      </c>
      <c r="AN189">
        <v>1</v>
      </c>
      <c r="AO189">
        <v>1</v>
      </c>
      <c r="AP189">
        <v>1</v>
      </c>
      <c r="AQ189">
        <v>1</v>
      </c>
      <c r="AR189">
        <v>1</v>
      </c>
      <c r="AS189">
        <v>1</v>
      </c>
      <c r="AT189">
        <v>1</v>
      </c>
      <c r="AU189">
        <v>1</v>
      </c>
      <c r="AW189">
        <v>2</v>
      </c>
      <c r="AX189">
        <v>1</v>
      </c>
      <c r="AY189">
        <v>3</v>
      </c>
      <c r="BC189">
        <v>1</v>
      </c>
      <c r="BD189">
        <v>1</v>
      </c>
      <c r="BF189">
        <v>2</v>
      </c>
      <c r="BH189">
        <v>2</v>
      </c>
      <c r="BJ189">
        <v>8</v>
      </c>
      <c r="BK189">
        <v>7</v>
      </c>
      <c r="BL189">
        <v>15</v>
      </c>
      <c r="BP189">
        <v>2</v>
      </c>
      <c r="BQ189">
        <v>1</v>
      </c>
      <c r="BR189">
        <v>3</v>
      </c>
      <c r="BV189" t="s">
        <v>839</v>
      </c>
      <c r="BW189" t="s">
        <v>682</v>
      </c>
      <c r="BX189" t="s">
        <v>839</v>
      </c>
      <c r="BY189" t="s">
        <v>759</v>
      </c>
      <c r="BZ189" t="s">
        <v>839</v>
      </c>
      <c r="CA189" t="s">
        <v>839</v>
      </c>
      <c r="CC189" t="s">
        <v>839</v>
      </c>
      <c r="CD189" t="s">
        <v>855</v>
      </c>
      <c r="CG189">
        <v>8</v>
      </c>
      <c r="CH189">
        <v>3</v>
      </c>
      <c r="CI189">
        <v>3</v>
      </c>
      <c r="CJ189">
        <v>2</v>
      </c>
      <c r="CK189" t="s">
        <v>877</v>
      </c>
      <c r="CM189" t="s">
        <v>844</v>
      </c>
      <c r="CN189">
        <v>1</v>
      </c>
      <c r="CO189">
        <v>0</v>
      </c>
      <c r="CP189">
        <v>0</v>
      </c>
      <c r="CQ189">
        <v>0</v>
      </c>
      <c r="CR189">
        <v>0</v>
      </c>
      <c r="CS189">
        <v>0</v>
      </c>
      <c r="CU189" t="s">
        <v>1388</v>
      </c>
      <c r="CV189">
        <v>1</v>
      </c>
      <c r="CW189">
        <v>0</v>
      </c>
      <c r="CX189">
        <v>1</v>
      </c>
      <c r="CY189">
        <v>0</v>
      </c>
      <c r="CZ189">
        <v>0</v>
      </c>
      <c r="DA189">
        <v>0</v>
      </c>
      <c r="DB189">
        <v>1</v>
      </c>
      <c r="DC189">
        <v>0</v>
      </c>
      <c r="DD189">
        <v>1</v>
      </c>
      <c r="DE189">
        <v>0</v>
      </c>
      <c r="DF189">
        <v>0</v>
      </c>
      <c r="DJ189">
        <v>7</v>
      </c>
      <c r="DK189">
        <v>8</v>
      </c>
      <c r="DL189">
        <v>15</v>
      </c>
      <c r="DN189">
        <v>500</v>
      </c>
      <c r="DP189">
        <v>1500</v>
      </c>
      <c r="DR189" t="s">
        <v>2027</v>
      </c>
      <c r="DS189">
        <v>1</v>
      </c>
      <c r="DT189">
        <v>1</v>
      </c>
      <c r="DU189">
        <v>1</v>
      </c>
      <c r="DV189">
        <v>0</v>
      </c>
      <c r="DW189">
        <v>0</v>
      </c>
      <c r="DX189">
        <v>1</v>
      </c>
      <c r="DY189">
        <v>0</v>
      </c>
      <c r="DZ189">
        <v>1</v>
      </c>
      <c r="EA189">
        <v>0</v>
      </c>
      <c r="EB189" t="s">
        <v>2028</v>
      </c>
      <c r="EC189" t="s">
        <v>839</v>
      </c>
      <c r="ED189" t="s">
        <v>869</v>
      </c>
      <c r="EE189" t="s">
        <v>848</v>
      </c>
      <c r="EI189">
        <v>5</v>
      </c>
      <c r="EJ189" t="s">
        <v>841</v>
      </c>
      <c r="EO189">
        <v>6</v>
      </c>
      <c r="EP189" t="s">
        <v>841</v>
      </c>
      <c r="EU189">
        <v>7.5</v>
      </c>
      <c r="EV189" t="s">
        <v>841</v>
      </c>
      <c r="FA189">
        <v>8</v>
      </c>
      <c r="FB189" t="s">
        <v>841</v>
      </c>
      <c r="FG189">
        <v>5</v>
      </c>
      <c r="FH189" t="s">
        <v>841</v>
      </c>
      <c r="FM189">
        <v>25</v>
      </c>
      <c r="FO189">
        <v>4</v>
      </c>
      <c r="FP189">
        <v>6</v>
      </c>
      <c r="FQ189">
        <v>10</v>
      </c>
      <c r="FS189" t="s">
        <v>839</v>
      </c>
      <c r="FT189" t="s">
        <v>842</v>
      </c>
      <c r="FU189" t="s">
        <v>839</v>
      </c>
      <c r="FV189" t="s">
        <v>839</v>
      </c>
      <c r="FW189" t="s">
        <v>839</v>
      </c>
      <c r="FX189" t="s">
        <v>910</v>
      </c>
      <c r="FY189" t="s">
        <v>839</v>
      </c>
      <c r="FZ189" t="s">
        <v>839</v>
      </c>
      <c r="GA189" t="s">
        <v>839</v>
      </c>
      <c r="GB189" t="s">
        <v>842</v>
      </c>
      <c r="GC189" t="s">
        <v>839</v>
      </c>
      <c r="GD189" t="s">
        <v>839</v>
      </c>
      <c r="GE189" t="s">
        <v>929</v>
      </c>
      <c r="GG189" t="s">
        <v>839</v>
      </c>
      <c r="GI189" t="s">
        <v>849</v>
      </c>
      <c r="GJ189">
        <v>1</v>
      </c>
      <c r="GK189">
        <v>0</v>
      </c>
      <c r="GL189">
        <v>0</v>
      </c>
      <c r="GM189">
        <v>0</v>
      </c>
      <c r="GN189">
        <v>0</v>
      </c>
      <c r="GO189">
        <v>0</v>
      </c>
      <c r="GP189">
        <v>0</v>
      </c>
      <c r="GQ189">
        <v>0</v>
      </c>
      <c r="GR189">
        <v>0</v>
      </c>
      <c r="GS189">
        <v>0</v>
      </c>
      <c r="GT189">
        <v>0</v>
      </c>
      <c r="GU189">
        <v>0</v>
      </c>
      <c r="GV189">
        <v>0</v>
      </c>
      <c r="GW189">
        <v>0</v>
      </c>
      <c r="GX189">
        <v>0</v>
      </c>
      <c r="GY189">
        <v>0</v>
      </c>
      <c r="GZ189">
        <v>0</v>
      </c>
      <c r="HB189" t="s">
        <v>839</v>
      </c>
    </row>
    <row r="190" spans="1:211" x14ac:dyDescent="0.35">
      <c r="A190" t="s">
        <v>2029</v>
      </c>
      <c r="B190" s="151">
        <v>45572.791006944448</v>
      </c>
      <c r="C190" t="s">
        <v>2030</v>
      </c>
      <c r="D190" t="s">
        <v>2031</v>
      </c>
      <c r="E190" t="s">
        <v>835</v>
      </c>
      <c r="F190" t="s">
        <v>2032</v>
      </c>
      <c r="G190" t="s">
        <v>2032</v>
      </c>
      <c r="H190" t="s">
        <v>839</v>
      </c>
      <c r="I190" t="s">
        <v>896</v>
      </c>
      <c r="K190" t="s">
        <v>839</v>
      </c>
      <c r="L190" t="s">
        <v>897</v>
      </c>
      <c r="O190">
        <v>76</v>
      </c>
      <c r="P190">
        <v>100</v>
      </c>
      <c r="Q190">
        <v>176</v>
      </c>
      <c r="S190" t="s">
        <v>841</v>
      </c>
      <c r="T190" t="s">
        <v>841</v>
      </c>
      <c r="U190" t="s">
        <v>841</v>
      </c>
      <c r="V190" t="s">
        <v>841</v>
      </c>
      <c r="W190" t="s">
        <v>841</v>
      </c>
      <c r="X190" t="s">
        <v>841</v>
      </c>
      <c r="Y190" t="s">
        <v>841</v>
      </c>
      <c r="Z190" t="s">
        <v>841</v>
      </c>
      <c r="AA190" t="s">
        <v>841</v>
      </c>
      <c r="AB190" t="s">
        <v>841</v>
      </c>
      <c r="AC190" t="s">
        <v>841</v>
      </c>
      <c r="AH190">
        <v>1</v>
      </c>
      <c r="AI190">
        <v>1</v>
      </c>
      <c r="AJ190">
        <v>1</v>
      </c>
      <c r="AK190">
        <v>1</v>
      </c>
      <c r="AL190">
        <v>1</v>
      </c>
      <c r="AM190">
        <v>1</v>
      </c>
      <c r="AN190">
        <v>1</v>
      </c>
      <c r="AO190">
        <v>1</v>
      </c>
      <c r="AP190">
        <v>1</v>
      </c>
      <c r="AQ190">
        <v>1</v>
      </c>
      <c r="AR190">
        <v>1</v>
      </c>
      <c r="AS190">
        <v>0</v>
      </c>
      <c r="AT190">
        <v>0</v>
      </c>
      <c r="AU190">
        <v>0</v>
      </c>
      <c r="AZ190" t="s">
        <v>841</v>
      </c>
      <c r="BM190" t="s">
        <v>841</v>
      </c>
      <c r="BS190" t="s">
        <v>841</v>
      </c>
      <c r="BV190" t="s">
        <v>842</v>
      </c>
      <c r="BX190" t="s">
        <v>842</v>
      </c>
      <c r="BZ190" t="s">
        <v>839</v>
      </c>
      <c r="CA190" t="s">
        <v>839</v>
      </c>
      <c r="CC190" t="s">
        <v>839</v>
      </c>
      <c r="CD190" t="s">
        <v>855</v>
      </c>
      <c r="CG190">
        <v>20</v>
      </c>
      <c r="CH190">
        <v>10</v>
      </c>
      <c r="CI190">
        <v>10</v>
      </c>
      <c r="CJ190">
        <v>0</v>
      </c>
      <c r="CK190" t="s">
        <v>877</v>
      </c>
      <c r="CM190" t="s">
        <v>867</v>
      </c>
      <c r="CN190">
        <v>0</v>
      </c>
      <c r="CO190">
        <v>1</v>
      </c>
      <c r="CP190">
        <v>0</v>
      </c>
      <c r="CQ190">
        <v>0</v>
      </c>
      <c r="CR190">
        <v>0</v>
      </c>
      <c r="CS190">
        <v>0</v>
      </c>
      <c r="CU190" t="s">
        <v>943</v>
      </c>
      <c r="CV190">
        <v>1</v>
      </c>
      <c r="CW190">
        <v>1</v>
      </c>
      <c r="CX190">
        <v>1</v>
      </c>
      <c r="CY190">
        <v>0</v>
      </c>
      <c r="CZ190">
        <v>0</v>
      </c>
      <c r="DA190">
        <v>0</v>
      </c>
      <c r="DB190">
        <v>0</v>
      </c>
      <c r="DC190">
        <v>1</v>
      </c>
      <c r="DD190">
        <v>1</v>
      </c>
      <c r="DE190">
        <v>0</v>
      </c>
      <c r="DF190">
        <v>0</v>
      </c>
      <c r="DJ190">
        <v>8</v>
      </c>
      <c r="DK190">
        <v>7</v>
      </c>
      <c r="DL190">
        <v>15</v>
      </c>
      <c r="DN190">
        <v>400</v>
      </c>
      <c r="DP190">
        <v>800</v>
      </c>
      <c r="DR190" t="s">
        <v>1040</v>
      </c>
      <c r="DS190">
        <v>0</v>
      </c>
      <c r="DT190">
        <v>0</v>
      </c>
      <c r="DU190">
        <v>1</v>
      </c>
      <c r="DV190">
        <v>0</v>
      </c>
      <c r="DW190">
        <v>0</v>
      </c>
      <c r="DX190">
        <v>0</v>
      </c>
      <c r="DY190">
        <v>0</v>
      </c>
      <c r="DZ190">
        <v>0</v>
      </c>
      <c r="EA190">
        <v>0</v>
      </c>
      <c r="EC190" t="s">
        <v>842</v>
      </c>
      <c r="ED190" t="s">
        <v>925</v>
      </c>
      <c r="EE190" t="s">
        <v>848</v>
      </c>
      <c r="EI190">
        <v>700</v>
      </c>
      <c r="EM190" t="s">
        <v>841</v>
      </c>
      <c r="EO190">
        <v>700</v>
      </c>
      <c r="ES190" t="s">
        <v>841</v>
      </c>
      <c r="EZ190" t="s">
        <v>841</v>
      </c>
      <c r="FA190">
        <v>11.5</v>
      </c>
      <c r="FB190" t="s">
        <v>841</v>
      </c>
      <c r="FG190">
        <v>6</v>
      </c>
      <c r="FH190" t="s">
        <v>841</v>
      </c>
      <c r="FM190">
        <v>25</v>
      </c>
      <c r="FO190">
        <v>2</v>
      </c>
      <c r="FP190">
        <v>3</v>
      </c>
      <c r="FQ190">
        <v>5</v>
      </c>
      <c r="FS190" t="s">
        <v>839</v>
      </c>
      <c r="FT190" t="s">
        <v>842</v>
      </c>
      <c r="FU190" t="s">
        <v>839</v>
      </c>
      <c r="FV190" t="s">
        <v>839</v>
      </c>
      <c r="FW190" t="s">
        <v>839</v>
      </c>
      <c r="FX190" t="s">
        <v>965</v>
      </c>
      <c r="FY190" t="s">
        <v>842</v>
      </c>
      <c r="FZ190" t="s">
        <v>842</v>
      </c>
      <c r="GA190" t="s">
        <v>842</v>
      </c>
      <c r="GB190" t="s">
        <v>839</v>
      </c>
      <c r="GC190" t="s">
        <v>839</v>
      </c>
      <c r="GD190" t="s">
        <v>839</v>
      </c>
      <c r="GE190" t="s">
        <v>881</v>
      </c>
      <c r="GG190" t="s">
        <v>839</v>
      </c>
      <c r="GI190" t="s">
        <v>2033</v>
      </c>
      <c r="GJ190">
        <v>1</v>
      </c>
      <c r="GK190">
        <v>1</v>
      </c>
      <c r="GL190">
        <v>0</v>
      </c>
      <c r="GM190">
        <v>0</v>
      </c>
      <c r="GN190">
        <v>1</v>
      </c>
      <c r="GO190">
        <v>0</v>
      </c>
      <c r="GP190">
        <v>0</v>
      </c>
      <c r="GQ190">
        <v>0</v>
      </c>
      <c r="GR190">
        <v>0</v>
      </c>
      <c r="GS190">
        <v>0</v>
      </c>
      <c r="GT190">
        <v>0</v>
      </c>
      <c r="GU190">
        <v>0</v>
      </c>
      <c r="GV190">
        <v>0</v>
      </c>
      <c r="GW190">
        <v>0</v>
      </c>
      <c r="GX190">
        <v>0</v>
      </c>
      <c r="GY190">
        <v>0</v>
      </c>
      <c r="GZ190">
        <v>0</v>
      </c>
      <c r="HB190" t="s">
        <v>839</v>
      </c>
    </row>
    <row r="191" spans="1:211" x14ac:dyDescent="0.35">
      <c r="A191" t="s">
        <v>2034</v>
      </c>
      <c r="B191" s="151">
        <v>45572.799467592587</v>
      </c>
      <c r="C191" t="s">
        <v>2035</v>
      </c>
      <c r="D191" t="s">
        <v>2036</v>
      </c>
      <c r="E191" t="s">
        <v>875</v>
      </c>
      <c r="F191" t="s">
        <v>2037</v>
      </c>
      <c r="G191" t="s">
        <v>2037</v>
      </c>
      <c r="H191" t="s">
        <v>839</v>
      </c>
      <c r="I191" t="s">
        <v>838</v>
      </c>
      <c r="K191" t="s">
        <v>839</v>
      </c>
      <c r="L191" t="s">
        <v>887</v>
      </c>
      <c r="O191">
        <v>92</v>
      </c>
      <c r="P191">
        <v>70</v>
      </c>
      <c r="Q191">
        <v>162</v>
      </c>
      <c r="S191" t="s">
        <v>841</v>
      </c>
      <c r="T191" t="s">
        <v>841</v>
      </c>
      <c r="U191" t="s">
        <v>841</v>
      </c>
      <c r="V191" t="s">
        <v>841</v>
      </c>
      <c r="W191" t="s">
        <v>841</v>
      </c>
      <c r="X191" t="s">
        <v>841</v>
      </c>
      <c r="Y191" t="s">
        <v>841</v>
      </c>
      <c r="AH191">
        <v>1</v>
      </c>
      <c r="AI191">
        <v>1</v>
      </c>
      <c r="AJ191">
        <v>1</v>
      </c>
      <c r="AK191">
        <v>1</v>
      </c>
      <c r="AL191">
        <v>1</v>
      </c>
      <c r="AM191">
        <v>1</v>
      </c>
      <c r="AN191">
        <v>1</v>
      </c>
      <c r="AZ191" t="s">
        <v>841</v>
      </c>
      <c r="BM191" t="s">
        <v>841</v>
      </c>
      <c r="BS191" t="s">
        <v>841</v>
      </c>
      <c r="BV191" t="s">
        <v>842</v>
      </c>
      <c r="BX191" t="s">
        <v>839</v>
      </c>
      <c r="BY191" t="s">
        <v>759</v>
      </c>
      <c r="BZ191" t="s">
        <v>839</v>
      </c>
      <c r="CA191" t="s">
        <v>842</v>
      </c>
      <c r="CC191" t="s">
        <v>839</v>
      </c>
      <c r="CD191" t="s">
        <v>855</v>
      </c>
      <c r="CG191">
        <v>5</v>
      </c>
      <c r="CH191">
        <v>2</v>
      </c>
      <c r="CI191">
        <v>2</v>
      </c>
      <c r="CJ191">
        <v>1</v>
      </c>
      <c r="CK191" t="s">
        <v>681</v>
      </c>
      <c r="CM191" t="s">
        <v>844</v>
      </c>
      <c r="CN191">
        <v>1</v>
      </c>
      <c r="CO191">
        <v>0</v>
      </c>
      <c r="CP191">
        <v>0</v>
      </c>
      <c r="CQ191">
        <v>0</v>
      </c>
      <c r="CR191">
        <v>0</v>
      </c>
      <c r="CS191">
        <v>0</v>
      </c>
      <c r="CU191" t="s">
        <v>1194</v>
      </c>
      <c r="CV191">
        <v>1</v>
      </c>
      <c r="CW191">
        <v>0</v>
      </c>
      <c r="CX191">
        <v>1</v>
      </c>
      <c r="CY191">
        <v>0</v>
      </c>
      <c r="CZ191">
        <v>0</v>
      </c>
      <c r="DA191">
        <v>0</v>
      </c>
      <c r="DB191">
        <v>0</v>
      </c>
      <c r="DC191">
        <v>0</v>
      </c>
      <c r="DD191">
        <v>0</v>
      </c>
      <c r="DE191">
        <v>1</v>
      </c>
      <c r="DF191">
        <v>0</v>
      </c>
      <c r="DJ191">
        <v>3</v>
      </c>
      <c r="DK191">
        <v>10</v>
      </c>
      <c r="DL191">
        <v>13</v>
      </c>
      <c r="DN191">
        <v>300</v>
      </c>
      <c r="DP191">
        <v>750</v>
      </c>
      <c r="DR191" t="s">
        <v>681</v>
      </c>
      <c r="DS191">
        <v>0</v>
      </c>
      <c r="DT191">
        <v>0</v>
      </c>
      <c r="DU191">
        <v>0</v>
      </c>
      <c r="DV191">
        <v>0</v>
      </c>
      <c r="DW191">
        <v>0</v>
      </c>
      <c r="DX191">
        <v>0</v>
      </c>
      <c r="DY191">
        <v>0</v>
      </c>
      <c r="DZ191">
        <v>0</v>
      </c>
      <c r="EA191">
        <v>1</v>
      </c>
      <c r="EC191" t="s">
        <v>842</v>
      </c>
      <c r="ED191" t="s">
        <v>909</v>
      </c>
      <c r="EE191" t="s">
        <v>848</v>
      </c>
      <c r="EI191">
        <v>100</v>
      </c>
      <c r="EM191" t="s">
        <v>841</v>
      </c>
      <c r="EO191">
        <v>100</v>
      </c>
      <c r="ES191" t="s">
        <v>841</v>
      </c>
      <c r="EZ191" t="s">
        <v>841</v>
      </c>
      <c r="FA191">
        <v>15</v>
      </c>
      <c r="FB191" t="s">
        <v>841</v>
      </c>
      <c r="FG191">
        <v>5</v>
      </c>
      <c r="FH191" t="s">
        <v>841</v>
      </c>
      <c r="FM191">
        <v>25</v>
      </c>
      <c r="FO191">
        <v>3</v>
      </c>
      <c r="FP191">
        <v>3</v>
      </c>
      <c r="FQ191">
        <v>6</v>
      </c>
      <c r="FS191" t="s">
        <v>842</v>
      </c>
      <c r="FT191" t="s">
        <v>842</v>
      </c>
      <c r="FU191" t="s">
        <v>839</v>
      </c>
      <c r="FV191" t="s">
        <v>839</v>
      </c>
      <c r="FW191" t="s">
        <v>839</v>
      </c>
      <c r="FX191" t="s">
        <v>965</v>
      </c>
      <c r="FY191" t="s">
        <v>839</v>
      </c>
      <c r="FZ191" t="s">
        <v>842</v>
      </c>
      <c r="GA191" t="s">
        <v>842</v>
      </c>
      <c r="GB191" t="s">
        <v>839</v>
      </c>
      <c r="GC191" t="s">
        <v>839</v>
      </c>
      <c r="GD191" t="s">
        <v>839</v>
      </c>
      <c r="GE191" t="s">
        <v>881</v>
      </c>
      <c r="GG191" t="s">
        <v>842</v>
      </c>
      <c r="GI191" t="s">
        <v>849</v>
      </c>
      <c r="GJ191">
        <v>1</v>
      </c>
      <c r="GK191">
        <v>0</v>
      </c>
      <c r="GL191">
        <v>0</v>
      </c>
      <c r="GM191">
        <v>0</v>
      </c>
      <c r="GN191">
        <v>0</v>
      </c>
      <c r="GO191">
        <v>0</v>
      </c>
      <c r="GP191">
        <v>0</v>
      </c>
      <c r="GQ191">
        <v>0</v>
      </c>
      <c r="GR191">
        <v>0</v>
      </c>
      <c r="GS191">
        <v>0</v>
      </c>
      <c r="GT191">
        <v>0</v>
      </c>
      <c r="GU191">
        <v>0</v>
      </c>
      <c r="GV191">
        <v>0</v>
      </c>
      <c r="GW191">
        <v>0</v>
      </c>
      <c r="GX191">
        <v>0</v>
      </c>
      <c r="GY191">
        <v>0</v>
      </c>
      <c r="GZ191">
        <v>0</v>
      </c>
      <c r="HB191" t="s">
        <v>839</v>
      </c>
    </row>
    <row r="192" spans="1:211" ht="15" customHeight="1" x14ac:dyDescent="0.35">
      <c r="A192" t="s">
        <v>2038</v>
      </c>
      <c r="B192" s="151">
        <v>45572.808842592603</v>
      </c>
      <c r="C192" t="s">
        <v>2039</v>
      </c>
      <c r="D192" t="s">
        <v>2040</v>
      </c>
      <c r="E192" t="s">
        <v>875</v>
      </c>
      <c r="F192" t="s">
        <v>2041</v>
      </c>
      <c r="G192" t="s">
        <v>2041</v>
      </c>
      <c r="H192" t="s">
        <v>839</v>
      </c>
      <c r="I192" t="s">
        <v>838</v>
      </c>
      <c r="K192" t="s">
        <v>842</v>
      </c>
      <c r="O192">
        <v>103</v>
      </c>
      <c r="P192">
        <v>154</v>
      </c>
      <c r="Q192">
        <v>257</v>
      </c>
      <c r="S192" t="s">
        <v>841</v>
      </c>
      <c r="T192" t="s">
        <v>841</v>
      </c>
      <c r="U192" t="s">
        <v>841</v>
      </c>
      <c r="V192" t="s">
        <v>841</v>
      </c>
      <c r="W192" t="s">
        <v>841</v>
      </c>
      <c r="X192" t="s">
        <v>841</v>
      </c>
      <c r="Y192" t="s">
        <v>841</v>
      </c>
      <c r="Z192" t="s">
        <v>841</v>
      </c>
      <c r="AA192" t="s">
        <v>841</v>
      </c>
      <c r="AB192" t="s">
        <v>841</v>
      </c>
      <c r="AC192" t="s">
        <v>841</v>
      </c>
      <c r="AH192">
        <v>1</v>
      </c>
      <c r="AI192">
        <v>2</v>
      </c>
      <c r="AJ192">
        <v>2</v>
      </c>
      <c r="AK192">
        <v>1</v>
      </c>
      <c r="AL192">
        <v>2</v>
      </c>
      <c r="AM192">
        <v>2</v>
      </c>
      <c r="AN192">
        <v>2</v>
      </c>
      <c r="AO192">
        <v>2</v>
      </c>
      <c r="AP192">
        <v>1</v>
      </c>
      <c r="AQ192">
        <v>1</v>
      </c>
      <c r="AR192">
        <v>1</v>
      </c>
      <c r="AZ192" t="s">
        <v>841</v>
      </c>
      <c r="BM192" t="s">
        <v>841</v>
      </c>
      <c r="BS192" t="s">
        <v>841</v>
      </c>
      <c r="BV192" t="s">
        <v>839</v>
      </c>
      <c r="BW192" t="s">
        <v>950</v>
      </c>
      <c r="BX192" t="s">
        <v>839</v>
      </c>
      <c r="BY192" t="s">
        <v>950</v>
      </c>
      <c r="BZ192" t="s">
        <v>839</v>
      </c>
      <c r="CA192" t="s">
        <v>839</v>
      </c>
      <c r="CC192" t="s">
        <v>842</v>
      </c>
      <c r="CD192" t="s">
        <v>855</v>
      </c>
      <c r="CG192">
        <v>12</v>
      </c>
      <c r="CH192">
        <v>3</v>
      </c>
      <c r="CI192">
        <v>3</v>
      </c>
      <c r="CJ192">
        <v>6</v>
      </c>
      <c r="CK192" t="s">
        <v>856</v>
      </c>
      <c r="CM192" t="s">
        <v>867</v>
      </c>
      <c r="CN192">
        <v>0</v>
      </c>
      <c r="CO192">
        <v>1</v>
      </c>
      <c r="CP192">
        <v>0</v>
      </c>
      <c r="CQ192">
        <v>0</v>
      </c>
      <c r="CR192">
        <v>0</v>
      </c>
      <c r="CS192">
        <v>0</v>
      </c>
      <c r="CU192" t="s">
        <v>926</v>
      </c>
      <c r="CV192">
        <v>1</v>
      </c>
      <c r="CW192">
        <v>0</v>
      </c>
      <c r="CX192">
        <v>1</v>
      </c>
      <c r="CY192">
        <v>1</v>
      </c>
      <c r="CZ192">
        <v>0</v>
      </c>
      <c r="DA192">
        <v>0</v>
      </c>
      <c r="DB192">
        <v>0</v>
      </c>
      <c r="DC192">
        <v>0</v>
      </c>
      <c r="DD192">
        <v>1</v>
      </c>
      <c r="DE192">
        <v>1</v>
      </c>
      <c r="DF192">
        <v>0</v>
      </c>
      <c r="DJ192">
        <v>8</v>
      </c>
      <c r="DK192">
        <v>16</v>
      </c>
      <c r="DL192">
        <v>24</v>
      </c>
      <c r="DN192">
        <v>350</v>
      </c>
      <c r="DP192">
        <v>1200</v>
      </c>
      <c r="DR192" t="s">
        <v>1596</v>
      </c>
      <c r="DS192">
        <v>1</v>
      </c>
      <c r="DT192">
        <v>1</v>
      </c>
      <c r="DU192">
        <v>1</v>
      </c>
      <c r="DV192">
        <v>0</v>
      </c>
      <c r="DW192">
        <v>1</v>
      </c>
      <c r="DX192">
        <v>1</v>
      </c>
      <c r="DY192">
        <v>0</v>
      </c>
      <c r="DZ192">
        <v>1</v>
      </c>
      <c r="EA192">
        <v>0</v>
      </c>
      <c r="EB192" t="s">
        <v>2042</v>
      </c>
      <c r="EC192" t="s">
        <v>842</v>
      </c>
      <c r="ED192" t="s">
        <v>869</v>
      </c>
      <c r="EE192" t="s">
        <v>626</v>
      </c>
      <c r="EF192" t="s">
        <v>2043</v>
      </c>
      <c r="EI192">
        <v>550</v>
      </c>
      <c r="EM192" t="s">
        <v>841</v>
      </c>
      <c r="EO192">
        <v>488</v>
      </c>
      <c r="ES192" t="s">
        <v>841</v>
      </c>
      <c r="EZ192" t="s">
        <v>841</v>
      </c>
      <c r="FA192">
        <v>8</v>
      </c>
      <c r="FB192" t="s">
        <v>841</v>
      </c>
      <c r="FL192" t="s">
        <v>841</v>
      </c>
      <c r="FM192">
        <v>20</v>
      </c>
      <c r="FO192">
        <v>4</v>
      </c>
      <c r="FP192">
        <v>6</v>
      </c>
      <c r="FQ192">
        <v>10</v>
      </c>
      <c r="FS192" t="s">
        <v>842</v>
      </c>
      <c r="FT192" t="s">
        <v>842</v>
      </c>
      <c r="FU192" t="s">
        <v>842</v>
      </c>
      <c r="FV192" t="s">
        <v>839</v>
      </c>
      <c r="FW192" t="s">
        <v>842</v>
      </c>
      <c r="FY192" t="s">
        <v>842</v>
      </c>
      <c r="FZ192" t="s">
        <v>842</v>
      </c>
      <c r="GA192" t="s">
        <v>839</v>
      </c>
      <c r="GB192" t="s">
        <v>842</v>
      </c>
      <c r="GC192" t="s">
        <v>842</v>
      </c>
      <c r="GD192" t="s">
        <v>842</v>
      </c>
      <c r="GG192" t="s">
        <v>668</v>
      </c>
      <c r="GI192" t="s">
        <v>976</v>
      </c>
      <c r="GJ192">
        <v>1</v>
      </c>
      <c r="GK192">
        <v>1</v>
      </c>
      <c r="GL192">
        <v>0</v>
      </c>
      <c r="GM192">
        <v>0</v>
      </c>
      <c r="GN192">
        <v>0</v>
      </c>
      <c r="GO192">
        <v>0</v>
      </c>
      <c r="GP192">
        <v>0</v>
      </c>
      <c r="GQ192">
        <v>0</v>
      </c>
      <c r="GR192">
        <v>0</v>
      </c>
      <c r="GS192">
        <v>0</v>
      </c>
      <c r="GT192">
        <v>0</v>
      </c>
      <c r="GU192">
        <v>0</v>
      </c>
      <c r="GV192">
        <v>0</v>
      </c>
      <c r="GW192">
        <v>0</v>
      </c>
      <c r="GX192">
        <v>0</v>
      </c>
      <c r="GY192">
        <v>0</v>
      </c>
      <c r="GZ192">
        <v>0</v>
      </c>
      <c r="HB192" t="s">
        <v>842</v>
      </c>
      <c r="HC192" s="155" t="s">
        <v>2044</v>
      </c>
    </row>
    <row r="193" spans="1:211" x14ac:dyDescent="0.35">
      <c r="A193" t="s">
        <v>2045</v>
      </c>
      <c r="B193" s="151">
        <v>45572.814259259263</v>
      </c>
      <c r="C193" t="s">
        <v>2046</v>
      </c>
      <c r="D193" t="s">
        <v>2047</v>
      </c>
      <c r="E193" t="s">
        <v>875</v>
      </c>
      <c r="F193" t="s">
        <v>2048</v>
      </c>
      <c r="G193" t="s">
        <v>2048</v>
      </c>
      <c r="H193" t="s">
        <v>839</v>
      </c>
      <c r="I193" t="s">
        <v>896</v>
      </c>
      <c r="K193" t="s">
        <v>842</v>
      </c>
      <c r="O193">
        <v>63</v>
      </c>
      <c r="P193">
        <v>68</v>
      </c>
      <c r="Q193">
        <v>131</v>
      </c>
      <c r="T193" t="s">
        <v>841</v>
      </c>
      <c r="V193" t="s">
        <v>841</v>
      </c>
      <c r="W193" t="s">
        <v>841</v>
      </c>
      <c r="X193" t="s">
        <v>841</v>
      </c>
      <c r="Y193" t="s">
        <v>841</v>
      </c>
      <c r="Z193" t="s">
        <v>841</v>
      </c>
      <c r="AA193" t="s">
        <v>841</v>
      </c>
      <c r="AB193" t="s">
        <v>841</v>
      </c>
      <c r="AC193" t="s">
        <v>841</v>
      </c>
      <c r="AD193" t="s">
        <v>841</v>
      </c>
      <c r="AE193" t="s">
        <v>841</v>
      </c>
      <c r="AI193">
        <v>1</v>
      </c>
      <c r="AK193">
        <v>1</v>
      </c>
      <c r="AL193">
        <v>1</v>
      </c>
      <c r="AM193">
        <v>1</v>
      </c>
      <c r="AN193">
        <v>1</v>
      </c>
      <c r="AO193">
        <v>1</v>
      </c>
      <c r="AP193">
        <v>1</v>
      </c>
      <c r="AQ193">
        <v>1</v>
      </c>
      <c r="AR193">
        <v>1</v>
      </c>
      <c r="AS193">
        <v>1</v>
      </c>
      <c r="AT193">
        <v>1</v>
      </c>
      <c r="AW193">
        <v>2</v>
      </c>
      <c r="AX193">
        <v>4</v>
      </c>
      <c r="AY193">
        <v>6</v>
      </c>
      <c r="BF193">
        <v>8</v>
      </c>
      <c r="BG193">
        <v>4</v>
      </c>
      <c r="BH193">
        <v>12</v>
      </c>
      <c r="BJ193">
        <v>5</v>
      </c>
      <c r="BK193">
        <v>7</v>
      </c>
      <c r="BL193">
        <v>12</v>
      </c>
      <c r="BP193">
        <v>4</v>
      </c>
      <c r="BQ193">
        <v>8</v>
      </c>
      <c r="BR193">
        <v>12</v>
      </c>
      <c r="BV193" t="s">
        <v>842</v>
      </c>
      <c r="BX193" t="s">
        <v>839</v>
      </c>
      <c r="BY193" t="s">
        <v>759</v>
      </c>
      <c r="BZ193" t="s">
        <v>839</v>
      </c>
      <c r="CA193" t="s">
        <v>839</v>
      </c>
      <c r="CC193" t="s">
        <v>842</v>
      </c>
      <c r="CD193" t="s">
        <v>855</v>
      </c>
      <c r="CG193">
        <v>2</v>
      </c>
      <c r="CH193">
        <v>1</v>
      </c>
      <c r="CI193">
        <v>1</v>
      </c>
      <c r="CJ193">
        <v>0</v>
      </c>
      <c r="CK193" t="s">
        <v>681</v>
      </c>
      <c r="CM193" t="s">
        <v>844</v>
      </c>
      <c r="CN193">
        <v>1</v>
      </c>
      <c r="CO193">
        <v>0</v>
      </c>
      <c r="CP193">
        <v>0</v>
      </c>
      <c r="CQ193">
        <v>0</v>
      </c>
      <c r="CR193">
        <v>0</v>
      </c>
      <c r="CS193">
        <v>0</v>
      </c>
      <c r="CU193" t="s">
        <v>1024</v>
      </c>
      <c r="CV193">
        <v>1</v>
      </c>
      <c r="CW193">
        <v>1</v>
      </c>
      <c r="CX193">
        <v>1</v>
      </c>
      <c r="CY193">
        <v>0</v>
      </c>
      <c r="CZ193">
        <v>0</v>
      </c>
      <c r="DA193">
        <v>0</v>
      </c>
      <c r="DB193">
        <v>0</v>
      </c>
      <c r="DC193">
        <v>0</v>
      </c>
      <c r="DD193">
        <v>1</v>
      </c>
      <c r="DE193">
        <v>1</v>
      </c>
      <c r="DF193">
        <v>0</v>
      </c>
      <c r="DJ193">
        <v>3</v>
      </c>
      <c r="DK193">
        <v>6</v>
      </c>
      <c r="DL193">
        <v>9</v>
      </c>
      <c r="DN193">
        <v>450</v>
      </c>
      <c r="DP193">
        <v>600</v>
      </c>
      <c r="DR193" t="s">
        <v>937</v>
      </c>
      <c r="DS193">
        <v>1</v>
      </c>
      <c r="DT193">
        <v>0</v>
      </c>
      <c r="DU193">
        <v>0</v>
      </c>
      <c r="DV193">
        <v>0</v>
      </c>
      <c r="DW193">
        <v>0</v>
      </c>
      <c r="DX193">
        <v>0</v>
      </c>
      <c r="DY193">
        <v>0</v>
      </c>
      <c r="DZ193">
        <v>0</v>
      </c>
      <c r="EA193">
        <v>0</v>
      </c>
      <c r="EC193" t="s">
        <v>842</v>
      </c>
      <c r="ED193" t="s">
        <v>925</v>
      </c>
      <c r="EE193" t="s">
        <v>848</v>
      </c>
      <c r="EI193">
        <v>200</v>
      </c>
      <c r="EM193" t="s">
        <v>841</v>
      </c>
      <c r="EO193">
        <v>200</v>
      </c>
      <c r="ES193" t="s">
        <v>841</v>
      </c>
      <c r="EU193">
        <v>280</v>
      </c>
      <c r="EY193" t="s">
        <v>841</v>
      </c>
      <c r="FA193">
        <v>800</v>
      </c>
      <c r="FB193" t="s">
        <v>841</v>
      </c>
      <c r="FG193">
        <v>600</v>
      </c>
      <c r="FK193" t="s">
        <v>841</v>
      </c>
      <c r="FM193">
        <v>25</v>
      </c>
      <c r="FO193">
        <v>2</v>
      </c>
      <c r="FP193">
        <v>4</v>
      </c>
      <c r="FQ193">
        <v>6</v>
      </c>
      <c r="FS193" t="s">
        <v>839</v>
      </c>
      <c r="FT193" t="s">
        <v>839</v>
      </c>
      <c r="FU193" t="s">
        <v>839</v>
      </c>
      <c r="FV193" t="s">
        <v>839</v>
      </c>
      <c r="FW193" t="s">
        <v>842</v>
      </c>
      <c r="FY193" t="s">
        <v>842</v>
      </c>
      <c r="FZ193" t="s">
        <v>842</v>
      </c>
      <c r="GA193" t="s">
        <v>839</v>
      </c>
      <c r="GB193" t="s">
        <v>842</v>
      </c>
      <c r="GC193" t="s">
        <v>842</v>
      </c>
      <c r="GD193" t="s">
        <v>842</v>
      </c>
      <c r="GG193" t="s">
        <v>839</v>
      </c>
      <c r="GI193" t="s">
        <v>2049</v>
      </c>
      <c r="GJ193">
        <v>0</v>
      </c>
      <c r="GK193">
        <v>0</v>
      </c>
      <c r="GL193">
        <v>0</v>
      </c>
      <c r="GM193">
        <v>0</v>
      </c>
      <c r="GN193">
        <v>0</v>
      </c>
      <c r="GO193">
        <v>0</v>
      </c>
      <c r="GP193">
        <v>0</v>
      </c>
      <c r="GQ193">
        <v>0</v>
      </c>
      <c r="GR193">
        <v>1</v>
      </c>
      <c r="GS193">
        <v>1</v>
      </c>
      <c r="GT193">
        <v>0</v>
      </c>
      <c r="GU193">
        <v>0</v>
      </c>
      <c r="GV193">
        <v>0</v>
      </c>
      <c r="GW193">
        <v>0</v>
      </c>
      <c r="GX193">
        <v>0</v>
      </c>
      <c r="GY193">
        <v>0</v>
      </c>
      <c r="GZ193">
        <v>0</v>
      </c>
      <c r="HB193" t="s">
        <v>842</v>
      </c>
      <c r="HC193" t="s">
        <v>2006</v>
      </c>
    </row>
    <row r="194" spans="1:211" x14ac:dyDescent="0.35">
      <c r="A194" t="s">
        <v>2050</v>
      </c>
      <c r="B194" s="151">
        <v>45573.119270833333</v>
      </c>
      <c r="C194" t="s">
        <v>2051</v>
      </c>
      <c r="D194" t="s">
        <v>2052</v>
      </c>
      <c r="E194" t="s">
        <v>835</v>
      </c>
      <c r="F194" t="s">
        <v>2053</v>
      </c>
      <c r="G194" t="s">
        <v>2053</v>
      </c>
      <c r="H194" t="s">
        <v>839</v>
      </c>
      <c r="I194" t="s">
        <v>896</v>
      </c>
      <c r="K194" t="s">
        <v>839</v>
      </c>
      <c r="L194" t="s">
        <v>887</v>
      </c>
      <c r="O194">
        <v>204</v>
      </c>
      <c r="P194">
        <v>159</v>
      </c>
      <c r="Q194">
        <v>373</v>
      </c>
      <c r="S194" t="s">
        <v>841</v>
      </c>
      <c r="T194" t="s">
        <v>841</v>
      </c>
      <c r="U194" t="s">
        <v>841</v>
      </c>
      <c r="V194" t="s">
        <v>841</v>
      </c>
      <c r="W194" t="s">
        <v>841</v>
      </c>
      <c r="X194" t="s">
        <v>841</v>
      </c>
      <c r="Y194" t="s">
        <v>841</v>
      </c>
      <c r="Z194" t="s">
        <v>841</v>
      </c>
      <c r="AA194" t="s">
        <v>841</v>
      </c>
      <c r="AB194" t="s">
        <v>841</v>
      </c>
      <c r="AC194" t="s">
        <v>841</v>
      </c>
      <c r="AD194" t="s">
        <v>841</v>
      </c>
      <c r="AE194" t="s">
        <v>841</v>
      </c>
      <c r="AF194" t="s">
        <v>841</v>
      </c>
      <c r="AH194">
        <v>1</v>
      </c>
      <c r="AI194">
        <v>1</v>
      </c>
      <c r="AK194">
        <v>1</v>
      </c>
      <c r="AL194">
        <v>1</v>
      </c>
      <c r="AM194">
        <v>1</v>
      </c>
      <c r="AN194">
        <v>1</v>
      </c>
      <c r="AO194">
        <v>1</v>
      </c>
      <c r="AP194">
        <v>1</v>
      </c>
      <c r="AQ194">
        <v>1</v>
      </c>
      <c r="AR194">
        <v>1</v>
      </c>
      <c r="AS194">
        <v>1</v>
      </c>
      <c r="AT194">
        <v>1</v>
      </c>
      <c r="AU194">
        <v>1</v>
      </c>
      <c r="AW194">
        <v>7</v>
      </c>
      <c r="AX194">
        <v>7</v>
      </c>
      <c r="AY194">
        <v>14</v>
      </c>
      <c r="BJ194">
        <v>19</v>
      </c>
      <c r="BK194">
        <v>9</v>
      </c>
      <c r="BL194">
        <v>28</v>
      </c>
      <c r="BP194">
        <v>7</v>
      </c>
      <c r="BQ194">
        <v>7</v>
      </c>
      <c r="BR194">
        <v>14</v>
      </c>
      <c r="BV194" t="s">
        <v>839</v>
      </c>
      <c r="BW194" t="s">
        <v>759</v>
      </c>
      <c r="BX194" t="s">
        <v>839</v>
      </c>
      <c r="BY194" t="s">
        <v>759</v>
      </c>
      <c r="BZ194" t="s">
        <v>839</v>
      </c>
      <c r="CA194" t="s">
        <v>839</v>
      </c>
      <c r="CC194" t="s">
        <v>839</v>
      </c>
      <c r="CD194" t="s">
        <v>855</v>
      </c>
      <c r="CG194">
        <v>18</v>
      </c>
      <c r="CH194">
        <v>6</v>
      </c>
      <c r="CI194">
        <v>6</v>
      </c>
      <c r="CJ194">
        <v>6</v>
      </c>
      <c r="CK194" t="s">
        <v>877</v>
      </c>
      <c r="CM194" t="s">
        <v>844</v>
      </c>
      <c r="CN194">
        <v>1</v>
      </c>
      <c r="CO194">
        <v>0</v>
      </c>
      <c r="CP194">
        <v>0</v>
      </c>
      <c r="CQ194">
        <v>0</v>
      </c>
      <c r="CR194">
        <v>0</v>
      </c>
      <c r="CS194">
        <v>0</v>
      </c>
      <c r="CU194" t="s">
        <v>1937</v>
      </c>
      <c r="CV194">
        <v>1</v>
      </c>
      <c r="CW194">
        <v>1</v>
      </c>
      <c r="CX194">
        <v>1</v>
      </c>
      <c r="CY194">
        <v>1</v>
      </c>
      <c r="CZ194">
        <v>1</v>
      </c>
      <c r="DA194">
        <v>1</v>
      </c>
      <c r="DB194">
        <v>0</v>
      </c>
      <c r="DC194">
        <v>1</v>
      </c>
      <c r="DD194">
        <v>1</v>
      </c>
      <c r="DE194">
        <v>1</v>
      </c>
      <c r="DF194">
        <v>0</v>
      </c>
      <c r="DJ194">
        <v>9</v>
      </c>
      <c r="DK194">
        <v>16</v>
      </c>
      <c r="DL194">
        <v>25</v>
      </c>
      <c r="DN194">
        <v>450</v>
      </c>
      <c r="DP194">
        <v>1500</v>
      </c>
      <c r="DR194" t="s">
        <v>2054</v>
      </c>
      <c r="DS194">
        <v>1</v>
      </c>
      <c r="DT194">
        <v>1</v>
      </c>
      <c r="DU194">
        <v>0</v>
      </c>
      <c r="DV194">
        <v>1</v>
      </c>
      <c r="DW194">
        <v>1</v>
      </c>
      <c r="DX194">
        <v>0</v>
      </c>
      <c r="DY194">
        <v>1</v>
      </c>
      <c r="DZ194">
        <v>0</v>
      </c>
      <c r="EA194">
        <v>0</v>
      </c>
      <c r="EC194" t="s">
        <v>839</v>
      </c>
      <c r="ED194" t="s">
        <v>847</v>
      </c>
      <c r="EE194" t="s">
        <v>848</v>
      </c>
      <c r="EI194">
        <v>480</v>
      </c>
      <c r="EM194" t="s">
        <v>841</v>
      </c>
      <c r="EO194">
        <v>490</v>
      </c>
      <c r="ES194" t="s">
        <v>841</v>
      </c>
      <c r="EU194">
        <v>520</v>
      </c>
      <c r="EY194" t="s">
        <v>841</v>
      </c>
      <c r="FA194">
        <v>6.5</v>
      </c>
      <c r="FB194" t="s">
        <v>841</v>
      </c>
      <c r="FG194">
        <v>7</v>
      </c>
      <c r="FH194" t="s">
        <v>841</v>
      </c>
      <c r="FM194">
        <v>25</v>
      </c>
      <c r="FO194">
        <v>0</v>
      </c>
      <c r="FP194">
        <v>0</v>
      </c>
      <c r="FQ194">
        <v>0</v>
      </c>
      <c r="FS194" t="s">
        <v>839</v>
      </c>
      <c r="FT194" t="s">
        <v>839</v>
      </c>
      <c r="FU194" t="s">
        <v>839</v>
      </c>
      <c r="FV194" t="s">
        <v>839</v>
      </c>
      <c r="FW194" t="s">
        <v>839</v>
      </c>
      <c r="FX194" t="s">
        <v>910</v>
      </c>
      <c r="FY194" t="s">
        <v>839</v>
      </c>
      <c r="FZ194" t="s">
        <v>839</v>
      </c>
      <c r="GA194" t="s">
        <v>839</v>
      </c>
      <c r="GB194" t="s">
        <v>839</v>
      </c>
      <c r="GC194" t="s">
        <v>839</v>
      </c>
      <c r="GD194" t="s">
        <v>839</v>
      </c>
      <c r="GE194" t="s">
        <v>929</v>
      </c>
      <c r="GG194" t="s">
        <v>842</v>
      </c>
      <c r="GI194" t="s">
        <v>2055</v>
      </c>
      <c r="GJ194">
        <v>0</v>
      </c>
      <c r="GK194">
        <v>0</v>
      </c>
      <c r="GL194">
        <v>0</v>
      </c>
      <c r="GM194">
        <v>0</v>
      </c>
      <c r="GN194">
        <v>1</v>
      </c>
      <c r="GO194">
        <v>1</v>
      </c>
      <c r="GP194">
        <v>0</v>
      </c>
      <c r="GQ194">
        <v>0</v>
      </c>
      <c r="GR194">
        <v>0</v>
      </c>
      <c r="GS194">
        <v>0</v>
      </c>
      <c r="GT194">
        <v>0</v>
      </c>
      <c r="GU194">
        <v>1</v>
      </c>
      <c r="GV194">
        <v>0</v>
      </c>
      <c r="GW194">
        <v>1</v>
      </c>
      <c r="GX194">
        <v>0</v>
      </c>
      <c r="GY194">
        <v>0</v>
      </c>
      <c r="GZ194">
        <v>0</v>
      </c>
      <c r="HB194" t="s">
        <v>839</v>
      </c>
    </row>
    <row r="195" spans="1:211" x14ac:dyDescent="0.35">
      <c r="A195" t="s">
        <v>2056</v>
      </c>
      <c r="B195" s="151">
        <v>45573.125324074077</v>
      </c>
      <c r="C195" t="s">
        <v>2057</v>
      </c>
      <c r="D195" t="s">
        <v>2058</v>
      </c>
      <c r="E195" t="s">
        <v>835</v>
      </c>
      <c r="F195" t="s">
        <v>2059</v>
      </c>
      <c r="G195" t="s">
        <v>2059</v>
      </c>
      <c r="H195" t="s">
        <v>839</v>
      </c>
      <c r="I195" t="s">
        <v>838</v>
      </c>
      <c r="K195" t="s">
        <v>839</v>
      </c>
      <c r="L195" t="s">
        <v>887</v>
      </c>
      <c r="O195">
        <v>187</v>
      </c>
      <c r="P195">
        <v>162</v>
      </c>
      <c r="Q195">
        <v>349</v>
      </c>
      <c r="S195" t="s">
        <v>841</v>
      </c>
      <c r="T195" t="s">
        <v>841</v>
      </c>
      <c r="U195" t="s">
        <v>841</v>
      </c>
      <c r="V195" t="s">
        <v>841</v>
      </c>
      <c r="W195" t="s">
        <v>841</v>
      </c>
      <c r="X195" t="s">
        <v>841</v>
      </c>
      <c r="Y195" t="s">
        <v>841</v>
      </c>
      <c r="Z195" t="s">
        <v>841</v>
      </c>
      <c r="AA195" t="s">
        <v>841</v>
      </c>
      <c r="AB195" t="s">
        <v>841</v>
      </c>
      <c r="AC195" t="s">
        <v>841</v>
      </c>
      <c r="AH195">
        <v>2</v>
      </c>
      <c r="AI195">
        <v>2</v>
      </c>
      <c r="AJ195">
        <v>2</v>
      </c>
      <c r="AK195">
        <v>2</v>
      </c>
      <c r="AL195">
        <v>2</v>
      </c>
      <c r="AM195">
        <v>2</v>
      </c>
      <c r="AN195">
        <v>1</v>
      </c>
      <c r="AO195">
        <v>1</v>
      </c>
      <c r="AP195">
        <v>1</v>
      </c>
      <c r="AQ195">
        <v>1</v>
      </c>
      <c r="AR195">
        <v>1</v>
      </c>
      <c r="AZ195" t="s">
        <v>841</v>
      </c>
      <c r="BM195" t="s">
        <v>841</v>
      </c>
      <c r="BS195" t="s">
        <v>841</v>
      </c>
      <c r="BV195" t="s">
        <v>839</v>
      </c>
      <c r="BW195" t="s">
        <v>759</v>
      </c>
      <c r="BX195" t="s">
        <v>839</v>
      </c>
      <c r="BY195" t="s">
        <v>950</v>
      </c>
      <c r="BZ195" t="s">
        <v>839</v>
      </c>
      <c r="CA195" t="s">
        <v>839</v>
      </c>
      <c r="CC195" t="s">
        <v>839</v>
      </c>
      <c r="CD195" t="s">
        <v>855</v>
      </c>
      <c r="CG195">
        <v>6</v>
      </c>
      <c r="CH195">
        <v>1</v>
      </c>
      <c r="CI195">
        <v>1</v>
      </c>
      <c r="CJ195">
        <v>4</v>
      </c>
      <c r="CK195" t="s">
        <v>993</v>
      </c>
      <c r="CM195" t="s">
        <v>844</v>
      </c>
      <c r="CN195">
        <v>1</v>
      </c>
      <c r="CO195">
        <v>0</v>
      </c>
      <c r="CP195">
        <v>0</v>
      </c>
      <c r="CQ195">
        <v>0</v>
      </c>
      <c r="CR195">
        <v>0</v>
      </c>
      <c r="CS195">
        <v>0</v>
      </c>
      <c r="CU195" t="s">
        <v>1024</v>
      </c>
      <c r="CV195">
        <v>1</v>
      </c>
      <c r="CW195">
        <v>1</v>
      </c>
      <c r="CX195">
        <v>1</v>
      </c>
      <c r="CY195">
        <v>0</v>
      </c>
      <c r="CZ195">
        <v>0</v>
      </c>
      <c r="DA195">
        <v>0</v>
      </c>
      <c r="DB195">
        <v>0</v>
      </c>
      <c r="DC195">
        <v>0</v>
      </c>
      <c r="DD195">
        <v>1</v>
      </c>
      <c r="DE195">
        <v>1</v>
      </c>
      <c r="DF195">
        <v>0</v>
      </c>
      <c r="DJ195">
        <v>6</v>
      </c>
      <c r="DK195">
        <v>7</v>
      </c>
      <c r="DL195">
        <v>13</v>
      </c>
      <c r="DN195">
        <v>500</v>
      </c>
      <c r="DP195">
        <v>1300</v>
      </c>
      <c r="DR195" t="s">
        <v>927</v>
      </c>
      <c r="DS195">
        <v>1</v>
      </c>
      <c r="DT195">
        <v>0</v>
      </c>
      <c r="DU195">
        <v>1</v>
      </c>
      <c r="DV195">
        <v>0</v>
      </c>
      <c r="DW195">
        <v>0</v>
      </c>
      <c r="DX195">
        <v>0</v>
      </c>
      <c r="DY195">
        <v>0</v>
      </c>
      <c r="DZ195">
        <v>0</v>
      </c>
      <c r="EA195">
        <v>0</v>
      </c>
      <c r="EC195" t="s">
        <v>842</v>
      </c>
      <c r="ED195" t="s">
        <v>909</v>
      </c>
      <c r="EE195" t="s">
        <v>848</v>
      </c>
      <c r="EI195">
        <v>500</v>
      </c>
      <c r="EM195" t="s">
        <v>841</v>
      </c>
      <c r="EO195">
        <v>500</v>
      </c>
      <c r="ES195" t="s">
        <v>841</v>
      </c>
      <c r="EZ195" t="s">
        <v>841</v>
      </c>
      <c r="FA195">
        <v>8</v>
      </c>
      <c r="FB195" t="s">
        <v>841</v>
      </c>
      <c r="FG195">
        <v>4</v>
      </c>
      <c r="FH195" t="s">
        <v>841</v>
      </c>
      <c r="FM195">
        <v>20</v>
      </c>
      <c r="FO195">
        <v>0</v>
      </c>
      <c r="FP195">
        <v>0</v>
      </c>
      <c r="FQ195">
        <v>0</v>
      </c>
      <c r="FS195" t="s">
        <v>842</v>
      </c>
      <c r="FT195" t="s">
        <v>839</v>
      </c>
      <c r="FU195" t="s">
        <v>839</v>
      </c>
      <c r="FV195" t="s">
        <v>839</v>
      </c>
      <c r="FW195" t="s">
        <v>839</v>
      </c>
      <c r="FX195" t="s">
        <v>965</v>
      </c>
      <c r="FY195" t="s">
        <v>842</v>
      </c>
      <c r="FZ195" t="s">
        <v>842</v>
      </c>
      <c r="GA195" t="s">
        <v>842</v>
      </c>
      <c r="GB195" t="s">
        <v>839</v>
      </c>
      <c r="GC195" t="s">
        <v>842</v>
      </c>
      <c r="GD195" t="s">
        <v>839</v>
      </c>
      <c r="GE195" t="s">
        <v>881</v>
      </c>
      <c r="GG195" t="s">
        <v>842</v>
      </c>
      <c r="GI195" t="s">
        <v>1025</v>
      </c>
      <c r="GJ195">
        <v>1</v>
      </c>
      <c r="GK195">
        <v>0</v>
      </c>
      <c r="GL195">
        <v>0</v>
      </c>
      <c r="GM195">
        <v>0</v>
      </c>
      <c r="GN195">
        <v>0</v>
      </c>
      <c r="GO195">
        <v>1</v>
      </c>
      <c r="GP195">
        <v>0</v>
      </c>
      <c r="GQ195">
        <v>0</v>
      </c>
      <c r="GR195">
        <v>0</v>
      </c>
      <c r="GS195">
        <v>0</v>
      </c>
      <c r="GT195">
        <v>0</v>
      </c>
      <c r="GU195">
        <v>0</v>
      </c>
      <c r="GV195">
        <v>0</v>
      </c>
      <c r="GW195">
        <v>0</v>
      </c>
      <c r="GX195">
        <v>0</v>
      </c>
      <c r="GY195">
        <v>0</v>
      </c>
      <c r="GZ195">
        <v>0</v>
      </c>
      <c r="HB195" t="s">
        <v>839</v>
      </c>
    </row>
    <row r="196" spans="1:211" x14ac:dyDescent="0.35">
      <c r="A196" t="s">
        <v>2060</v>
      </c>
      <c r="B196" s="151">
        <v>45573.130555555559</v>
      </c>
      <c r="C196" t="s">
        <v>2061</v>
      </c>
      <c r="D196" t="s">
        <v>2062</v>
      </c>
      <c r="E196" t="s">
        <v>875</v>
      </c>
      <c r="F196" t="s">
        <v>2063</v>
      </c>
      <c r="H196" t="s">
        <v>839</v>
      </c>
      <c r="I196" t="s">
        <v>838</v>
      </c>
      <c r="K196" t="s">
        <v>839</v>
      </c>
      <c r="L196" t="s">
        <v>897</v>
      </c>
      <c r="O196">
        <v>111</v>
      </c>
      <c r="P196">
        <v>85</v>
      </c>
      <c r="Q196">
        <v>196</v>
      </c>
      <c r="S196" t="s">
        <v>841</v>
      </c>
      <c r="T196" t="s">
        <v>841</v>
      </c>
      <c r="U196" t="s">
        <v>841</v>
      </c>
      <c r="V196" t="s">
        <v>841</v>
      </c>
      <c r="W196" t="s">
        <v>841</v>
      </c>
      <c r="X196" t="s">
        <v>841</v>
      </c>
      <c r="Y196" t="s">
        <v>841</v>
      </c>
      <c r="Z196" t="s">
        <v>841</v>
      </c>
      <c r="AA196" t="s">
        <v>841</v>
      </c>
      <c r="AB196" t="s">
        <v>841</v>
      </c>
      <c r="AC196" t="s">
        <v>841</v>
      </c>
      <c r="AD196" t="s">
        <v>841</v>
      </c>
      <c r="AH196">
        <v>1</v>
      </c>
      <c r="AI196">
        <v>1</v>
      </c>
      <c r="AJ196">
        <v>1</v>
      </c>
      <c r="AK196">
        <v>1</v>
      </c>
      <c r="AL196">
        <v>1</v>
      </c>
      <c r="AM196">
        <v>1</v>
      </c>
      <c r="AN196">
        <v>1</v>
      </c>
      <c r="AO196">
        <v>1</v>
      </c>
      <c r="AP196">
        <v>1</v>
      </c>
      <c r="AQ196">
        <v>1</v>
      </c>
      <c r="AR196">
        <v>1</v>
      </c>
      <c r="AS196">
        <v>1</v>
      </c>
      <c r="AZ196" t="s">
        <v>841</v>
      </c>
      <c r="BJ196">
        <v>1</v>
      </c>
      <c r="BK196">
        <v>2</v>
      </c>
      <c r="BL196">
        <v>6</v>
      </c>
      <c r="BS196" t="s">
        <v>841</v>
      </c>
      <c r="BV196" t="s">
        <v>839</v>
      </c>
      <c r="BW196" t="s">
        <v>759</v>
      </c>
      <c r="BX196" t="s">
        <v>839</v>
      </c>
      <c r="BY196" t="s">
        <v>759</v>
      </c>
      <c r="BZ196" t="s">
        <v>839</v>
      </c>
      <c r="CA196" t="s">
        <v>839</v>
      </c>
      <c r="CC196" t="s">
        <v>839</v>
      </c>
      <c r="CD196" t="s">
        <v>855</v>
      </c>
      <c r="CG196">
        <v>4</v>
      </c>
      <c r="CH196">
        <v>2</v>
      </c>
      <c r="CI196">
        <v>2</v>
      </c>
      <c r="CJ196">
        <v>0</v>
      </c>
      <c r="CK196" t="s">
        <v>681</v>
      </c>
      <c r="CM196" t="s">
        <v>844</v>
      </c>
      <c r="CN196">
        <v>1</v>
      </c>
      <c r="CO196">
        <v>0</v>
      </c>
      <c r="CP196">
        <v>0</v>
      </c>
      <c r="CQ196">
        <v>0</v>
      </c>
      <c r="CR196">
        <v>0</v>
      </c>
      <c r="CS196">
        <v>0</v>
      </c>
      <c r="CU196" t="s">
        <v>1575</v>
      </c>
      <c r="CV196">
        <v>0</v>
      </c>
      <c r="CW196">
        <v>0</v>
      </c>
      <c r="CX196">
        <v>1</v>
      </c>
      <c r="CY196">
        <v>0</v>
      </c>
      <c r="CZ196">
        <v>0</v>
      </c>
      <c r="DA196">
        <v>0</v>
      </c>
      <c r="DB196">
        <v>0</v>
      </c>
      <c r="DC196">
        <v>0</v>
      </c>
      <c r="DD196">
        <v>1</v>
      </c>
      <c r="DE196">
        <v>1</v>
      </c>
      <c r="DF196">
        <v>0</v>
      </c>
      <c r="DJ196">
        <v>8</v>
      </c>
      <c r="DK196">
        <v>4</v>
      </c>
      <c r="DL196">
        <v>12</v>
      </c>
      <c r="DN196">
        <v>350</v>
      </c>
      <c r="DP196">
        <v>500</v>
      </c>
      <c r="DR196" t="s">
        <v>937</v>
      </c>
      <c r="DS196">
        <v>1</v>
      </c>
      <c r="DT196">
        <v>0</v>
      </c>
      <c r="DU196">
        <v>0</v>
      </c>
      <c r="DV196">
        <v>0</v>
      </c>
      <c r="DW196">
        <v>0</v>
      </c>
      <c r="DX196">
        <v>0</v>
      </c>
      <c r="DY196">
        <v>0</v>
      </c>
      <c r="DZ196">
        <v>0</v>
      </c>
      <c r="EA196">
        <v>0</v>
      </c>
      <c r="EC196" t="s">
        <v>839</v>
      </c>
      <c r="ED196" t="s">
        <v>869</v>
      </c>
      <c r="EE196" t="s">
        <v>848</v>
      </c>
      <c r="EI196">
        <v>200</v>
      </c>
      <c r="EJ196" t="s">
        <v>841</v>
      </c>
      <c r="EM196" t="s">
        <v>841</v>
      </c>
      <c r="EO196">
        <v>200</v>
      </c>
      <c r="ES196" t="s">
        <v>841</v>
      </c>
      <c r="EU196">
        <v>200</v>
      </c>
      <c r="EY196" t="s">
        <v>841</v>
      </c>
      <c r="FA196">
        <v>6</v>
      </c>
      <c r="FB196" t="s">
        <v>841</v>
      </c>
      <c r="FL196" t="s">
        <v>841</v>
      </c>
      <c r="FM196">
        <v>15</v>
      </c>
      <c r="FO196">
        <v>2</v>
      </c>
      <c r="FP196">
        <v>1</v>
      </c>
      <c r="FQ196">
        <v>3</v>
      </c>
      <c r="FS196" t="s">
        <v>842</v>
      </c>
      <c r="FT196" t="s">
        <v>842</v>
      </c>
      <c r="FU196" t="s">
        <v>839</v>
      </c>
      <c r="FV196" t="s">
        <v>839</v>
      </c>
      <c r="FW196" t="s">
        <v>842</v>
      </c>
      <c r="FY196" t="s">
        <v>842</v>
      </c>
      <c r="FZ196" t="s">
        <v>842</v>
      </c>
      <c r="GA196" t="s">
        <v>842</v>
      </c>
      <c r="GB196" t="s">
        <v>842</v>
      </c>
      <c r="GC196" t="s">
        <v>842</v>
      </c>
      <c r="GD196" t="s">
        <v>839</v>
      </c>
      <c r="GE196" t="s">
        <v>881</v>
      </c>
      <c r="GG196" t="s">
        <v>842</v>
      </c>
      <c r="GI196" t="s">
        <v>849</v>
      </c>
      <c r="GJ196">
        <v>1</v>
      </c>
      <c r="GK196">
        <v>0</v>
      </c>
      <c r="GL196">
        <v>0</v>
      </c>
      <c r="GM196">
        <v>0</v>
      </c>
      <c r="GN196">
        <v>0</v>
      </c>
      <c r="GO196">
        <v>0</v>
      </c>
      <c r="GP196">
        <v>0</v>
      </c>
      <c r="GQ196">
        <v>0</v>
      </c>
      <c r="GR196">
        <v>0</v>
      </c>
      <c r="GS196">
        <v>0</v>
      </c>
      <c r="GT196">
        <v>0</v>
      </c>
      <c r="GU196">
        <v>0</v>
      </c>
      <c r="GV196">
        <v>0</v>
      </c>
      <c r="GW196">
        <v>0</v>
      </c>
      <c r="GX196">
        <v>0</v>
      </c>
      <c r="GY196">
        <v>0</v>
      </c>
      <c r="GZ196">
        <v>0</v>
      </c>
      <c r="HB196" t="s">
        <v>842</v>
      </c>
      <c r="HC196" t="s">
        <v>2064</v>
      </c>
    </row>
    <row r="197" spans="1:211" x14ac:dyDescent="0.35">
      <c r="A197" t="s">
        <v>2065</v>
      </c>
      <c r="B197" s="151">
        <v>45573.135983796303</v>
      </c>
      <c r="C197" t="s">
        <v>2066</v>
      </c>
      <c r="D197" t="s">
        <v>2067</v>
      </c>
      <c r="E197" t="s">
        <v>835</v>
      </c>
      <c r="F197" t="s">
        <v>2068</v>
      </c>
      <c r="H197" t="s">
        <v>839</v>
      </c>
      <c r="I197" t="s">
        <v>838</v>
      </c>
      <c r="K197" t="s">
        <v>839</v>
      </c>
      <c r="L197" t="s">
        <v>897</v>
      </c>
      <c r="O197">
        <v>65</v>
      </c>
      <c r="P197">
        <v>65</v>
      </c>
      <c r="Q197">
        <v>129</v>
      </c>
      <c r="S197" t="s">
        <v>841</v>
      </c>
      <c r="T197" t="s">
        <v>841</v>
      </c>
      <c r="U197" t="s">
        <v>841</v>
      </c>
      <c r="V197" t="s">
        <v>841</v>
      </c>
      <c r="W197" t="s">
        <v>841</v>
      </c>
      <c r="X197" t="s">
        <v>841</v>
      </c>
      <c r="Y197" t="s">
        <v>841</v>
      </c>
      <c r="Z197" t="s">
        <v>841</v>
      </c>
      <c r="AA197" t="s">
        <v>841</v>
      </c>
      <c r="AB197" t="s">
        <v>841</v>
      </c>
      <c r="AH197">
        <v>1</v>
      </c>
      <c r="AI197">
        <v>1</v>
      </c>
      <c r="AJ197">
        <v>1</v>
      </c>
      <c r="AK197">
        <v>1</v>
      </c>
      <c r="AL197">
        <v>1</v>
      </c>
      <c r="AM197">
        <v>1</v>
      </c>
      <c r="AN197">
        <v>1</v>
      </c>
      <c r="AO197">
        <v>1</v>
      </c>
      <c r="AP197">
        <v>1</v>
      </c>
      <c r="AQ197">
        <v>1</v>
      </c>
      <c r="AZ197" t="s">
        <v>841</v>
      </c>
      <c r="BM197" t="s">
        <v>841</v>
      </c>
      <c r="BS197" t="s">
        <v>841</v>
      </c>
      <c r="BV197" t="s">
        <v>839</v>
      </c>
      <c r="BW197" t="s">
        <v>758</v>
      </c>
      <c r="BX197" t="s">
        <v>839</v>
      </c>
      <c r="BY197" t="s">
        <v>682</v>
      </c>
      <c r="BZ197" t="s">
        <v>839</v>
      </c>
      <c r="CA197" t="s">
        <v>839</v>
      </c>
      <c r="CC197" t="s">
        <v>839</v>
      </c>
      <c r="CD197" t="s">
        <v>855</v>
      </c>
      <c r="CG197">
        <v>6</v>
      </c>
      <c r="CH197">
        <v>3</v>
      </c>
      <c r="CI197">
        <v>3</v>
      </c>
      <c r="CJ197">
        <v>0</v>
      </c>
      <c r="CK197" t="s">
        <v>856</v>
      </c>
      <c r="CM197" t="s">
        <v>951</v>
      </c>
      <c r="CN197">
        <v>1</v>
      </c>
      <c r="CO197">
        <v>1</v>
      </c>
      <c r="CP197">
        <v>0</v>
      </c>
      <c r="CQ197">
        <v>0</v>
      </c>
      <c r="CR197">
        <v>0</v>
      </c>
      <c r="CS197">
        <v>0</v>
      </c>
      <c r="CU197" t="s">
        <v>2069</v>
      </c>
      <c r="CV197">
        <v>1</v>
      </c>
      <c r="CW197">
        <v>0</v>
      </c>
      <c r="CX197">
        <v>1</v>
      </c>
      <c r="CY197">
        <v>1</v>
      </c>
      <c r="CZ197">
        <v>0</v>
      </c>
      <c r="DA197">
        <v>1</v>
      </c>
      <c r="DB197">
        <v>1</v>
      </c>
      <c r="DC197">
        <v>0</v>
      </c>
      <c r="DD197">
        <v>1</v>
      </c>
      <c r="DE197">
        <v>1</v>
      </c>
      <c r="DF197">
        <v>0</v>
      </c>
      <c r="DJ197">
        <v>3</v>
      </c>
      <c r="DK197">
        <v>8</v>
      </c>
      <c r="DL197">
        <v>11</v>
      </c>
      <c r="DN197">
        <v>350</v>
      </c>
      <c r="DP197">
        <v>1000</v>
      </c>
      <c r="DR197" t="s">
        <v>899</v>
      </c>
      <c r="DS197">
        <v>1</v>
      </c>
      <c r="DT197">
        <v>1</v>
      </c>
      <c r="DU197">
        <v>1</v>
      </c>
      <c r="DV197">
        <v>0</v>
      </c>
      <c r="DW197">
        <v>1</v>
      </c>
      <c r="DX197">
        <v>1</v>
      </c>
      <c r="DY197">
        <v>0</v>
      </c>
      <c r="DZ197">
        <v>0</v>
      </c>
      <c r="EA197">
        <v>0</v>
      </c>
      <c r="EC197" t="s">
        <v>839</v>
      </c>
      <c r="ED197" t="s">
        <v>847</v>
      </c>
      <c r="EE197" t="s">
        <v>848</v>
      </c>
      <c r="EI197">
        <v>385</v>
      </c>
      <c r="EM197" t="s">
        <v>841</v>
      </c>
      <c r="EO197">
        <v>365</v>
      </c>
      <c r="ES197" t="s">
        <v>841</v>
      </c>
      <c r="EZ197" t="s">
        <v>841</v>
      </c>
      <c r="FA197">
        <v>10</v>
      </c>
      <c r="FB197" t="s">
        <v>841</v>
      </c>
      <c r="FL197" t="s">
        <v>841</v>
      </c>
      <c r="FM197">
        <v>25</v>
      </c>
      <c r="FO197">
        <v>2</v>
      </c>
      <c r="FP197">
        <v>1</v>
      </c>
      <c r="FQ197">
        <v>3</v>
      </c>
      <c r="FS197" t="s">
        <v>839</v>
      </c>
      <c r="FT197" t="s">
        <v>839</v>
      </c>
      <c r="FU197" t="s">
        <v>839</v>
      </c>
      <c r="FV197" t="s">
        <v>839</v>
      </c>
      <c r="FW197" t="s">
        <v>839</v>
      </c>
      <c r="FX197" t="s">
        <v>890</v>
      </c>
      <c r="FY197" t="s">
        <v>839</v>
      </c>
      <c r="FZ197" t="s">
        <v>839</v>
      </c>
      <c r="GA197" t="s">
        <v>839</v>
      </c>
      <c r="GB197" t="s">
        <v>842</v>
      </c>
      <c r="GC197" t="s">
        <v>842</v>
      </c>
      <c r="GD197" t="s">
        <v>839</v>
      </c>
      <c r="GE197" t="s">
        <v>929</v>
      </c>
      <c r="GG197" t="s">
        <v>668</v>
      </c>
      <c r="GI197" t="s">
        <v>1058</v>
      </c>
      <c r="GJ197">
        <v>1</v>
      </c>
      <c r="GK197">
        <v>0</v>
      </c>
      <c r="GL197">
        <v>0</v>
      </c>
      <c r="GM197">
        <v>0</v>
      </c>
      <c r="GN197">
        <v>0</v>
      </c>
      <c r="GO197">
        <v>0</v>
      </c>
      <c r="GP197">
        <v>0</v>
      </c>
      <c r="GQ197">
        <v>0</v>
      </c>
      <c r="GR197">
        <v>0</v>
      </c>
      <c r="GS197">
        <v>0</v>
      </c>
      <c r="GT197">
        <v>0</v>
      </c>
      <c r="GU197">
        <v>1</v>
      </c>
      <c r="GV197">
        <v>0</v>
      </c>
      <c r="GW197">
        <v>1</v>
      </c>
      <c r="GX197">
        <v>0</v>
      </c>
      <c r="GY197">
        <v>0</v>
      </c>
      <c r="GZ197">
        <v>0</v>
      </c>
      <c r="HB197" t="s">
        <v>839</v>
      </c>
    </row>
    <row r="198" spans="1:211" x14ac:dyDescent="0.35">
      <c r="A198" t="s">
        <v>2070</v>
      </c>
      <c r="B198" s="151">
        <v>45573.14135416667</v>
      </c>
      <c r="C198" t="s">
        <v>2071</v>
      </c>
      <c r="D198" t="s">
        <v>2072</v>
      </c>
      <c r="E198" t="s">
        <v>835</v>
      </c>
      <c r="F198" t="s">
        <v>2073</v>
      </c>
      <c r="G198" t="s">
        <v>2073</v>
      </c>
      <c r="H198" t="s">
        <v>839</v>
      </c>
      <c r="I198" t="s">
        <v>838</v>
      </c>
      <c r="K198" t="s">
        <v>839</v>
      </c>
      <c r="L198" t="s">
        <v>887</v>
      </c>
      <c r="O198">
        <v>210</v>
      </c>
      <c r="P198">
        <v>150</v>
      </c>
      <c r="Q198">
        <v>360</v>
      </c>
      <c r="T198" t="s">
        <v>841</v>
      </c>
      <c r="U198" t="s">
        <v>841</v>
      </c>
      <c r="V198" t="s">
        <v>841</v>
      </c>
      <c r="W198" t="s">
        <v>841</v>
      </c>
      <c r="X198" t="s">
        <v>841</v>
      </c>
      <c r="Y198" t="s">
        <v>841</v>
      </c>
      <c r="Z198" t="s">
        <v>841</v>
      </c>
      <c r="AA198" t="s">
        <v>841</v>
      </c>
      <c r="AB198" t="s">
        <v>841</v>
      </c>
      <c r="AC198" t="s">
        <v>841</v>
      </c>
      <c r="AD198" t="s">
        <v>841</v>
      </c>
      <c r="AE198" t="s">
        <v>841</v>
      </c>
      <c r="AF198" t="s">
        <v>841</v>
      </c>
      <c r="AI198">
        <v>1</v>
      </c>
      <c r="AJ198">
        <v>1</v>
      </c>
      <c r="AK198">
        <v>1</v>
      </c>
      <c r="AL198">
        <v>1</v>
      </c>
      <c r="AM198">
        <v>1</v>
      </c>
      <c r="AN198">
        <v>1</v>
      </c>
      <c r="AO198">
        <v>1</v>
      </c>
      <c r="AP198">
        <v>1</v>
      </c>
      <c r="AQ198">
        <v>1</v>
      </c>
      <c r="AR198">
        <v>1</v>
      </c>
      <c r="AS198">
        <v>1</v>
      </c>
      <c r="AT198">
        <v>1</v>
      </c>
      <c r="AU198">
        <v>1</v>
      </c>
      <c r="AW198">
        <v>10</v>
      </c>
      <c r="AX198">
        <v>8</v>
      </c>
      <c r="AY198">
        <v>18</v>
      </c>
      <c r="BF198">
        <v>0</v>
      </c>
      <c r="BG198">
        <v>2</v>
      </c>
      <c r="BH198">
        <v>2</v>
      </c>
      <c r="BJ198">
        <v>6</v>
      </c>
      <c r="BK198">
        <v>20</v>
      </c>
      <c r="BL198">
        <v>26</v>
      </c>
      <c r="BP198">
        <v>10</v>
      </c>
      <c r="BQ198">
        <v>8</v>
      </c>
      <c r="BR198">
        <v>18</v>
      </c>
      <c r="BV198" t="s">
        <v>839</v>
      </c>
      <c r="BW198" t="s">
        <v>759</v>
      </c>
      <c r="BX198" t="s">
        <v>839</v>
      </c>
      <c r="BY198" t="s">
        <v>759</v>
      </c>
      <c r="BZ198" t="s">
        <v>839</v>
      </c>
      <c r="CA198" t="s">
        <v>839</v>
      </c>
      <c r="CC198" t="s">
        <v>839</v>
      </c>
      <c r="CD198" t="s">
        <v>855</v>
      </c>
      <c r="CG198">
        <v>6</v>
      </c>
      <c r="CH198">
        <v>3</v>
      </c>
      <c r="CI198">
        <v>3</v>
      </c>
      <c r="CJ198">
        <v>0</v>
      </c>
      <c r="CK198" t="s">
        <v>856</v>
      </c>
      <c r="CM198" t="s">
        <v>867</v>
      </c>
      <c r="CN198">
        <v>0</v>
      </c>
      <c r="CO198">
        <v>1</v>
      </c>
      <c r="CP198">
        <v>0</v>
      </c>
      <c r="CQ198">
        <v>0</v>
      </c>
      <c r="CR198">
        <v>0</v>
      </c>
      <c r="CS198">
        <v>0</v>
      </c>
      <c r="CU198" t="s">
        <v>1448</v>
      </c>
      <c r="CV198">
        <v>1</v>
      </c>
      <c r="CW198">
        <v>0</v>
      </c>
      <c r="CX198">
        <v>0</v>
      </c>
      <c r="CY198">
        <v>1</v>
      </c>
      <c r="CZ198">
        <v>0</v>
      </c>
      <c r="DA198">
        <v>0</v>
      </c>
      <c r="DB198">
        <v>0</v>
      </c>
      <c r="DC198">
        <v>0</v>
      </c>
      <c r="DD198">
        <v>0</v>
      </c>
      <c r="DE198">
        <v>1</v>
      </c>
      <c r="DF198">
        <v>0</v>
      </c>
      <c r="DJ198">
        <v>8</v>
      </c>
      <c r="DK198">
        <v>10</v>
      </c>
      <c r="DL198">
        <v>18</v>
      </c>
      <c r="DN198">
        <v>350</v>
      </c>
      <c r="DP198">
        <v>900</v>
      </c>
      <c r="DR198" t="s">
        <v>927</v>
      </c>
      <c r="DS198">
        <v>1</v>
      </c>
      <c r="DT198">
        <v>0</v>
      </c>
      <c r="DU198">
        <v>1</v>
      </c>
      <c r="DV198">
        <v>0</v>
      </c>
      <c r="DW198">
        <v>0</v>
      </c>
      <c r="DX198">
        <v>0</v>
      </c>
      <c r="DY198">
        <v>0</v>
      </c>
      <c r="DZ198">
        <v>0</v>
      </c>
      <c r="EA198">
        <v>0</v>
      </c>
      <c r="EC198" t="s">
        <v>839</v>
      </c>
      <c r="ED198" t="s">
        <v>869</v>
      </c>
      <c r="EE198" t="s">
        <v>848</v>
      </c>
      <c r="EI198">
        <v>5</v>
      </c>
      <c r="EJ198" t="s">
        <v>841</v>
      </c>
      <c r="EO198">
        <v>5</v>
      </c>
      <c r="EP198" t="s">
        <v>841</v>
      </c>
      <c r="EU198">
        <v>5</v>
      </c>
      <c r="EV198" t="s">
        <v>841</v>
      </c>
      <c r="FA198">
        <v>5</v>
      </c>
      <c r="FB198" t="s">
        <v>841</v>
      </c>
      <c r="FG198">
        <v>3</v>
      </c>
      <c r="FH198" t="s">
        <v>841</v>
      </c>
      <c r="FM198">
        <v>35</v>
      </c>
      <c r="FO198">
        <v>2</v>
      </c>
      <c r="FP198">
        <v>4</v>
      </c>
      <c r="FQ198">
        <v>6</v>
      </c>
      <c r="FS198" t="s">
        <v>842</v>
      </c>
      <c r="FT198" t="s">
        <v>842</v>
      </c>
      <c r="FU198" t="s">
        <v>842</v>
      </c>
      <c r="FV198" t="s">
        <v>839</v>
      </c>
      <c r="FW198" t="s">
        <v>839</v>
      </c>
      <c r="FX198" t="s">
        <v>965</v>
      </c>
      <c r="FY198" t="s">
        <v>842</v>
      </c>
      <c r="FZ198" t="s">
        <v>839</v>
      </c>
      <c r="GA198" t="s">
        <v>839</v>
      </c>
      <c r="GB198" t="s">
        <v>842</v>
      </c>
      <c r="GC198" t="s">
        <v>839</v>
      </c>
      <c r="GD198" t="s">
        <v>842</v>
      </c>
      <c r="GG198" t="s">
        <v>668</v>
      </c>
      <c r="GI198" t="s">
        <v>2074</v>
      </c>
      <c r="GJ198">
        <v>0</v>
      </c>
      <c r="GK198">
        <v>1</v>
      </c>
      <c r="GL198">
        <v>0</v>
      </c>
      <c r="GM198">
        <v>1</v>
      </c>
      <c r="GN198">
        <v>0</v>
      </c>
      <c r="GO198">
        <v>0</v>
      </c>
      <c r="GP198">
        <v>0</v>
      </c>
      <c r="GQ198">
        <v>0</v>
      </c>
      <c r="GR198">
        <v>0</v>
      </c>
      <c r="GS198">
        <v>0</v>
      </c>
      <c r="GT198">
        <v>0</v>
      </c>
      <c r="GU198">
        <v>0</v>
      </c>
      <c r="GV198">
        <v>0</v>
      </c>
      <c r="GW198">
        <v>1</v>
      </c>
      <c r="GX198">
        <v>0</v>
      </c>
      <c r="GY198">
        <v>0</v>
      </c>
      <c r="GZ198">
        <v>0</v>
      </c>
      <c r="HB198" t="s">
        <v>839</v>
      </c>
    </row>
    <row r="199" spans="1:211" x14ac:dyDescent="0.35">
      <c r="A199" t="s">
        <v>2075</v>
      </c>
      <c r="B199" s="151">
        <v>45573.149699074071</v>
      </c>
      <c r="C199" t="s">
        <v>2076</v>
      </c>
      <c r="D199" t="s">
        <v>2077</v>
      </c>
      <c r="E199" t="s">
        <v>875</v>
      </c>
      <c r="F199" t="s">
        <v>2078</v>
      </c>
      <c r="G199" t="s">
        <v>2078</v>
      </c>
      <c r="H199" t="s">
        <v>839</v>
      </c>
      <c r="I199" t="s">
        <v>838</v>
      </c>
      <c r="K199" t="s">
        <v>839</v>
      </c>
      <c r="L199" t="s">
        <v>887</v>
      </c>
      <c r="O199">
        <v>208</v>
      </c>
      <c r="P199">
        <v>342</v>
      </c>
      <c r="Q199">
        <v>550</v>
      </c>
      <c r="S199" t="s">
        <v>841</v>
      </c>
      <c r="T199" t="s">
        <v>841</v>
      </c>
      <c r="U199" t="s">
        <v>841</v>
      </c>
      <c r="V199" t="s">
        <v>841</v>
      </c>
      <c r="W199" t="s">
        <v>841</v>
      </c>
      <c r="X199" t="s">
        <v>841</v>
      </c>
      <c r="Y199" t="s">
        <v>841</v>
      </c>
      <c r="Z199" t="s">
        <v>841</v>
      </c>
      <c r="AA199" t="s">
        <v>841</v>
      </c>
      <c r="AB199" t="s">
        <v>841</v>
      </c>
      <c r="AC199" t="s">
        <v>841</v>
      </c>
      <c r="AD199" t="s">
        <v>841</v>
      </c>
      <c r="AE199" t="s">
        <v>841</v>
      </c>
      <c r="AF199" t="s">
        <v>841</v>
      </c>
      <c r="AH199">
        <v>1</v>
      </c>
      <c r="AI199">
        <v>1</v>
      </c>
      <c r="AJ199">
        <v>1</v>
      </c>
      <c r="AK199">
        <v>1</v>
      </c>
      <c r="AL199">
        <v>1</v>
      </c>
      <c r="AM199">
        <v>1</v>
      </c>
      <c r="AN199">
        <v>1</v>
      </c>
      <c r="AO199">
        <v>1</v>
      </c>
      <c r="AP199">
        <v>1</v>
      </c>
      <c r="AQ199">
        <v>1</v>
      </c>
      <c r="AR199">
        <v>1</v>
      </c>
      <c r="AS199">
        <v>1</v>
      </c>
      <c r="AT199">
        <v>1</v>
      </c>
      <c r="AU199">
        <v>1</v>
      </c>
      <c r="AW199">
        <v>6</v>
      </c>
      <c r="AX199">
        <v>5</v>
      </c>
      <c r="AY199">
        <v>11</v>
      </c>
      <c r="BF199">
        <v>3</v>
      </c>
      <c r="BG199">
        <v>4</v>
      </c>
      <c r="BH199">
        <v>7</v>
      </c>
      <c r="BJ199">
        <v>15</v>
      </c>
      <c r="BK199">
        <v>21</v>
      </c>
      <c r="BL199">
        <v>36</v>
      </c>
      <c r="BP199">
        <v>6</v>
      </c>
      <c r="BQ199">
        <v>5</v>
      </c>
      <c r="BR199">
        <v>11</v>
      </c>
      <c r="BV199" t="s">
        <v>842</v>
      </c>
      <c r="BX199" t="s">
        <v>839</v>
      </c>
      <c r="BY199" t="s">
        <v>759</v>
      </c>
      <c r="BZ199" t="s">
        <v>839</v>
      </c>
      <c r="CA199" t="s">
        <v>839</v>
      </c>
      <c r="CC199" t="s">
        <v>839</v>
      </c>
      <c r="CD199" t="s">
        <v>855</v>
      </c>
      <c r="CG199">
        <v>4</v>
      </c>
      <c r="CH199">
        <v>2</v>
      </c>
      <c r="CI199">
        <v>2</v>
      </c>
      <c r="CJ199">
        <v>0</v>
      </c>
      <c r="CK199" t="s">
        <v>681</v>
      </c>
      <c r="CM199" t="s">
        <v>867</v>
      </c>
      <c r="CN199">
        <v>0</v>
      </c>
      <c r="CO199">
        <v>1</v>
      </c>
      <c r="CP199">
        <v>0</v>
      </c>
      <c r="CQ199">
        <v>0</v>
      </c>
      <c r="CR199">
        <v>0</v>
      </c>
      <c r="CS199">
        <v>0</v>
      </c>
      <c r="CU199" t="s">
        <v>1567</v>
      </c>
      <c r="CV199">
        <v>1</v>
      </c>
      <c r="CW199">
        <v>1</v>
      </c>
      <c r="CX199">
        <v>1</v>
      </c>
      <c r="CY199">
        <v>1</v>
      </c>
      <c r="CZ199">
        <v>1</v>
      </c>
      <c r="DA199">
        <v>0</v>
      </c>
      <c r="DB199">
        <v>0</v>
      </c>
      <c r="DC199">
        <v>0</v>
      </c>
      <c r="DD199">
        <v>1</v>
      </c>
      <c r="DE199">
        <v>1</v>
      </c>
      <c r="DF199">
        <v>0</v>
      </c>
      <c r="DJ199">
        <v>15</v>
      </c>
      <c r="DK199">
        <v>20</v>
      </c>
      <c r="DL199">
        <v>35</v>
      </c>
      <c r="DN199">
        <v>350</v>
      </c>
      <c r="DP199">
        <v>1200</v>
      </c>
      <c r="DR199" t="s">
        <v>1195</v>
      </c>
      <c r="DS199">
        <v>0</v>
      </c>
      <c r="DT199">
        <v>0</v>
      </c>
      <c r="DU199">
        <v>1</v>
      </c>
      <c r="DV199">
        <v>0</v>
      </c>
      <c r="DW199">
        <v>0</v>
      </c>
      <c r="DX199">
        <v>1</v>
      </c>
      <c r="DY199">
        <v>1</v>
      </c>
      <c r="DZ199">
        <v>0</v>
      </c>
      <c r="EA199">
        <v>0</v>
      </c>
      <c r="EC199" t="s">
        <v>839</v>
      </c>
      <c r="ED199" t="s">
        <v>847</v>
      </c>
      <c r="EE199" t="s">
        <v>848</v>
      </c>
      <c r="EI199">
        <v>240</v>
      </c>
      <c r="EM199" t="s">
        <v>841</v>
      </c>
      <c r="EO199">
        <v>260</v>
      </c>
      <c r="ES199" t="s">
        <v>841</v>
      </c>
      <c r="EU199">
        <v>280</v>
      </c>
      <c r="EY199" t="s">
        <v>841</v>
      </c>
      <c r="FF199" t="s">
        <v>841</v>
      </c>
      <c r="FG199">
        <v>10</v>
      </c>
      <c r="FH199" t="s">
        <v>841</v>
      </c>
      <c r="FM199">
        <v>25</v>
      </c>
      <c r="FO199">
        <v>0</v>
      </c>
      <c r="FP199">
        <v>0</v>
      </c>
      <c r="FQ199">
        <v>0</v>
      </c>
      <c r="FS199" t="s">
        <v>842</v>
      </c>
      <c r="FT199" t="s">
        <v>839</v>
      </c>
      <c r="FU199" t="s">
        <v>839</v>
      </c>
      <c r="FV199" t="s">
        <v>842</v>
      </c>
      <c r="FW199" t="s">
        <v>839</v>
      </c>
      <c r="FX199" t="s">
        <v>880</v>
      </c>
      <c r="FY199" t="s">
        <v>842</v>
      </c>
      <c r="FZ199" t="s">
        <v>839</v>
      </c>
      <c r="GA199" t="s">
        <v>842</v>
      </c>
      <c r="GB199" t="s">
        <v>839</v>
      </c>
      <c r="GC199" t="s">
        <v>839</v>
      </c>
      <c r="GD199" t="s">
        <v>839</v>
      </c>
      <c r="GE199" t="s">
        <v>881</v>
      </c>
      <c r="GG199" t="s">
        <v>668</v>
      </c>
      <c r="GI199" t="s">
        <v>2079</v>
      </c>
      <c r="GJ199">
        <v>0</v>
      </c>
      <c r="GK199">
        <v>0</v>
      </c>
      <c r="GL199">
        <v>0</v>
      </c>
      <c r="GM199">
        <v>1</v>
      </c>
      <c r="GN199">
        <v>0</v>
      </c>
      <c r="GO199">
        <v>1</v>
      </c>
      <c r="GP199">
        <v>0</v>
      </c>
      <c r="GQ199">
        <v>0</v>
      </c>
      <c r="GR199">
        <v>0</v>
      </c>
      <c r="GS199">
        <v>0</v>
      </c>
      <c r="GT199">
        <v>0</v>
      </c>
      <c r="GU199">
        <v>0</v>
      </c>
      <c r="GV199">
        <v>0</v>
      </c>
      <c r="GW199">
        <v>0</v>
      </c>
      <c r="GX199">
        <v>0</v>
      </c>
      <c r="GY199">
        <v>0</v>
      </c>
      <c r="GZ199">
        <v>0</v>
      </c>
      <c r="HB199" t="s">
        <v>839</v>
      </c>
    </row>
    <row r="200" spans="1:211" x14ac:dyDescent="0.35">
      <c r="A200" t="s">
        <v>2080</v>
      </c>
      <c r="B200" s="151">
        <v>45573.156655092593</v>
      </c>
      <c r="C200" t="s">
        <v>2081</v>
      </c>
      <c r="D200" t="s">
        <v>2082</v>
      </c>
      <c r="E200" t="s">
        <v>875</v>
      </c>
      <c r="F200" t="s">
        <v>2083</v>
      </c>
      <c r="H200" t="s">
        <v>839</v>
      </c>
      <c r="I200" t="s">
        <v>838</v>
      </c>
      <c r="K200" t="s">
        <v>839</v>
      </c>
      <c r="L200" t="s">
        <v>887</v>
      </c>
      <c r="O200">
        <v>160</v>
      </c>
      <c r="P200">
        <v>220</v>
      </c>
      <c r="Q200">
        <v>380</v>
      </c>
      <c r="S200" t="s">
        <v>841</v>
      </c>
      <c r="T200" t="s">
        <v>841</v>
      </c>
      <c r="U200" t="s">
        <v>841</v>
      </c>
      <c r="V200" t="s">
        <v>841</v>
      </c>
      <c r="W200" t="s">
        <v>841</v>
      </c>
      <c r="X200" t="s">
        <v>841</v>
      </c>
      <c r="Y200" t="s">
        <v>841</v>
      </c>
      <c r="Z200" t="s">
        <v>841</v>
      </c>
      <c r="AA200" t="s">
        <v>841</v>
      </c>
      <c r="AB200" t="s">
        <v>841</v>
      </c>
      <c r="AC200" t="s">
        <v>841</v>
      </c>
      <c r="AD200" t="s">
        <v>841</v>
      </c>
      <c r="AE200" t="s">
        <v>841</v>
      </c>
      <c r="AF200" t="s">
        <v>841</v>
      </c>
      <c r="AH200">
        <v>1</v>
      </c>
      <c r="AI200">
        <v>1</v>
      </c>
      <c r="AJ200">
        <v>1</v>
      </c>
      <c r="AK200">
        <v>1</v>
      </c>
      <c r="AL200">
        <v>1</v>
      </c>
      <c r="AM200">
        <v>1</v>
      </c>
      <c r="AN200">
        <v>1</v>
      </c>
      <c r="AO200">
        <v>1</v>
      </c>
      <c r="AP200">
        <v>1</v>
      </c>
      <c r="AQ200">
        <v>1</v>
      </c>
      <c r="AR200">
        <v>1</v>
      </c>
      <c r="AS200">
        <v>1</v>
      </c>
      <c r="AT200">
        <v>1</v>
      </c>
      <c r="AU200">
        <v>1</v>
      </c>
      <c r="AW200">
        <v>3</v>
      </c>
      <c r="AX200">
        <v>4</v>
      </c>
      <c r="AY200">
        <v>7</v>
      </c>
      <c r="BB200">
        <v>3</v>
      </c>
      <c r="BC200">
        <v>4</v>
      </c>
      <c r="BD200">
        <v>7</v>
      </c>
      <c r="BF200">
        <v>0</v>
      </c>
      <c r="BG200">
        <v>0</v>
      </c>
      <c r="BH200">
        <v>0</v>
      </c>
      <c r="BJ200">
        <v>12</v>
      </c>
      <c r="BK200">
        <v>13</v>
      </c>
      <c r="BL200">
        <v>25</v>
      </c>
      <c r="BP200">
        <v>8</v>
      </c>
      <c r="BQ200">
        <v>10</v>
      </c>
      <c r="BR200">
        <v>18</v>
      </c>
      <c r="BV200" t="s">
        <v>839</v>
      </c>
      <c r="BW200" t="s">
        <v>758</v>
      </c>
      <c r="BX200" t="s">
        <v>839</v>
      </c>
      <c r="BY200" t="s">
        <v>950</v>
      </c>
      <c r="BZ200" t="s">
        <v>839</v>
      </c>
      <c r="CA200" t="s">
        <v>839</v>
      </c>
      <c r="CC200" t="s">
        <v>839</v>
      </c>
      <c r="CD200" t="s">
        <v>855</v>
      </c>
      <c r="CG200">
        <v>6</v>
      </c>
      <c r="CH200">
        <v>3</v>
      </c>
      <c r="CI200">
        <v>3</v>
      </c>
      <c r="CJ200">
        <v>0</v>
      </c>
      <c r="CK200" t="s">
        <v>877</v>
      </c>
      <c r="CM200" t="s">
        <v>867</v>
      </c>
      <c r="CN200">
        <v>0</v>
      </c>
      <c r="CO200">
        <v>1</v>
      </c>
      <c r="CP200">
        <v>0</v>
      </c>
      <c r="CQ200">
        <v>0</v>
      </c>
      <c r="CR200">
        <v>0</v>
      </c>
      <c r="CS200">
        <v>0</v>
      </c>
      <c r="CU200" t="s">
        <v>2084</v>
      </c>
      <c r="CV200">
        <v>1</v>
      </c>
      <c r="CW200">
        <v>0</v>
      </c>
      <c r="CX200">
        <v>1</v>
      </c>
      <c r="CY200">
        <v>1</v>
      </c>
      <c r="CZ200">
        <v>0</v>
      </c>
      <c r="DA200">
        <v>0</v>
      </c>
      <c r="DB200">
        <v>1</v>
      </c>
      <c r="DC200">
        <v>1</v>
      </c>
      <c r="DD200">
        <v>0</v>
      </c>
      <c r="DE200">
        <v>1</v>
      </c>
      <c r="DF200">
        <v>0</v>
      </c>
      <c r="DJ200">
        <v>13</v>
      </c>
      <c r="DK200">
        <v>8</v>
      </c>
      <c r="DL200">
        <v>21</v>
      </c>
      <c r="DN200">
        <v>600</v>
      </c>
      <c r="DP200">
        <v>1500</v>
      </c>
      <c r="DR200" t="s">
        <v>908</v>
      </c>
      <c r="DS200">
        <v>1</v>
      </c>
      <c r="DT200">
        <v>1</v>
      </c>
      <c r="DU200">
        <v>1</v>
      </c>
      <c r="DV200">
        <v>0</v>
      </c>
      <c r="DW200">
        <v>1</v>
      </c>
      <c r="DX200">
        <v>0</v>
      </c>
      <c r="DY200">
        <v>0</v>
      </c>
      <c r="DZ200">
        <v>0</v>
      </c>
      <c r="EA200">
        <v>0</v>
      </c>
      <c r="EC200" t="s">
        <v>839</v>
      </c>
      <c r="ED200" t="s">
        <v>957</v>
      </c>
      <c r="EE200" t="s">
        <v>848</v>
      </c>
      <c r="EI200">
        <v>590</v>
      </c>
      <c r="EM200" t="s">
        <v>841</v>
      </c>
      <c r="EO200">
        <v>590</v>
      </c>
      <c r="ES200" t="s">
        <v>841</v>
      </c>
      <c r="EU200">
        <v>690</v>
      </c>
      <c r="EY200" t="s">
        <v>841</v>
      </c>
      <c r="FA200">
        <v>5</v>
      </c>
      <c r="FB200" t="s">
        <v>841</v>
      </c>
      <c r="FG200">
        <v>5</v>
      </c>
      <c r="FH200" t="s">
        <v>841</v>
      </c>
      <c r="FM200">
        <v>25</v>
      </c>
      <c r="FO200">
        <v>5</v>
      </c>
      <c r="FP200">
        <v>10</v>
      </c>
      <c r="FQ200">
        <v>15</v>
      </c>
      <c r="FS200" t="s">
        <v>842</v>
      </c>
      <c r="FT200" t="s">
        <v>842</v>
      </c>
      <c r="FU200" t="s">
        <v>839</v>
      </c>
      <c r="FV200" t="s">
        <v>839</v>
      </c>
      <c r="FW200" t="s">
        <v>839</v>
      </c>
      <c r="FX200" t="s">
        <v>880</v>
      </c>
      <c r="FY200" t="s">
        <v>839</v>
      </c>
      <c r="FZ200" t="s">
        <v>839</v>
      </c>
      <c r="GA200" t="s">
        <v>839</v>
      </c>
      <c r="GB200" t="s">
        <v>839</v>
      </c>
      <c r="GC200" t="s">
        <v>842</v>
      </c>
      <c r="GD200" t="s">
        <v>839</v>
      </c>
      <c r="GE200" t="s">
        <v>881</v>
      </c>
      <c r="GG200" t="s">
        <v>839</v>
      </c>
      <c r="GI200" t="s">
        <v>2085</v>
      </c>
      <c r="GJ200">
        <v>1</v>
      </c>
      <c r="GK200">
        <v>0</v>
      </c>
      <c r="GL200">
        <v>0</v>
      </c>
      <c r="GM200">
        <v>0</v>
      </c>
      <c r="GN200">
        <v>0</v>
      </c>
      <c r="GO200">
        <v>0</v>
      </c>
      <c r="GP200">
        <v>0</v>
      </c>
      <c r="GQ200">
        <v>0</v>
      </c>
      <c r="GR200">
        <v>0</v>
      </c>
      <c r="GS200">
        <v>1</v>
      </c>
      <c r="GT200">
        <v>0</v>
      </c>
      <c r="GU200">
        <v>1</v>
      </c>
      <c r="GV200">
        <v>0</v>
      </c>
      <c r="GW200">
        <v>0</v>
      </c>
      <c r="GX200">
        <v>0</v>
      </c>
      <c r="GY200">
        <v>0</v>
      </c>
      <c r="GZ200">
        <v>0</v>
      </c>
      <c r="HB200" t="s">
        <v>839</v>
      </c>
    </row>
    <row r="201" spans="1:211" x14ac:dyDescent="0.35">
      <c r="A201" t="s">
        <v>2086</v>
      </c>
      <c r="B201" s="151">
        <v>45573.162557870368</v>
      </c>
      <c r="C201" t="s">
        <v>2087</v>
      </c>
      <c r="D201" t="s">
        <v>2088</v>
      </c>
      <c r="E201" t="s">
        <v>875</v>
      </c>
      <c r="F201" t="s">
        <v>2089</v>
      </c>
      <c r="H201" t="s">
        <v>839</v>
      </c>
      <c r="I201" t="s">
        <v>896</v>
      </c>
      <c r="K201" t="s">
        <v>842</v>
      </c>
      <c r="O201">
        <v>180</v>
      </c>
      <c r="P201">
        <v>100</v>
      </c>
      <c r="Q201">
        <v>280</v>
      </c>
      <c r="S201" t="s">
        <v>841</v>
      </c>
      <c r="T201" t="s">
        <v>841</v>
      </c>
      <c r="U201" t="s">
        <v>841</v>
      </c>
      <c r="V201" t="s">
        <v>841</v>
      </c>
      <c r="W201" t="s">
        <v>841</v>
      </c>
      <c r="X201" t="s">
        <v>841</v>
      </c>
      <c r="Y201" t="s">
        <v>841</v>
      </c>
      <c r="Z201" t="s">
        <v>841</v>
      </c>
      <c r="AA201" t="s">
        <v>841</v>
      </c>
      <c r="AB201" t="s">
        <v>841</v>
      </c>
      <c r="AH201">
        <v>1</v>
      </c>
      <c r="AI201">
        <v>1</v>
      </c>
      <c r="AJ201">
        <v>1</v>
      </c>
      <c r="AK201">
        <v>1</v>
      </c>
      <c r="AL201">
        <v>1</v>
      </c>
      <c r="AM201">
        <v>1</v>
      </c>
      <c r="AN201">
        <v>1</v>
      </c>
      <c r="AO201">
        <v>1</v>
      </c>
      <c r="AP201">
        <v>1</v>
      </c>
      <c r="AQ201">
        <v>1</v>
      </c>
      <c r="AZ201" t="s">
        <v>841</v>
      </c>
      <c r="BM201" t="s">
        <v>841</v>
      </c>
      <c r="BS201" t="s">
        <v>841</v>
      </c>
      <c r="BV201" t="s">
        <v>839</v>
      </c>
      <c r="BW201" t="s">
        <v>758</v>
      </c>
      <c r="BX201" t="s">
        <v>839</v>
      </c>
      <c r="BY201" t="s">
        <v>759</v>
      </c>
      <c r="BZ201" t="s">
        <v>839</v>
      </c>
      <c r="CA201" t="s">
        <v>839</v>
      </c>
      <c r="CC201" t="s">
        <v>839</v>
      </c>
      <c r="CD201" t="s">
        <v>855</v>
      </c>
      <c r="CG201">
        <v>4</v>
      </c>
      <c r="CH201">
        <v>2</v>
      </c>
      <c r="CI201">
        <v>2</v>
      </c>
      <c r="CJ201">
        <v>0</v>
      </c>
      <c r="CK201" t="s">
        <v>877</v>
      </c>
      <c r="CM201" t="s">
        <v>844</v>
      </c>
      <c r="CN201">
        <v>1</v>
      </c>
      <c r="CO201">
        <v>0</v>
      </c>
      <c r="CP201">
        <v>0</v>
      </c>
      <c r="CQ201">
        <v>0</v>
      </c>
      <c r="CR201">
        <v>0</v>
      </c>
      <c r="CS201">
        <v>0</v>
      </c>
      <c r="CU201" t="s">
        <v>907</v>
      </c>
      <c r="CV201">
        <v>1</v>
      </c>
      <c r="CW201">
        <v>0</v>
      </c>
      <c r="CX201">
        <v>1</v>
      </c>
      <c r="CY201">
        <v>0</v>
      </c>
      <c r="CZ201">
        <v>0</v>
      </c>
      <c r="DA201">
        <v>0</v>
      </c>
      <c r="DB201">
        <v>0</v>
      </c>
      <c r="DC201">
        <v>0</v>
      </c>
      <c r="DD201">
        <v>1</v>
      </c>
      <c r="DE201">
        <v>0</v>
      </c>
      <c r="DF201">
        <v>0</v>
      </c>
      <c r="DJ201">
        <v>3</v>
      </c>
      <c r="DK201">
        <v>9</v>
      </c>
      <c r="DL201">
        <v>12</v>
      </c>
      <c r="DN201">
        <v>350</v>
      </c>
      <c r="DP201">
        <v>500</v>
      </c>
      <c r="DR201" t="s">
        <v>1007</v>
      </c>
      <c r="DS201">
        <v>1</v>
      </c>
      <c r="DT201">
        <v>0</v>
      </c>
      <c r="DU201">
        <v>0</v>
      </c>
      <c r="DV201">
        <v>0</v>
      </c>
      <c r="DW201">
        <v>0</v>
      </c>
      <c r="DX201">
        <v>1</v>
      </c>
      <c r="DY201">
        <v>0</v>
      </c>
      <c r="DZ201">
        <v>0</v>
      </c>
      <c r="EA201">
        <v>0</v>
      </c>
      <c r="EC201" t="s">
        <v>839</v>
      </c>
      <c r="ED201" t="s">
        <v>869</v>
      </c>
      <c r="EE201" t="s">
        <v>848</v>
      </c>
      <c r="EI201">
        <v>100</v>
      </c>
      <c r="EM201" t="s">
        <v>841</v>
      </c>
      <c r="EO201">
        <v>100</v>
      </c>
      <c r="ES201" t="s">
        <v>841</v>
      </c>
      <c r="EZ201" t="s">
        <v>841</v>
      </c>
      <c r="FA201">
        <v>8</v>
      </c>
      <c r="FB201" t="s">
        <v>841</v>
      </c>
      <c r="FG201">
        <v>4</v>
      </c>
      <c r="FH201" t="s">
        <v>841</v>
      </c>
      <c r="FM201">
        <v>25</v>
      </c>
      <c r="FO201">
        <v>1</v>
      </c>
      <c r="FP201">
        <v>4</v>
      </c>
      <c r="FQ201">
        <v>5</v>
      </c>
      <c r="FS201" t="s">
        <v>839</v>
      </c>
      <c r="FT201" t="s">
        <v>842</v>
      </c>
      <c r="FU201" t="s">
        <v>839</v>
      </c>
      <c r="FV201" t="s">
        <v>842</v>
      </c>
      <c r="FW201" t="s">
        <v>839</v>
      </c>
      <c r="FX201" t="s">
        <v>910</v>
      </c>
      <c r="FY201" t="s">
        <v>842</v>
      </c>
      <c r="FZ201" t="s">
        <v>839</v>
      </c>
      <c r="GA201" t="s">
        <v>842</v>
      </c>
      <c r="GB201" t="s">
        <v>839</v>
      </c>
      <c r="GC201" t="s">
        <v>839</v>
      </c>
      <c r="GD201" t="s">
        <v>839</v>
      </c>
      <c r="GE201" t="s">
        <v>881</v>
      </c>
      <c r="GG201" t="s">
        <v>839</v>
      </c>
      <c r="GI201" t="s">
        <v>2090</v>
      </c>
      <c r="GJ201">
        <v>1</v>
      </c>
      <c r="GK201">
        <v>0</v>
      </c>
      <c r="GL201">
        <v>0</v>
      </c>
      <c r="GM201">
        <v>0</v>
      </c>
      <c r="GN201">
        <v>0</v>
      </c>
      <c r="GO201">
        <v>1</v>
      </c>
      <c r="GP201">
        <v>0</v>
      </c>
      <c r="GQ201">
        <v>0</v>
      </c>
      <c r="GR201">
        <v>1</v>
      </c>
      <c r="GS201">
        <v>1</v>
      </c>
      <c r="GT201">
        <v>0</v>
      </c>
      <c r="GU201">
        <v>0</v>
      </c>
      <c r="GV201">
        <v>0</v>
      </c>
      <c r="GW201">
        <v>0</v>
      </c>
      <c r="GX201">
        <v>0</v>
      </c>
      <c r="GY201">
        <v>0</v>
      </c>
      <c r="GZ201">
        <v>0</v>
      </c>
      <c r="HB201" t="s">
        <v>839</v>
      </c>
    </row>
    <row r="202" spans="1:211" x14ac:dyDescent="0.35">
      <c r="A202" t="s">
        <v>2091</v>
      </c>
      <c r="B202" s="151">
        <v>45573.16814814815</v>
      </c>
      <c r="C202" t="s">
        <v>2092</v>
      </c>
      <c r="D202" t="s">
        <v>2093</v>
      </c>
      <c r="E202" t="s">
        <v>835</v>
      </c>
      <c r="F202" t="s">
        <v>2094</v>
      </c>
      <c r="H202" t="s">
        <v>837</v>
      </c>
      <c r="I202" t="s">
        <v>838</v>
      </c>
      <c r="K202" t="s">
        <v>842</v>
      </c>
      <c r="O202">
        <v>27</v>
      </c>
      <c r="P202">
        <v>21</v>
      </c>
      <c r="Q202">
        <v>48</v>
      </c>
      <c r="S202" t="s">
        <v>841</v>
      </c>
      <c r="T202" t="s">
        <v>841</v>
      </c>
      <c r="U202" t="s">
        <v>841</v>
      </c>
      <c r="V202" t="s">
        <v>841</v>
      </c>
      <c r="W202" t="s">
        <v>841</v>
      </c>
      <c r="X202" t="s">
        <v>841</v>
      </c>
      <c r="Y202" t="s">
        <v>841</v>
      </c>
      <c r="Z202" t="s">
        <v>841</v>
      </c>
      <c r="AH202">
        <v>1</v>
      </c>
      <c r="AI202">
        <v>1</v>
      </c>
      <c r="AJ202">
        <v>1</v>
      </c>
      <c r="AK202">
        <v>1</v>
      </c>
      <c r="AL202">
        <v>1</v>
      </c>
      <c r="AM202">
        <v>1</v>
      </c>
      <c r="AN202">
        <v>1</v>
      </c>
      <c r="AO202">
        <v>1</v>
      </c>
      <c r="AZ202" t="s">
        <v>841</v>
      </c>
      <c r="BM202" t="s">
        <v>841</v>
      </c>
      <c r="BS202" t="s">
        <v>841</v>
      </c>
      <c r="BV202" t="s">
        <v>842</v>
      </c>
      <c r="BX202" t="s">
        <v>842</v>
      </c>
      <c r="BZ202" t="s">
        <v>839</v>
      </c>
      <c r="CA202" t="s">
        <v>839</v>
      </c>
      <c r="CC202" t="s">
        <v>839</v>
      </c>
      <c r="CD202" t="s">
        <v>855</v>
      </c>
      <c r="CG202">
        <v>7</v>
      </c>
      <c r="CH202">
        <v>3</v>
      </c>
      <c r="CI202">
        <v>3</v>
      </c>
      <c r="CJ202">
        <v>1</v>
      </c>
      <c r="CK202" t="s">
        <v>877</v>
      </c>
      <c r="CM202" t="s">
        <v>844</v>
      </c>
      <c r="CN202">
        <v>1</v>
      </c>
      <c r="CO202">
        <v>0</v>
      </c>
      <c r="CP202">
        <v>0</v>
      </c>
      <c r="CQ202">
        <v>0</v>
      </c>
      <c r="CR202">
        <v>0</v>
      </c>
      <c r="CS202">
        <v>0</v>
      </c>
      <c r="CU202" t="s">
        <v>1249</v>
      </c>
      <c r="CV202">
        <v>1</v>
      </c>
      <c r="CW202">
        <v>0</v>
      </c>
      <c r="CX202">
        <v>1</v>
      </c>
      <c r="CY202">
        <v>1</v>
      </c>
      <c r="CZ202">
        <v>0</v>
      </c>
      <c r="DA202">
        <v>0</v>
      </c>
      <c r="DB202">
        <v>0</v>
      </c>
      <c r="DC202">
        <v>0</v>
      </c>
      <c r="DD202">
        <v>0</v>
      </c>
      <c r="DE202">
        <v>0</v>
      </c>
      <c r="DF202">
        <v>0</v>
      </c>
      <c r="DJ202">
        <v>5</v>
      </c>
      <c r="DK202">
        <v>6</v>
      </c>
      <c r="DL202">
        <v>11</v>
      </c>
      <c r="DN202">
        <v>450</v>
      </c>
      <c r="DP202">
        <v>1200</v>
      </c>
      <c r="DR202" t="s">
        <v>1040</v>
      </c>
      <c r="DS202">
        <v>0</v>
      </c>
      <c r="DT202">
        <v>0</v>
      </c>
      <c r="DU202">
        <v>1</v>
      </c>
      <c r="DV202">
        <v>0</v>
      </c>
      <c r="DW202">
        <v>0</v>
      </c>
      <c r="DX202">
        <v>0</v>
      </c>
      <c r="DY202">
        <v>0</v>
      </c>
      <c r="DZ202">
        <v>0</v>
      </c>
      <c r="EA202">
        <v>0</v>
      </c>
      <c r="EC202" t="s">
        <v>839</v>
      </c>
      <c r="ED202" t="s">
        <v>869</v>
      </c>
      <c r="EE202" t="s">
        <v>848</v>
      </c>
      <c r="EI202">
        <v>650</v>
      </c>
      <c r="EM202" t="s">
        <v>841</v>
      </c>
      <c r="EO202">
        <v>700</v>
      </c>
      <c r="ES202" t="s">
        <v>841</v>
      </c>
      <c r="EZ202" t="s">
        <v>841</v>
      </c>
      <c r="FA202">
        <v>15</v>
      </c>
      <c r="FB202" t="s">
        <v>841</v>
      </c>
      <c r="FL202" t="s">
        <v>841</v>
      </c>
      <c r="FM202">
        <v>25</v>
      </c>
      <c r="FO202">
        <v>0</v>
      </c>
      <c r="FP202">
        <v>0</v>
      </c>
      <c r="FQ202">
        <v>0</v>
      </c>
      <c r="FS202" t="s">
        <v>842</v>
      </c>
      <c r="FT202" t="s">
        <v>839</v>
      </c>
      <c r="FU202" t="s">
        <v>839</v>
      </c>
      <c r="FV202" t="s">
        <v>839</v>
      </c>
      <c r="FW202" t="s">
        <v>842</v>
      </c>
      <c r="FY202" t="s">
        <v>842</v>
      </c>
      <c r="FZ202" t="s">
        <v>842</v>
      </c>
      <c r="GA202" t="s">
        <v>842</v>
      </c>
      <c r="GB202" t="s">
        <v>842</v>
      </c>
      <c r="GC202" t="s">
        <v>842</v>
      </c>
      <c r="GD202" t="s">
        <v>839</v>
      </c>
      <c r="GE202" t="s">
        <v>881</v>
      </c>
      <c r="GG202" t="s">
        <v>842</v>
      </c>
      <c r="GI202" t="s">
        <v>849</v>
      </c>
      <c r="GJ202">
        <v>1</v>
      </c>
      <c r="GK202">
        <v>0</v>
      </c>
      <c r="GL202">
        <v>0</v>
      </c>
      <c r="GM202">
        <v>0</v>
      </c>
      <c r="GN202">
        <v>0</v>
      </c>
      <c r="GO202">
        <v>0</v>
      </c>
      <c r="GP202">
        <v>0</v>
      </c>
      <c r="GQ202">
        <v>0</v>
      </c>
      <c r="GR202">
        <v>0</v>
      </c>
      <c r="GS202">
        <v>0</v>
      </c>
      <c r="GT202">
        <v>0</v>
      </c>
      <c r="GU202">
        <v>0</v>
      </c>
      <c r="GV202">
        <v>0</v>
      </c>
      <c r="GW202">
        <v>0</v>
      </c>
      <c r="GX202">
        <v>0</v>
      </c>
      <c r="GY202">
        <v>0</v>
      </c>
      <c r="GZ202">
        <v>0</v>
      </c>
      <c r="HB202" t="s">
        <v>839</v>
      </c>
    </row>
    <row r="203" spans="1:211" x14ac:dyDescent="0.35">
      <c r="A203" t="s">
        <v>2095</v>
      </c>
      <c r="B203" s="151">
        <v>45573.177164351851</v>
      </c>
      <c r="C203" t="s">
        <v>2096</v>
      </c>
      <c r="D203" t="s">
        <v>2097</v>
      </c>
      <c r="E203" t="s">
        <v>875</v>
      </c>
      <c r="F203" t="s">
        <v>2098</v>
      </c>
      <c r="G203" t="s">
        <v>2098</v>
      </c>
      <c r="H203" t="s">
        <v>839</v>
      </c>
      <c r="I203" t="s">
        <v>838</v>
      </c>
      <c r="K203" t="s">
        <v>842</v>
      </c>
      <c r="O203">
        <v>141</v>
      </c>
      <c r="P203">
        <v>129</v>
      </c>
      <c r="Q203">
        <v>270</v>
      </c>
      <c r="S203" t="s">
        <v>841</v>
      </c>
      <c r="T203" t="s">
        <v>841</v>
      </c>
      <c r="U203" t="s">
        <v>841</v>
      </c>
      <c r="V203" t="s">
        <v>841</v>
      </c>
      <c r="W203" t="s">
        <v>841</v>
      </c>
      <c r="X203" t="s">
        <v>841</v>
      </c>
      <c r="Y203" t="s">
        <v>841</v>
      </c>
      <c r="Z203" t="s">
        <v>841</v>
      </c>
      <c r="AA203" t="s">
        <v>841</v>
      </c>
      <c r="AB203" t="s">
        <v>841</v>
      </c>
      <c r="AC203" t="s">
        <v>841</v>
      </c>
      <c r="AD203" t="s">
        <v>841</v>
      </c>
      <c r="AE203" t="s">
        <v>841</v>
      </c>
      <c r="AF203" t="s">
        <v>841</v>
      </c>
      <c r="AH203">
        <v>1</v>
      </c>
      <c r="AI203">
        <v>1</v>
      </c>
      <c r="AJ203">
        <v>1</v>
      </c>
      <c r="AK203">
        <v>1</v>
      </c>
      <c r="AL203">
        <v>1</v>
      </c>
      <c r="AM203">
        <v>1</v>
      </c>
      <c r="AN203">
        <v>1</v>
      </c>
      <c r="AO203">
        <v>1</v>
      </c>
      <c r="AP203">
        <v>1</v>
      </c>
      <c r="AQ203">
        <v>1</v>
      </c>
      <c r="AR203">
        <v>1</v>
      </c>
      <c r="AS203">
        <v>1</v>
      </c>
      <c r="AT203">
        <v>1</v>
      </c>
      <c r="AU203">
        <v>1</v>
      </c>
      <c r="AZ203" t="s">
        <v>841</v>
      </c>
      <c r="BJ203">
        <v>12</v>
      </c>
      <c r="BK203">
        <v>7</v>
      </c>
      <c r="BL203">
        <v>19</v>
      </c>
      <c r="BS203" t="s">
        <v>841</v>
      </c>
      <c r="BV203" t="s">
        <v>839</v>
      </c>
      <c r="BW203" t="s">
        <v>759</v>
      </c>
      <c r="BX203" t="s">
        <v>839</v>
      </c>
      <c r="BY203" t="s">
        <v>759</v>
      </c>
      <c r="BZ203" t="s">
        <v>839</v>
      </c>
      <c r="CA203" t="s">
        <v>839</v>
      </c>
      <c r="CC203" t="s">
        <v>839</v>
      </c>
      <c r="CD203" t="s">
        <v>855</v>
      </c>
      <c r="CG203">
        <v>4</v>
      </c>
      <c r="CH203">
        <v>2</v>
      </c>
      <c r="CI203">
        <v>2</v>
      </c>
      <c r="CJ203">
        <v>0</v>
      </c>
      <c r="CK203" t="s">
        <v>877</v>
      </c>
      <c r="CM203" t="s">
        <v>844</v>
      </c>
      <c r="CN203">
        <v>1</v>
      </c>
      <c r="CO203">
        <v>0</v>
      </c>
      <c r="CP203">
        <v>0</v>
      </c>
      <c r="CQ203">
        <v>0</v>
      </c>
      <c r="CR203">
        <v>0</v>
      </c>
      <c r="CS203">
        <v>0</v>
      </c>
      <c r="CU203" t="s">
        <v>868</v>
      </c>
      <c r="CV203">
        <v>1</v>
      </c>
      <c r="CW203">
        <v>0</v>
      </c>
      <c r="CX203">
        <v>1</v>
      </c>
      <c r="CY203">
        <v>0</v>
      </c>
      <c r="CZ203">
        <v>0</v>
      </c>
      <c r="DA203">
        <v>0</v>
      </c>
      <c r="DB203">
        <v>0</v>
      </c>
      <c r="DC203">
        <v>0</v>
      </c>
      <c r="DD203">
        <v>1</v>
      </c>
      <c r="DE203">
        <v>1</v>
      </c>
      <c r="DF203">
        <v>0</v>
      </c>
      <c r="DJ203">
        <v>4</v>
      </c>
      <c r="DK203">
        <v>16</v>
      </c>
      <c r="DL203">
        <v>20</v>
      </c>
      <c r="DN203">
        <v>500</v>
      </c>
      <c r="DP203">
        <v>900</v>
      </c>
      <c r="DR203" t="s">
        <v>2099</v>
      </c>
      <c r="DS203">
        <v>1</v>
      </c>
      <c r="DT203">
        <v>0</v>
      </c>
      <c r="DU203">
        <v>1</v>
      </c>
      <c r="DV203">
        <v>0</v>
      </c>
      <c r="DW203">
        <v>0</v>
      </c>
      <c r="DX203">
        <v>1</v>
      </c>
      <c r="DY203">
        <v>0</v>
      </c>
      <c r="DZ203">
        <v>1</v>
      </c>
      <c r="EA203">
        <v>0</v>
      </c>
      <c r="EB203" t="s">
        <v>2100</v>
      </c>
      <c r="EC203" t="s">
        <v>839</v>
      </c>
      <c r="ED203" t="s">
        <v>847</v>
      </c>
      <c r="EE203" t="s">
        <v>848</v>
      </c>
      <c r="EI203">
        <v>10</v>
      </c>
      <c r="EJ203" t="s">
        <v>841</v>
      </c>
      <c r="EO203">
        <v>10</v>
      </c>
      <c r="EP203" t="s">
        <v>841</v>
      </c>
      <c r="EU203">
        <v>10</v>
      </c>
      <c r="EV203" t="s">
        <v>841</v>
      </c>
      <c r="FA203">
        <v>10</v>
      </c>
      <c r="FB203" t="s">
        <v>841</v>
      </c>
      <c r="FG203">
        <v>5</v>
      </c>
      <c r="FH203" t="s">
        <v>841</v>
      </c>
      <c r="FM203">
        <v>25</v>
      </c>
      <c r="FO203">
        <v>8</v>
      </c>
      <c r="FP203">
        <v>7</v>
      </c>
      <c r="FQ203">
        <v>15</v>
      </c>
      <c r="FS203" t="s">
        <v>839</v>
      </c>
      <c r="FT203" t="s">
        <v>839</v>
      </c>
      <c r="FU203" t="s">
        <v>842</v>
      </c>
      <c r="FV203" t="s">
        <v>839</v>
      </c>
      <c r="FW203" t="s">
        <v>842</v>
      </c>
      <c r="FY203" t="s">
        <v>839</v>
      </c>
      <c r="FZ203" t="s">
        <v>839</v>
      </c>
      <c r="GA203" t="s">
        <v>842</v>
      </c>
      <c r="GB203" t="s">
        <v>842</v>
      </c>
      <c r="GC203" t="s">
        <v>842</v>
      </c>
      <c r="GD203" t="s">
        <v>842</v>
      </c>
      <c r="GG203" t="s">
        <v>842</v>
      </c>
      <c r="GI203" t="s">
        <v>2101</v>
      </c>
      <c r="GJ203">
        <v>1</v>
      </c>
      <c r="GK203">
        <v>1</v>
      </c>
      <c r="GL203">
        <v>0</v>
      </c>
      <c r="GM203">
        <v>0</v>
      </c>
      <c r="GN203">
        <v>0</v>
      </c>
      <c r="GO203">
        <v>1</v>
      </c>
      <c r="GP203">
        <v>0</v>
      </c>
      <c r="GQ203">
        <v>0</v>
      </c>
      <c r="GR203">
        <v>0</v>
      </c>
      <c r="GS203">
        <v>0</v>
      </c>
      <c r="GT203">
        <v>0</v>
      </c>
      <c r="GU203">
        <v>0</v>
      </c>
      <c r="GV203">
        <v>1</v>
      </c>
      <c r="GW203">
        <v>0</v>
      </c>
      <c r="GX203">
        <v>1</v>
      </c>
      <c r="GY203">
        <v>0</v>
      </c>
      <c r="GZ203">
        <v>0</v>
      </c>
      <c r="HB203" t="s">
        <v>839</v>
      </c>
    </row>
    <row r="204" spans="1:211" x14ac:dyDescent="0.35">
      <c r="A204" t="s">
        <v>2102</v>
      </c>
      <c r="B204" s="151">
        <v>45573.484849537039</v>
      </c>
      <c r="C204" t="s">
        <v>2103</v>
      </c>
      <c r="D204" t="s">
        <v>2104</v>
      </c>
      <c r="E204" t="s">
        <v>835</v>
      </c>
      <c r="F204" t="s">
        <v>2105</v>
      </c>
      <c r="G204" t="s">
        <v>2105</v>
      </c>
      <c r="H204" t="s">
        <v>839</v>
      </c>
      <c r="I204" t="s">
        <v>896</v>
      </c>
      <c r="K204" t="s">
        <v>839</v>
      </c>
      <c r="L204" t="s">
        <v>887</v>
      </c>
      <c r="O204">
        <v>50</v>
      </c>
      <c r="P204">
        <v>70</v>
      </c>
      <c r="Q204">
        <v>120</v>
      </c>
      <c r="S204" t="s">
        <v>841</v>
      </c>
      <c r="T204" t="s">
        <v>841</v>
      </c>
      <c r="U204" t="s">
        <v>841</v>
      </c>
      <c r="V204" t="s">
        <v>841</v>
      </c>
      <c r="W204" t="s">
        <v>841</v>
      </c>
      <c r="X204" t="s">
        <v>841</v>
      </c>
      <c r="Y204" t="s">
        <v>841</v>
      </c>
      <c r="Z204" t="s">
        <v>841</v>
      </c>
      <c r="AA204" t="s">
        <v>841</v>
      </c>
      <c r="AB204" t="s">
        <v>841</v>
      </c>
      <c r="AC204" t="s">
        <v>841</v>
      </c>
      <c r="AH204">
        <v>1</v>
      </c>
      <c r="AI204">
        <v>1</v>
      </c>
      <c r="AJ204">
        <v>1</v>
      </c>
      <c r="AK204">
        <v>1</v>
      </c>
      <c r="AL204">
        <v>1</v>
      </c>
      <c r="AM204">
        <v>1</v>
      </c>
      <c r="AN204">
        <v>1</v>
      </c>
      <c r="AO204">
        <v>1</v>
      </c>
      <c r="AP204">
        <v>1</v>
      </c>
      <c r="AQ204">
        <v>1</v>
      </c>
      <c r="AR204">
        <v>1</v>
      </c>
      <c r="AZ204" t="s">
        <v>841</v>
      </c>
      <c r="BM204" t="s">
        <v>841</v>
      </c>
      <c r="BS204" t="s">
        <v>841</v>
      </c>
      <c r="BV204" t="s">
        <v>842</v>
      </c>
      <c r="BX204" t="s">
        <v>839</v>
      </c>
      <c r="BY204" t="s">
        <v>759</v>
      </c>
      <c r="BZ204" t="s">
        <v>839</v>
      </c>
      <c r="CA204" t="s">
        <v>839</v>
      </c>
      <c r="CC204" t="s">
        <v>839</v>
      </c>
      <c r="CD204" t="s">
        <v>855</v>
      </c>
      <c r="CG204">
        <v>8</v>
      </c>
      <c r="CH204">
        <v>4</v>
      </c>
      <c r="CI204">
        <v>4</v>
      </c>
      <c r="CK204" t="s">
        <v>993</v>
      </c>
      <c r="CM204" t="s">
        <v>844</v>
      </c>
      <c r="CN204">
        <v>1</v>
      </c>
      <c r="CO204">
        <v>0</v>
      </c>
      <c r="CP204">
        <v>0</v>
      </c>
      <c r="CQ204">
        <v>0</v>
      </c>
      <c r="CR204">
        <v>0</v>
      </c>
      <c r="CS204">
        <v>0</v>
      </c>
      <c r="CU204" t="s">
        <v>868</v>
      </c>
      <c r="CV204">
        <v>1</v>
      </c>
      <c r="CW204">
        <v>0</v>
      </c>
      <c r="CX204">
        <v>1</v>
      </c>
      <c r="CY204">
        <v>0</v>
      </c>
      <c r="CZ204">
        <v>0</v>
      </c>
      <c r="DA204">
        <v>0</v>
      </c>
      <c r="DB204">
        <v>0</v>
      </c>
      <c r="DC204">
        <v>0</v>
      </c>
      <c r="DD204">
        <v>1</v>
      </c>
      <c r="DE204">
        <v>1</v>
      </c>
      <c r="DF204">
        <v>0</v>
      </c>
      <c r="DJ204">
        <v>2</v>
      </c>
      <c r="DK204">
        <v>10</v>
      </c>
      <c r="DL204">
        <v>12</v>
      </c>
      <c r="DN204">
        <v>450</v>
      </c>
      <c r="DP204">
        <v>1000</v>
      </c>
      <c r="DR204" t="s">
        <v>937</v>
      </c>
      <c r="DS204">
        <v>1</v>
      </c>
      <c r="DT204">
        <v>0</v>
      </c>
      <c r="DU204">
        <v>0</v>
      </c>
      <c r="DV204">
        <v>0</v>
      </c>
      <c r="DW204">
        <v>0</v>
      </c>
      <c r="DX204">
        <v>0</v>
      </c>
      <c r="DY204">
        <v>0</v>
      </c>
      <c r="DZ204">
        <v>0</v>
      </c>
      <c r="EA204">
        <v>0</v>
      </c>
      <c r="EC204" t="s">
        <v>842</v>
      </c>
      <c r="ED204" t="s">
        <v>847</v>
      </c>
      <c r="EE204" t="s">
        <v>848</v>
      </c>
      <c r="EI204">
        <v>360</v>
      </c>
      <c r="EM204" t="s">
        <v>841</v>
      </c>
      <c r="EO204">
        <v>370</v>
      </c>
      <c r="ES204" t="s">
        <v>841</v>
      </c>
      <c r="EZ204" t="s">
        <v>841</v>
      </c>
      <c r="FA204">
        <v>8</v>
      </c>
      <c r="FB204" t="s">
        <v>841</v>
      </c>
      <c r="FG204">
        <v>2</v>
      </c>
      <c r="FH204" t="s">
        <v>841</v>
      </c>
      <c r="FM204">
        <v>30</v>
      </c>
      <c r="FO204">
        <v>2</v>
      </c>
      <c r="FP204">
        <v>2</v>
      </c>
      <c r="FQ204">
        <v>4</v>
      </c>
      <c r="FS204" t="s">
        <v>842</v>
      </c>
      <c r="FT204" t="s">
        <v>842</v>
      </c>
      <c r="FU204" t="s">
        <v>839</v>
      </c>
      <c r="FV204" t="s">
        <v>842</v>
      </c>
      <c r="FW204" t="s">
        <v>842</v>
      </c>
      <c r="FY204" t="s">
        <v>842</v>
      </c>
      <c r="FZ204" t="s">
        <v>842</v>
      </c>
      <c r="GA204" t="s">
        <v>842</v>
      </c>
      <c r="GB204" t="s">
        <v>842</v>
      </c>
      <c r="GC204" t="s">
        <v>842</v>
      </c>
      <c r="GD204" t="s">
        <v>842</v>
      </c>
      <c r="GG204" t="s">
        <v>668</v>
      </c>
      <c r="GI204" t="s">
        <v>976</v>
      </c>
      <c r="GJ204">
        <v>1</v>
      </c>
      <c r="GK204">
        <v>1</v>
      </c>
      <c r="GL204">
        <v>0</v>
      </c>
      <c r="GM204">
        <v>0</v>
      </c>
      <c r="GN204">
        <v>0</v>
      </c>
      <c r="GO204">
        <v>0</v>
      </c>
      <c r="GP204">
        <v>0</v>
      </c>
      <c r="GQ204">
        <v>0</v>
      </c>
      <c r="GR204">
        <v>0</v>
      </c>
      <c r="GS204">
        <v>0</v>
      </c>
      <c r="GT204">
        <v>0</v>
      </c>
      <c r="GU204">
        <v>0</v>
      </c>
      <c r="GV204">
        <v>0</v>
      </c>
      <c r="GW204">
        <v>0</v>
      </c>
      <c r="GX204">
        <v>0</v>
      </c>
      <c r="GY204">
        <v>0</v>
      </c>
      <c r="GZ204">
        <v>0</v>
      </c>
      <c r="HB204" t="s">
        <v>839</v>
      </c>
    </row>
    <row r="205" spans="1:211" x14ac:dyDescent="0.35">
      <c r="A205" t="s">
        <v>2106</v>
      </c>
      <c r="B205" s="151">
        <v>45573.512511574067</v>
      </c>
      <c r="C205" t="s">
        <v>2107</v>
      </c>
      <c r="D205" t="s">
        <v>2108</v>
      </c>
      <c r="E205" t="s">
        <v>875</v>
      </c>
      <c r="F205" t="s">
        <v>2109</v>
      </c>
      <c r="G205" t="s">
        <v>2109</v>
      </c>
      <c r="H205" t="s">
        <v>839</v>
      </c>
      <c r="I205" t="s">
        <v>896</v>
      </c>
      <c r="K205" t="s">
        <v>839</v>
      </c>
      <c r="L205" t="s">
        <v>887</v>
      </c>
      <c r="O205">
        <v>48</v>
      </c>
      <c r="P205">
        <v>77</v>
      </c>
      <c r="Q205">
        <v>125</v>
      </c>
      <c r="T205" t="s">
        <v>841</v>
      </c>
      <c r="U205" t="s">
        <v>841</v>
      </c>
      <c r="V205" t="s">
        <v>841</v>
      </c>
      <c r="W205" t="s">
        <v>841</v>
      </c>
      <c r="X205" t="s">
        <v>841</v>
      </c>
      <c r="Y205" t="s">
        <v>841</v>
      </c>
      <c r="Z205" t="s">
        <v>841</v>
      </c>
      <c r="AA205" t="s">
        <v>841</v>
      </c>
      <c r="AB205" t="s">
        <v>841</v>
      </c>
      <c r="AC205" t="s">
        <v>841</v>
      </c>
      <c r="AD205" t="s">
        <v>841</v>
      </c>
      <c r="AE205" t="s">
        <v>841</v>
      </c>
      <c r="AF205" t="s">
        <v>841</v>
      </c>
      <c r="AI205">
        <v>1</v>
      </c>
      <c r="AJ205">
        <v>1</v>
      </c>
      <c r="AK205">
        <v>1</v>
      </c>
      <c r="AL205">
        <v>1</v>
      </c>
      <c r="AM205">
        <v>1</v>
      </c>
      <c r="AN205">
        <v>1</v>
      </c>
      <c r="AO205">
        <v>1</v>
      </c>
      <c r="AP205">
        <v>1</v>
      </c>
      <c r="AQ205">
        <v>1</v>
      </c>
      <c r="AR205">
        <v>1</v>
      </c>
      <c r="AS205">
        <v>1</v>
      </c>
      <c r="AT205">
        <v>1</v>
      </c>
      <c r="AU205">
        <v>1</v>
      </c>
      <c r="AW205">
        <v>2</v>
      </c>
      <c r="AX205">
        <v>2</v>
      </c>
      <c r="AY205">
        <v>4</v>
      </c>
      <c r="BJ205">
        <v>3</v>
      </c>
      <c r="BK205">
        <v>3</v>
      </c>
      <c r="BL205">
        <v>6</v>
      </c>
      <c r="BP205">
        <v>2</v>
      </c>
      <c r="BQ205">
        <v>2</v>
      </c>
      <c r="BR205">
        <v>4</v>
      </c>
      <c r="BV205" t="s">
        <v>839</v>
      </c>
      <c r="BW205" t="s">
        <v>759</v>
      </c>
      <c r="BX205" t="s">
        <v>839</v>
      </c>
      <c r="BY205" t="s">
        <v>759</v>
      </c>
      <c r="BZ205" t="s">
        <v>839</v>
      </c>
      <c r="CA205" t="s">
        <v>839</v>
      </c>
      <c r="CC205" t="s">
        <v>839</v>
      </c>
      <c r="CD205" t="s">
        <v>855</v>
      </c>
      <c r="CG205">
        <v>5</v>
      </c>
      <c r="CH205">
        <v>2</v>
      </c>
      <c r="CI205">
        <v>2</v>
      </c>
      <c r="CJ205">
        <v>1</v>
      </c>
      <c r="CK205" t="s">
        <v>681</v>
      </c>
      <c r="CM205" t="s">
        <v>844</v>
      </c>
      <c r="CN205">
        <v>1</v>
      </c>
      <c r="CO205">
        <v>0</v>
      </c>
      <c r="CP205">
        <v>0</v>
      </c>
      <c r="CQ205">
        <v>0</v>
      </c>
      <c r="CR205">
        <v>0</v>
      </c>
      <c r="CS205">
        <v>0</v>
      </c>
      <c r="CU205" t="s">
        <v>1280</v>
      </c>
      <c r="CV205">
        <v>0</v>
      </c>
      <c r="CW205">
        <v>0</v>
      </c>
      <c r="CX205">
        <v>1</v>
      </c>
      <c r="CY205">
        <v>0</v>
      </c>
      <c r="CZ205">
        <v>0</v>
      </c>
      <c r="DA205">
        <v>0</v>
      </c>
      <c r="DB205">
        <v>0</v>
      </c>
      <c r="DC205">
        <v>0</v>
      </c>
      <c r="DD205">
        <v>0</v>
      </c>
      <c r="DE205">
        <v>1</v>
      </c>
      <c r="DF205">
        <v>0</v>
      </c>
      <c r="DJ205">
        <v>10</v>
      </c>
      <c r="DK205">
        <v>6</v>
      </c>
      <c r="DL205">
        <v>16</v>
      </c>
      <c r="DN205">
        <v>400</v>
      </c>
      <c r="DP205">
        <v>500</v>
      </c>
      <c r="DR205" t="s">
        <v>681</v>
      </c>
      <c r="DS205">
        <v>0</v>
      </c>
      <c r="DT205">
        <v>0</v>
      </c>
      <c r="DU205">
        <v>0</v>
      </c>
      <c r="DV205">
        <v>0</v>
      </c>
      <c r="DW205">
        <v>0</v>
      </c>
      <c r="DX205">
        <v>0</v>
      </c>
      <c r="DY205">
        <v>0</v>
      </c>
      <c r="DZ205">
        <v>0</v>
      </c>
      <c r="EA205">
        <v>1</v>
      </c>
      <c r="EC205" t="s">
        <v>842</v>
      </c>
      <c r="ED205" t="s">
        <v>847</v>
      </c>
      <c r="EE205" t="s">
        <v>848</v>
      </c>
      <c r="EI205">
        <v>5</v>
      </c>
      <c r="EJ205" t="s">
        <v>841</v>
      </c>
      <c r="EO205">
        <v>5</v>
      </c>
      <c r="EP205" t="s">
        <v>841</v>
      </c>
      <c r="EU205">
        <v>5</v>
      </c>
      <c r="EV205" t="s">
        <v>841</v>
      </c>
      <c r="FA205">
        <v>7</v>
      </c>
      <c r="FB205" t="s">
        <v>841</v>
      </c>
      <c r="FG205">
        <v>2</v>
      </c>
      <c r="FH205" t="s">
        <v>841</v>
      </c>
      <c r="FM205">
        <v>500</v>
      </c>
      <c r="FO205">
        <v>0</v>
      </c>
      <c r="FP205">
        <v>0</v>
      </c>
      <c r="FQ205">
        <v>0</v>
      </c>
      <c r="FS205" t="s">
        <v>842</v>
      </c>
      <c r="FT205" t="s">
        <v>842</v>
      </c>
      <c r="FU205" t="s">
        <v>839</v>
      </c>
      <c r="FV205" t="s">
        <v>839</v>
      </c>
      <c r="FW205" t="s">
        <v>842</v>
      </c>
      <c r="FY205" t="s">
        <v>842</v>
      </c>
      <c r="FZ205" t="s">
        <v>842</v>
      </c>
      <c r="GA205" t="s">
        <v>842</v>
      </c>
      <c r="GB205" t="s">
        <v>839</v>
      </c>
      <c r="GC205" t="s">
        <v>842</v>
      </c>
      <c r="GD205" t="s">
        <v>842</v>
      </c>
      <c r="GG205" t="s">
        <v>839</v>
      </c>
      <c r="GI205" t="s">
        <v>2110</v>
      </c>
      <c r="GJ205">
        <v>1</v>
      </c>
      <c r="GK205">
        <v>1</v>
      </c>
      <c r="GL205">
        <v>1</v>
      </c>
      <c r="GM205">
        <v>1</v>
      </c>
      <c r="GN205">
        <v>0</v>
      </c>
      <c r="GO205">
        <v>0</v>
      </c>
      <c r="GP205">
        <v>0</v>
      </c>
      <c r="GQ205">
        <v>1</v>
      </c>
      <c r="GR205">
        <v>1</v>
      </c>
      <c r="GS205">
        <v>0</v>
      </c>
      <c r="GT205">
        <v>0</v>
      </c>
      <c r="GU205">
        <v>0</v>
      </c>
      <c r="GV205">
        <v>0</v>
      </c>
      <c r="GW205">
        <v>0</v>
      </c>
      <c r="GX205">
        <v>1</v>
      </c>
      <c r="GY205">
        <v>0</v>
      </c>
      <c r="GZ205">
        <v>0</v>
      </c>
      <c r="HB205" t="s">
        <v>839</v>
      </c>
    </row>
    <row r="206" spans="1:211" x14ac:dyDescent="0.35">
      <c r="A206" t="s">
        <v>2111</v>
      </c>
      <c r="B206" s="151">
        <v>45575.430520833332</v>
      </c>
      <c r="C206" t="s">
        <v>2112</v>
      </c>
      <c r="D206" t="s">
        <v>2113</v>
      </c>
      <c r="E206" t="s">
        <v>875</v>
      </c>
      <c r="F206" t="s">
        <v>2114</v>
      </c>
      <c r="G206" t="s">
        <v>2114</v>
      </c>
      <c r="H206" t="s">
        <v>839</v>
      </c>
      <c r="I206" t="s">
        <v>838</v>
      </c>
      <c r="K206" t="s">
        <v>842</v>
      </c>
      <c r="O206">
        <v>7</v>
      </c>
      <c r="P206">
        <v>14</v>
      </c>
      <c r="Q206">
        <v>21</v>
      </c>
      <c r="T206" t="s">
        <v>841</v>
      </c>
      <c r="U206" t="s">
        <v>841</v>
      </c>
      <c r="V206" t="s">
        <v>841</v>
      </c>
      <c r="W206" t="s">
        <v>841</v>
      </c>
      <c r="X206" t="s">
        <v>841</v>
      </c>
      <c r="Y206" t="s">
        <v>841</v>
      </c>
      <c r="Z206" t="s">
        <v>841</v>
      </c>
      <c r="AA206" t="s">
        <v>841</v>
      </c>
      <c r="AI206">
        <v>1</v>
      </c>
      <c r="AJ206">
        <v>1</v>
      </c>
      <c r="AK206">
        <v>1</v>
      </c>
      <c r="AL206">
        <v>1</v>
      </c>
      <c r="AM206">
        <v>1</v>
      </c>
      <c r="AN206">
        <v>1</v>
      </c>
      <c r="AO206">
        <v>1</v>
      </c>
      <c r="AP206">
        <v>1</v>
      </c>
      <c r="AZ206" t="s">
        <v>841</v>
      </c>
      <c r="BM206" t="s">
        <v>841</v>
      </c>
      <c r="BS206" t="s">
        <v>841</v>
      </c>
      <c r="BV206" t="s">
        <v>839</v>
      </c>
      <c r="BW206" t="s">
        <v>758</v>
      </c>
      <c r="BX206" t="s">
        <v>839</v>
      </c>
      <c r="BY206" t="s">
        <v>759</v>
      </c>
      <c r="BZ206" t="s">
        <v>839</v>
      </c>
      <c r="CA206" t="s">
        <v>839</v>
      </c>
      <c r="CC206" t="s">
        <v>839</v>
      </c>
      <c r="CD206" t="s">
        <v>855</v>
      </c>
      <c r="CG206">
        <v>18</v>
      </c>
      <c r="CH206">
        <v>6</v>
      </c>
      <c r="CI206">
        <v>6</v>
      </c>
      <c r="CJ206">
        <v>6</v>
      </c>
      <c r="CK206" t="s">
        <v>856</v>
      </c>
      <c r="CM206" t="s">
        <v>844</v>
      </c>
      <c r="CN206">
        <v>1</v>
      </c>
      <c r="CO206">
        <v>0</v>
      </c>
      <c r="CP206">
        <v>0</v>
      </c>
      <c r="CQ206">
        <v>0</v>
      </c>
      <c r="CR206">
        <v>0</v>
      </c>
      <c r="CS206">
        <v>0</v>
      </c>
      <c r="CU206" t="s">
        <v>1206</v>
      </c>
      <c r="CV206">
        <v>1</v>
      </c>
      <c r="CW206">
        <v>1</v>
      </c>
      <c r="CX206">
        <v>1</v>
      </c>
      <c r="CY206">
        <v>0</v>
      </c>
      <c r="CZ206">
        <v>0</v>
      </c>
      <c r="DA206">
        <v>0</v>
      </c>
      <c r="DB206">
        <v>0</v>
      </c>
      <c r="DC206">
        <v>0</v>
      </c>
      <c r="DD206">
        <v>0</v>
      </c>
      <c r="DE206">
        <v>1</v>
      </c>
      <c r="DF206">
        <v>0</v>
      </c>
      <c r="DJ206">
        <v>2</v>
      </c>
      <c r="DK206">
        <v>4</v>
      </c>
      <c r="DL206">
        <v>6</v>
      </c>
      <c r="DN206">
        <v>800</v>
      </c>
      <c r="DP206">
        <v>1000</v>
      </c>
      <c r="DR206" t="s">
        <v>1040</v>
      </c>
      <c r="DS206">
        <v>0</v>
      </c>
      <c r="DT206">
        <v>0</v>
      </c>
      <c r="DU206">
        <v>1</v>
      </c>
      <c r="DV206">
        <v>0</v>
      </c>
      <c r="DW206">
        <v>0</v>
      </c>
      <c r="DX206">
        <v>0</v>
      </c>
      <c r="DY206">
        <v>0</v>
      </c>
      <c r="DZ206">
        <v>0</v>
      </c>
      <c r="EA206">
        <v>0</v>
      </c>
      <c r="EC206" t="s">
        <v>839</v>
      </c>
      <c r="ED206" t="s">
        <v>869</v>
      </c>
      <c r="EE206" t="s">
        <v>848</v>
      </c>
      <c r="EI206">
        <v>1000</v>
      </c>
      <c r="EM206" t="s">
        <v>841</v>
      </c>
      <c r="EO206">
        <v>1200</v>
      </c>
      <c r="ES206" t="s">
        <v>841</v>
      </c>
      <c r="EZ206" t="s">
        <v>841</v>
      </c>
      <c r="FA206">
        <v>15</v>
      </c>
      <c r="FB206" t="s">
        <v>841</v>
      </c>
      <c r="FG206">
        <v>10</v>
      </c>
      <c r="FH206" t="s">
        <v>841</v>
      </c>
      <c r="FM206">
        <v>25</v>
      </c>
      <c r="FO206">
        <v>0</v>
      </c>
      <c r="FP206">
        <v>0</v>
      </c>
      <c r="FQ206">
        <v>0</v>
      </c>
      <c r="FS206" t="s">
        <v>839</v>
      </c>
      <c r="FT206" t="s">
        <v>839</v>
      </c>
      <c r="FU206" t="s">
        <v>839</v>
      </c>
      <c r="FV206" t="s">
        <v>839</v>
      </c>
      <c r="FW206" t="s">
        <v>842</v>
      </c>
      <c r="FY206" t="s">
        <v>842</v>
      </c>
      <c r="FZ206" t="s">
        <v>839</v>
      </c>
      <c r="GA206" t="s">
        <v>839</v>
      </c>
      <c r="GB206" t="s">
        <v>839</v>
      </c>
      <c r="GC206" t="s">
        <v>842</v>
      </c>
      <c r="GD206" t="s">
        <v>839</v>
      </c>
      <c r="GE206" t="s">
        <v>626</v>
      </c>
      <c r="GF206" t="s">
        <v>2115</v>
      </c>
      <c r="GG206" t="s">
        <v>842</v>
      </c>
      <c r="GI206" t="s">
        <v>849</v>
      </c>
      <c r="GJ206">
        <v>1</v>
      </c>
      <c r="GK206">
        <v>0</v>
      </c>
      <c r="GL206">
        <v>0</v>
      </c>
      <c r="GM206">
        <v>0</v>
      </c>
      <c r="GN206">
        <v>0</v>
      </c>
      <c r="GO206">
        <v>0</v>
      </c>
      <c r="GP206">
        <v>0</v>
      </c>
      <c r="GQ206">
        <v>0</v>
      </c>
      <c r="GR206">
        <v>0</v>
      </c>
      <c r="GS206">
        <v>0</v>
      </c>
      <c r="GT206">
        <v>0</v>
      </c>
      <c r="GU206">
        <v>0</v>
      </c>
      <c r="GV206">
        <v>0</v>
      </c>
      <c r="GW206">
        <v>0</v>
      </c>
      <c r="GX206">
        <v>0</v>
      </c>
      <c r="GY206">
        <v>0</v>
      </c>
      <c r="GZ206">
        <v>0</v>
      </c>
      <c r="HB206" t="s">
        <v>839</v>
      </c>
    </row>
    <row r="207" spans="1:211" x14ac:dyDescent="0.35">
      <c r="A207" t="s">
        <v>2116</v>
      </c>
      <c r="B207" s="151">
        <v>45575.443495370368</v>
      </c>
      <c r="C207" t="s">
        <v>2117</v>
      </c>
      <c r="D207" t="s">
        <v>2118</v>
      </c>
      <c r="E207" t="s">
        <v>835</v>
      </c>
      <c r="F207" t="s">
        <v>2119</v>
      </c>
      <c r="G207" t="s">
        <v>2119</v>
      </c>
      <c r="H207" t="s">
        <v>839</v>
      </c>
      <c r="I207" t="s">
        <v>838</v>
      </c>
      <c r="K207" t="s">
        <v>839</v>
      </c>
      <c r="L207" t="s">
        <v>887</v>
      </c>
      <c r="O207">
        <v>130</v>
      </c>
      <c r="P207">
        <v>150</v>
      </c>
      <c r="Q207">
        <v>280</v>
      </c>
      <c r="T207" t="s">
        <v>841</v>
      </c>
      <c r="U207" t="s">
        <v>841</v>
      </c>
      <c r="V207" t="s">
        <v>841</v>
      </c>
      <c r="W207" t="s">
        <v>841</v>
      </c>
      <c r="X207" t="s">
        <v>841</v>
      </c>
      <c r="Y207" t="s">
        <v>841</v>
      </c>
      <c r="Z207" t="s">
        <v>841</v>
      </c>
      <c r="AA207" t="s">
        <v>841</v>
      </c>
      <c r="AB207" t="s">
        <v>841</v>
      </c>
      <c r="AC207" t="s">
        <v>841</v>
      </c>
      <c r="AD207" t="s">
        <v>841</v>
      </c>
      <c r="AE207" t="s">
        <v>841</v>
      </c>
      <c r="AF207" t="s">
        <v>841</v>
      </c>
      <c r="AI207">
        <v>1</v>
      </c>
      <c r="AJ207">
        <v>1</v>
      </c>
      <c r="AK207">
        <v>1</v>
      </c>
      <c r="AL207">
        <v>1</v>
      </c>
      <c r="AM207">
        <v>1</v>
      </c>
      <c r="AN207">
        <v>1</v>
      </c>
      <c r="AO207">
        <v>1</v>
      </c>
      <c r="AP207">
        <v>1</v>
      </c>
      <c r="AQ207">
        <v>1</v>
      </c>
      <c r="AR207">
        <v>1</v>
      </c>
      <c r="AS207">
        <v>1</v>
      </c>
      <c r="AT207">
        <v>1</v>
      </c>
      <c r="AU207">
        <v>1</v>
      </c>
      <c r="AW207">
        <v>7</v>
      </c>
      <c r="AX207">
        <v>7</v>
      </c>
      <c r="AY207">
        <v>14</v>
      </c>
      <c r="BB207">
        <v>3</v>
      </c>
      <c r="BC207">
        <v>4</v>
      </c>
      <c r="BD207">
        <v>7</v>
      </c>
      <c r="BF207">
        <v>4</v>
      </c>
      <c r="BG207">
        <v>3</v>
      </c>
      <c r="BH207">
        <v>7</v>
      </c>
      <c r="BJ207">
        <v>10</v>
      </c>
      <c r="BK207">
        <v>11</v>
      </c>
      <c r="BL207">
        <v>21</v>
      </c>
      <c r="BP207">
        <v>9</v>
      </c>
      <c r="BQ207">
        <v>9</v>
      </c>
      <c r="BR207">
        <v>18</v>
      </c>
      <c r="BV207" t="s">
        <v>839</v>
      </c>
      <c r="BW207" t="s">
        <v>759</v>
      </c>
      <c r="BX207" t="s">
        <v>839</v>
      </c>
      <c r="BY207" t="s">
        <v>759</v>
      </c>
      <c r="BZ207" t="s">
        <v>839</v>
      </c>
      <c r="CA207" t="s">
        <v>839</v>
      </c>
      <c r="CC207" t="s">
        <v>839</v>
      </c>
      <c r="CD207" t="s">
        <v>855</v>
      </c>
      <c r="CG207">
        <v>12</v>
      </c>
      <c r="CH207">
        <v>6</v>
      </c>
      <c r="CI207">
        <v>6</v>
      </c>
      <c r="CJ207">
        <v>0</v>
      </c>
      <c r="CK207" t="s">
        <v>993</v>
      </c>
      <c r="CM207" t="s">
        <v>844</v>
      </c>
      <c r="CN207">
        <v>1</v>
      </c>
      <c r="CO207">
        <v>0</v>
      </c>
      <c r="CP207">
        <v>0</v>
      </c>
      <c r="CQ207">
        <v>0</v>
      </c>
      <c r="CR207">
        <v>0</v>
      </c>
      <c r="CS207">
        <v>0</v>
      </c>
      <c r="CU207" t="s">
        <v>1992</v>
      </c>
      <c r="CV207">
        <v>1</v>
      </c>
      <c r="CW207">
        <v>0</v>
      </c>
      <c r="CX207">
        <v>1</v>
      </c>
      <c r="CY207">
        <v>1</v>
      </c>
      <c r="CZ207">
        <v>1</v>
      </c>
      <c r="DA207">
        <v>0</v>
      </c>
      <c r="DB207">
        <v>1</v>
      </c>
      <c r="DC207">
        <v>0</v>
      </c>
      <c r="DD207">
        <v>1</v>
      </c>
      <c r="DE207">
        <v>1</v>
      </c>
      <c r="DF207">
        <v>0</v>
      </c>
      <c r="DJ207">
        <v>10</v>
      </c>
      <c r="DK207">
        <v>12</v>
      </c>
      <c r="DL207">
        <v>22</v>
      </c>
      <c r="DN207">
        <v>300</v>
      </c>
      <c r="DP207">
        <v>1000</v>
      </c>
      <c r="DR207" t="s">
        <v>937</v>
      </c>
      <c r="DS207">
        <v>1</v>
      </c>
      <c r="DT207">
        <v>0</v>
      </c>
      <c r="DU207">
        <v>0</v>
      </c>
      <c r="DV207">
        <v>0</v>
      </c>
      <c r="DW207">
        <v>0</v>
      </c>
      <c r="DX207">
        <v>0</v>
      </c>
      <c r="DY207">
        <v>0</v>
      </c>
      <c r="DZ207">
        <v>0</v>
      </c>
      <c r="EA207">
        <v>0</v>
      </c>
      <c r="EC207" t="s">
        <v>839</v>
      </c>
      <c r="ED207" t="s">
        <v>847</v>
      </c>
      <c r="EE207" t="s">
        <v>900</v>
      </c>
      <c r="EI207">
        <v>217</v>
      </c>
      <c r="EJ207" t="s">
        <v>841</v>
      </c>
      <c r="EM207" t="s">
        <v>841</v>
      </c>
      <c r="EO207">
        <v>237</v>
      </c>
      <c r="ES207" t="s">
        <v>841</v>
      </c>
      <c r="EU207">
        <v>303</v>
      </c>
      <c r="EY207" t="s">
        <v>841</v>
      </c>
      <c r="FA207">
        <v>7</v>
      </c>
      <c r="FB207" t="s">
        <v>841</v>
      </c>
      <c r="FG207">
        <v>6</v>
      </c>
      <c r="FH207" t="s">
        <v>841</v>
      </c>
      <c r="FM207">
        <v>300</v>
      </c>
      <c r="FO207">
        <v>0</v>
      </c>
      <c r="FP207">
        <v>0</v>
      </c>
      <c r="FQ207">
        <v>0</v>
      </c>
      <c r="FS207" t="s">
        <v>842</v>
      </c>
      <c r="FT207" t="s">
        <v>842</v>
      </c>
      <c r="FU207" t="s">
        <v>839</v>
      </c>
      <c r="FV207" t="s">
        <v>839</v>
      </c>
      <c r="FW207" t="s">
        <v>842</v>
      </c>
      <c r="FY207" t="s">
        <v>842</v>
      </c>
      <c r="FZ207" t="s">
        <v>842</v>
      </c>
      <c r="GA207" t="s">
        <v>839</v>
      </c>
      <c r="GB207" t="s">
        <v>842</v>
      </c>
      <c r="GC207" t="s">
        <v>839</v>
      </c>
      <c r="GD207" t="s">
        <v>839</v>
      </c>
      <c r="GE207" t="s">
        <v>881</v>
      </c>
      <c r="GG207" t="s">
        <v>842</v>
      </c>
      <c r="GI207" t="s">
        <v>1645</v>
      </c>
      <c r="GJ207">
        <v>0</v>
      </c>
      <c r="GK207">
        <v>0</v>
      </c>
      <c r="GL207">
        <v>0</v>
      </c>
      <c r="GM207">
        <v>0</v>
      </c>
      <c r="GN207">
        <v>0</v>
      </c>
      <c r="GO207">
        <v>0</v>
      </c>
      <c r="GP207">
        <v>0</v>
      </c>
      <c r="GQ207">
        <v>1</v>
      </c>
      <c r="GR207">
        <v>0</v>
      </c>
      <c r="GS207">
        <v>0</v>
      </c>
      <c r="GT207">
        <v>0</v>
      </c>
      <c r="GU207">
        <v>0</v>
      </c>
      <c r="GV207">
        <v>0</v>
      </c>
      <c r="GW207">
        <v>1</v>
      </c>
      <c r="GX207">
        <v>0</v>
      </c>
      <c r="GY207">
        <v>0</v>
      </c>
      <c r="GZ207">
        <v>0</v>
      </c>
      <c r="HB207" t="s">
        <v>842</v>
      </c>
      <c r="HC207" t="s">
        <v>2120</v>
      </c>
    </row>
    <row r="208" spans="1:211" ht="14.5" customHeight="1" x14ac:dyDescent="0.35">
      <c r="A208" t="s">
        <v>2121</v>
      </c>
      <c r="B208" s="151">
        <v>45580.464814814812</v>
      </c>
      <c r="C208" t="s">
        <v>2122</v>
      </c>
      <c r="D208" t="s">
        <v>2123</v>
      </c>
      <c r="E208" t="s">
        <v>875</v>
      </c>
      <c r="F208" t="s">
        <v>2124</v>
      </c>
      <c r="G208" t="s">
        <v>2124</v>
      </c>
      <c r="H208" t="s">
        <v>839</v>
      </c>
      <c r="I208" t="s">
        <v>838</v>
      </c>
      <c r="K208" t="s">
        <v>839</v>
      </c>
      <c r="L208" t="s">
        <v>887</v>
      </c>
      <c r="O208">
        <v>235</v>
      </c>
      <c r="P208">
        <v>200</v>
      </c>
      <c r="Q208">
        <v>435</v>
      </c>
      <c r="S208" t="s">
        <v>841</v>
      </c>
      <c r="T208" t="s">
        <v>841</v>
      </c>
      <c r="U208" t="s">
        <v>841</v>
      </c>
      <c r="V208" t="s">
        <v>841</v>
      </c>
      <c r="W208" t="s">
        <v>841</v>
      </c>
      <c r="X208" t="s">
        <v>841</v>
      </c>
      <c r="Z208" t="s">
        <v>841</v>
      </c>
      <c r="AA208" t="s">
        <v>841</v>
      </c>
      <c r="AB208" t="s">
        <v>841</v>
      </c>
      <c r="AC208" t="s">
        <v>841</v>
      </c>
      <c r="AD208" t="s">
        <v>841</v>
      </c>
      <c r="AE208" t="s">
        <v>841</v>
      </c>
      <c r="AI208">
        <v>1</v>
      </c>
      <c r="AJ208">
        <v>1</v>
      </c>
      <c r="AK208">
        <v>1</v>
      </c>
      <c r="AL208">
        <v>1</v>
      </c>
      <c r="AM208">
        <v>1</v>
      </c>
      <c r="AN208">
        <v>2</v>
      </c>
      <c r="AO208">
        <v>1</v>
      </c>
      <c r="AP208">
        <v>1</v>
      </c>
      <c r="AQ208">
        <v>1</v>
      </c>
      <c r="AR208">
        <v>1</v>
      </c>
      <c r="AS208">
        <v>1</v>
      </c>
      <c r="AT208">
        <v>1</v>
      </c>
      <c r="BJ208">
        <v>7</v>
      </c>
      <c r="BK208">
        <v>12</v>
      </c>
      <c r="BL208">
        <v>24</v>
      </c>
      <c r="BV208" t="s">
        <v>839</v>
      </c>
      <c r="BW208" t="s">
        <v>758</v>
      </c>
      <c r="BX208" t="s">
        <v>839</v>
      </c>
      <c r="BY208" t="s">
        <v>759</v>
      </c>
      <c r="BZ208" t="s">
        <v>839</v>
      </c>
      <c r="CA208" t="s">
        <v>839</v>
      </c>
      <c r="CC208" t="s">
        <v>839</v>
      </c>
      <c r="CD208" t="s">
        <v>855</v>
      </c>
      <c r="CG208">
        <v>12</v>
      </c>
      <c r="CH208">
        <v>6</v>
      </c>
      <c r="CI208">
        <v>6</v>
      </c>
      <c r="CJ208">
        <v>0</v>
      </c>
      <c r="CK208" t="s">
        <v>877</v>
      </c>
      <c r="CM208" t="s">
        <v>844</v>
      </c>
      <c r="CN208">
        <v>1</v>
      </c>
      <c r="CO208">
        <v>0</v>
      </c>
      <c r="CP208">
        <v>0</v>
      </c>
      <c r="CQ208">
        <v>0</v>
      </c>
      <c r="CR208">
        <v>0</v>
      </c>
      <c r="CS208">
        <v>0</v>
      </c>
      <c r="CU208" t="s">
        <v>845</v>
      </c>
      <c r="CV208">
        <v>0</v>
      </c>
      <c r="CW208">
        <v>0</v>
      </c>
      <c r="CX208">
        <v>0</v>
      </c>
      <c r="CY208">
        <v>1</v>
      </c>
      <c r="CZ208">
        <v>0</v>
      </c>
      <c r="DA208">
        <v>0</v>
      </c>
      <c r="DB208">
        <v>0</v>
      </c>
      <c r="DC208">
        <v>0</v>
      </c>
      <c r="DD208">
        <v>0</v>
      </c>
      <c r="DE208">
        <v>0</v>
      </c>
      <c r="DF208">
        <v>0</v>
      </c>
      <c r="DJ208">
        <v>8</v>
      </c>
      <c r="DK208">
        <v>9</v>
      </c>
      <c r="DL208">
        <v>17</v>
      </c>
      <c r="DN208">
        <v>600</v>
      </c>
      <c r="DP208">
        <v>1500</v>
      </c>
      <c r="DR208" t="s">
        <v>937</v>
      </c>
      <c r="DS208">
        <v>1</v>
      </c>
      <c r="DT208">
        <v>0</v>
      </c>
      <c r="DU208">
        <v>0</v>
      </c>
      <c r="DV208">
        <v>0</v>
      </c>
      <c r="DW208">
        <v>0</v>
      </c>
      <c r="DX208">
        <v>0</v>
      </c>
      <c r="DY208">
        <v>0</v>
      </c>
      <c r="DZ208">
        <v>0</v>
      </c>
      <c r="EA208">
        <v>0</v>
      </c>
      <c r="EC208" t="s">
        <v>839</v>
      </c>
      <c r="ED208" t="s">
        <v>957</v>
      </c>
      <c r="EE208" t="s">
        <v>848</v>
      </c>
      <c r="EN208" t="s">
        <v>841</v>
      </c>
      <c r="ET208" t="s">
        <v>841</v>
      </c>
      <c r="EZ208" t="s">
        <v>841</v>
      </c>
      <c r="FA208">
        <v>5</v>
      </c>
      <c r="FB208" t="s">
        <v>841</v>
      </c>
      <c r="FL208" t="s">
        <v>841</v>
      </c>
      <c r="FM208">
        <v>25</v>
      </c>
      <c r="FO208">
        <v>0</v>
      </c>
      <c r="FP208">
        <v>0</v>
      </c>
      <c r="FQ208">
        <v>0</v>
      </c>
      <c r="FS208" t="s">
        <v>842</v>
      </c>
      <c r="FT208" t="s">
        <v>839</v>
      </c>
      <c r="FU208" t="s">
        <v>839</v>
      </c>
      <c r="FV208" t="s">
        <v>839</v>
      </c>
      <c r="FW208" t="s">
        <v>839</v>
      </c>
      <c r="FX208" t="s">
        <v>880</v>
      </c>
      <c r="FY208" t="s">
        <v>839</v>
      </c>
      <c r="FZ208" t="s">
        <v>839</v>
      </c>
      <c r="GA208" t="s">
        <v>839</v>
      </c>
      <c r="GB208" t="s">
        <v>839</v>
      </c>
      <c r="GC208" t="s">
        <v>842</v>
      </c>
      <c r="GD208" t="s">
        <v>839</v>
      </c>
      <c r="GE208" t="s">
        <v>1049</v>
      </c>
      <c r="GG208" t="s">
        <v>668</v>
      </c>
      <c r="GI208" t="s">
        <v>849</v>
      </c>
      <c r="GJ208">
        <v>1</v>
      </c>
      <c r="GK208">
        <v>0</v>
      </c>
      <c r="GL208">
        <v>0</v>
      </c>
      <c r="GM208">
        <v>0</v>
      </c>
      <c r="GN208">
        <v>0</v>
      </c>
      <c r="GO208">
        <v>0</v>
      </c>
      <c r="GP208">
        <v>0</v>
      </c>
      <c r="GQ208">
        <v>0</v>
      </c>
      <c r="GR208">
        <v>0</v>
      </c>
      <c r="GS208">
        <v>0</v>
      </c>
      <c r="GT208">
        <v>0</v>
      </c>
      <c r="GU208">
        <v>0</v>
      </c>
      <c r="GV208">
        <v>0</v>
      </c>
      <c r="GW208">
        <v>0</v>
      </c>
      <c r="GX208">
        <v>0</v>
      </c>
      <c r="GY208">
        <v>0</v>
      </c>
      <c r="GZ208">
        <v>0</v>
      </c>
      <c r="HB208" t="s">
        <v>842</v>
      </c>
      <c r="HC208" s="155" t="s">
        <v>2125</v>
      </c>
    </row>
    <row r="209" spans="1:211" x14ac:dyDescent="0.35">
      <c r="A209" t="s">
        <v>2126</v>
      </c>
      <c r="B209" s="154">
        <v>45637.3437962963</v>
      </c>
      <c r="C209" t="s">
        <v>2127</v>
      </c>
      <c r="D209" t="s">
        <v>2128</v>
      </c>
      <c r="E209" t="s">
        <v>835</v>
      </c>
      <c r="F209" t="s">
        <v>2129</v>
      </c>
      <c r="G209" t="s">
        <v>2129</v>
      </c>
      <c r="H209" t="s">
        <v>839</v>
      </c>
      <c r="I209" t="s">
        <v>838</v>
      </c>
      <c r="K209" t="s">
        <v>839</v>
      </c>
      <c r="L209" t="s">
        <v>897</v>
      </c>
      <c r="O209">
        <v>134</v>
      </c>
      <c r="P209">
        <v>116</v>
      </c>
      <c r="Q209">
        <v>250</v>
      </c>
      <c r="T209" t="s">
        <v>841</v>
      </c>
      <c r="U209" t="s">
        <v>841</v>
      </c>
      <c r="V209" t="s">
        <v>841</v>
      </c>
      <c r="W209" t="s">
        <v>841</v>
      </c>
      <c r="X209" t="s">
        <v>841</v>
      </c>
      <c r="Y209" t="s">
        <v>841</v>
      </c>
      <c r="Z209" t="s">
        <v>841</v>
      </c>
      <c r="AA209" t="s">
        <v>841</v>
      </c>
      <c r="AB209" t="s">
        <v>841</v>
      </c>
      <c r="AC209" t="s">
        <v>841</v>
      </c>
      <c r="AD209" t="s">
        <v>841</v>
      </c>
      <c r="AE209" t="s">
        <v>841</v>
      </c>
      <c r="AF209" t="s">
        <v>841</v>
      </c>
      <c r="AI209">
        <v>1</v>
      </c>
      <c r="AJ209">
        <v>1</v>
      </c>
      <c r="AK209">
        <v>1</v>
      </c>
      <c r="AL209">
        <v>1</v>
      </c>
      <c r="AM209">
        <v>1</v>
      </c>
      <c r="AN209">
        <v>1</v>
      </c>
      <c r="AO209">
        <v>1</v>
      </c>
      <c r="AP209">
        <v>1</v>
      </c>
      <c r="AQ209">
        <v>1</v>
      </c>
      <c r="AR209">
        <v>1</v>
      </c>
      <c r="AS209">
        <v>1</v>
      </c>
      <c r="AT209">
        <v>1</v>
      </c>
      <c r="AU209">
        <v>1</v>
      </c>
      <c r="AW209">
        <v>3</v>
      </c>
      <c r="AX209">
        <v>1</v>
      </c>
      <c r="AY209">
        <v>4</v>
      </c>
      <c r="BB209">
        <v>1</v>
      </c>
      <c r="BD209">
        <v>1</v>
      </c>
      <c r="BH209">
        <v>0</v>
      </c>
      <c r="BJ209">
        <v>14</v>
      </c>
      <c r="BK209">
        <v>9</v>
      </c>
      <c r="BL209">
        <v>23</v>
      </c>
      <c r="BP209">
        <v>3</v>
      </c>
      <c r="BQ209">
        <v>1</v>
      </c>
      <c r="BR209">
        <v>4</v>
      </c>
      <c r="BV209" t="s">
        <v>842</v>
      </c>
      <c r="BX209" t="s">
        <v>839</v>
      </c>
      <c r="BY209" t="s">
        <v>759</v>
      </c>
      <c r="BZ209" t="s">
        <v>839</v>
      </c>
      <c r="CA209" t="s">
        <v>839</v>
      </c>
      <c r="CC209" t="s">
        <v>839</v>
      </c>
      <c r="CD209" t="s">
        <v>855</v>
      </c>
      <c r="CG209">
        <v>12</v>
      </c>
      <c r="CH209">
        <v>5</v>
      </c>
      <c r="CI209">
        <v>5</v>
      </c>
      <c r="CJ209">
        <v>2</v>
      </c>
      <c r="CK209" t="s">
        <v>877</v>
      </c>
      <c r="CM209" t="s">
        <v>844</v>
      </c>
      <c r="CN209">
        <v>1</v>
      </c>
      <c r="CO209">
        <v>0</v>
      </c>
      <c r="CP209">
        <v>0</v>
      </c>
      <c r="CQ209">
        <v>0</v>
      </c>
      <c r="CR209">
        <v>0</v>
      </c>
      <c r="CS209">
        <v>0</v>
      </c>
      <c r="CU209" t="s">
        <v>2130</v>
      </c>
      <c r="CV209">
        <v>1</v>
      </c>
      <c r="CW209">
        <v>1</v>
      </c>
      <c r="CX209">
        <v>1</v>
      </c>
      <c r="CY209">
        <v>1</v>
      </c>
      <c r="CZ209">
        <v>0</v>
      </c>
      <c r="DA209">
        <v>0</v>
      </c>
      <c r="DB209">
        <v>0</v>
      </c>
      <c r="DC209">
        <v>0</v>
      </c>
      <c r="DD209">
        <v>1</v>
      </c>
      <c r="DE209">
        <v>0</v>
      </c>
      <c r="DF209">
        <v>0</v>
      </c>
      <c r="DJ209">
        <v>6</v>
      </c>
      <c r="DK209">
        <v>13</v>
      </c>
      <c r="DL209">
        <v>19</v>
      </c>
      <c r="DN209">
        <v>300</v>
      </c>
      <c r="DP209">
        <v>700</v>
      </c>
      <c r="DR209" t="s">
        <v>1236</v>
      </c>
      <c r="DS209">
        <v>0</v>
      </c>
      <c r="DT209">
        <v>0</v>
      </c>
      <c r="DU209">
        <v>1</v>
      </c>
      <c r="DV209">
        <v>0</v>
      </c>
      <c r="DW209">
        <v>0</v>
      </c>
      <c r="DX209">
        <v>1</v>
      </c>
      <c r="DY209">
        <v>0</v>
      </c>
      <c r="DZ209">
        <v>0</v>
      </c>
      <c r="EA209">
        <v>0</v>
      </c>
      <c r="EC209" t="s">
        <v>839</v>
      </c>
      <c r="ED209" t="s">
        <v>1354</v>
      </c>
      <c r="EE209" t="s">
        <v>848</v>
      </c>
      <c r="EI209">
        <v>280</v>
      </c>
      <c r="EM209" t="s">
        <v>841</v>
      </c>
      <c r="EO209">
        <v>300</v>
      </c>
      <c r="ES209" t="s">
        <v>841</v>
      </c>
      <c r="EU209">
        <v>500</v>
      </c>
      <c r="EY209" t="s">
        <v>841</v>
      </c>
      <c r="FF209" t="s">
        <v>841</v>
      </c>
      <c r="FL209" t="s">
        <v>841</v>
      </c>
      <c r="FM209">
        <v>25</v>
      </c>
      <c r="FO209">
        <v>0</v>
      </c>
      <c r="FP209">
        <v>0</v>
      </c>
      <c r="FQ209">
        <v>0</v>
      </c>
      <c r="FS209" t="s">
        <v>842</v>
      </c>
      <c r="FT209" t="s">
        <v>842</v>
      </c>
      <c r="FU209" t="s">
        <v>839</v>
      </c>
      <c r="FV209" t="s">
        <v>839</v>
      </c>
      <c r="FW209" t="s">
        <v>842</v>
      </c>
      <c r="FY209" t="s">
        <v>842</v>
      </c>
      <c r="FZ209" t="s">
        <v>842</v>
      </c>
      <c r="GA209" t="s">
        <v>839</v>
      </c>
      <c r="GB209" t="s">
        <v>842</v>
      </c>
      <c r="GC209" t="s">
        <v>842</v>
      </c>
      <c r="GD209" t="s">
        <v>842</v>
      </c>
      <c r="GG209" t="s">
        <v>842</v>
      </c>
      <c r="GI209" t="s">
        <v>1196</v>
      </c>
      <c r="GJ209">
        <v>0</v>
      </c>
      <c r="GK209">
        <v>0</v>
      </c>
      <c r="GL209">
        <v>0</v>
      </c>
      <c r="GM209">
        <v>0</v>
      </c>
      <c r="GN209">
        <v>0</v>
      </c>
      <c r="GO209">
        <v>1</v>
      </c>
      <c r="GP209">
        <v>0</v>
      </c>
      <c r="GQ209">
        <v>0</v>
      </c>
      <c r="GR209">
        <v>0</v>
      </c>
      <c r="GS209">
        <v>0</v>
      </c>
      <c r="GT209">
        <v>0</v>
      </c>
      <c r="GU209">
        <v>0</v>
      </c>
      <c r="GV209">
        <v>0</v>
      </c>
      <c r="GW209">
        <v>0</v>
      </c>
      <c r="GX209">
        <v>0</v>
      </c>
      <c r="GY209">
        <v>0</v>
      </c>
      <c r="GZ209">
        <v>0</v>
      </c>
      <c r="HB209" t="s">
        <v>839</v>
      </c>
    </row>
    <row r="210" spans="1:211" x14ac:dyDescent="0.35">
      <c r="A210" t="s">
        <v>2131</v>
      </c>
      <c r="B210" s="154">
        <v>45637.354733796303</v>
      </c>
      <c r="C210" t="s">
        <v>2132</v>
      </c>
      <c r="D210" t="s">
        <v>2133</v>
      </c>
      <c r="E210" t="s">
        <v>835</v>
      </c>
      <c r="F210" t="s">
        <v>2134</v>
      </c>
      <c r="G210" t="s">
        <v>2134</v>
      </c>
      <c r="H210" t="s">
        <v>839</v>
      </c>
      <c r="I210" t="s">
        <v>896</v>
      </c>
      <c r="K210" t="s">
        <v>839</v>
      </c>
      <c r="L210" t="s">
        <v>887</v>
      </c>
      <c r="O210">
        <v>131</v>
      </c>
      <c r="P210">
        <v>129</v>
      </c>
      <c r="Q210">
        <v>260</v>
      </c>
      <c r="S210" t="s">
        <v>841</v>
      </c>
      <c r="T210" t="s">
        <v>841</v>
      </c>
      <c r="U210" t="s">
        <v>841</v>
      </c>
      <c r="V210" t="s">
        <v>841</v>
      </c>
      <c r="W210" t="s">
        <v>841</v>
      </c>
      <c r="X210" t="s">
        <v>841</v>
      </c>
      <c r="Y210" t="s">
        <v>841</v>
      </c>
      <c r="Z210" t="s">
        <v>841</v>
      </c>
      <c r="AA210" t="s">
        <v>841</v>
      </c>
      <c r="AB210" t="s">
        <v>841</v>
      </c>
      <c r="AH210">
        <v>1</v>
      </c>
      <c r="AI210">
        <v>1</v>
      </c>
      <c r="AJ210">
        <v>2</v>
      </c>
      <c r="AK210">
        <v>1</v>
      </c>
      <c r="AL210">
        <v>2</v>
      </c>
      <c r="AM210">
        <v>2</v>
      </c>
      <c r="AN210">
        <v>1</v>
      </c>
      <c r="AO210">
        <v>1</v>
      </c>
      <c r="AP210">
        <v>1</v>
      </c>
      <c r="AQ210">
        <v>1</v>
      </c>
      <c r="AZ210" t="s">
        <v>841</v>
      </c>
      <c r="BM210" t="s">
        <v>841</v>
      </c>
      <c r="BS210" t="s">
        <v>841</v>
      </c>
      <c r="BV210" t="s">
        <v>839</v>
      </c>
      <c r="BW210" t="s">
        <v>950</v>
      </c>
      <c r="BX210" t="s">
        <v>839</v>
      </c>
      <c r="BY210" t="s">
        <v>950</v>
      </c>
      <c r="BZ210" t="s">
        <v>839</v>
      </c>
      <c r="CA210" t="s">
        <v>839</v>
      </c>
      <c r="CC210" t="s">
        <v>839</v>
      </c>
      <c r="CD210" t="s">
        <v>855</v>
      </c>
      <c r="CG210">
        <v>6</v>
      </c>
      <c r="CH210">
        <v>3</v>
      </c>
      <c r="CI210">
        <v>3</v>
      </c>
      <c r="CJ210">
        <v>0</v>
      </c>
      <c r="CK210" t="s">
        <v>856</v>
      </c>
      <c r="CM210" t="s">
        <v>844</v>
      </c>
      <c r="CN210">
        <v>1</v>
      </c>
      <c r="CO210">
        <v>0</v>
      </c>
      <c r="CP210">
        <v>0</v>
      </c>
      <c r="CQ210">
        <v>0</v>
      </c>
      <c r="CR210">
        <v>0</v>
      </c>
      <c r="CS210">
        <v>0</v>
      </c>
      <c r="CU210" t="s">
        <v>868</v>
      </c>
      <c r="CV210">
        <v>1</v>
      </c>
      <c r="CW210">
        <v>0</v>
      </c>
      <c r="CX210">
        <v>1</v>
      </c>
      <c r="CY210">
        <v>0</v>
      </c>
      <c r="CZ210">
        <v>0</v>
      </c>
      <c r="DA210">
        <v>0</v>
      </c>
      <c r="DB210">
        <v>0</v>
      </c>
      <c r="DC210">
        <v>0</v>
      </c>
      <c r="DD210">
        <v>1</v>
      </c>
      <c r="DE210">
        <v>1</v>
      </c>
      <c r="DF210">
        <v>0</v>
      </c>
      <c r="DJ210">
        <v>7</v>
      </c>
      <c r="DK210">
        <v>10</v>
      </c>
      <c r="DL210">
        <v>17</v>
      </c>
      <c r="DN210">
        <v>500</v>
      </c>
      <c r="DP210">
        <v>850</v>
      </c>
      <c r="DR210" t="s">
        <v>1181</v>
      </c>
      <c r="DS210">
        <v>1</v>
      </c>
      <c r="DT210">
        <v>0</v>
      </c>
      <c r="DU210">
        <v>1</v>
      </c>
      <c r="DV210">
        <v>0</v>
      </c>
      <c r="DW210">
        <v>1</v>
      </c>
      <c r="DX210">
        <v>0</v>
      </c>
      <c r="DY210">
        <v>0</v>
      </c>
      <c r="DZ210">
        <v>0</v>
      </c>
      <c r="EA210">
        <v>0</v>
      </c>
      <c r="EC210" t="s">
        <v>839</v>
      </c>
      <c r="ED210" t="s">
        <v>869</v>
      </c>
      <c r="EE210" t="s">
        <v>848</v>
      </c>
      <c r="EI210">
        <v>700</v>
      </c>
      <c r="EM210" t="s">
        <v>841</v>
      </c>
      <c r="EO210">
        <v>690</v>
      </c>
      <c r="ES210" t="s">
        <v>841</v>
      </c>
      <c r="EZ210" t="s">
        <v>841</v>
      </c>
      <c r="FA210">
        <v>8</v>
      </c>
      <c r="FB210" t="s">
        <v>841</v>
      </c>
      <c r="FG210">
        <v>7</v>
      </c>
      <c r="FH210" t="s">
        <v>841</v>
      </c>
      <c r="FM210">
        <v>50</v>
      </c>
      <c r="FO210">
        <v>7</v>
      </c>
      <c r="FP210">
        <v>8</v>
      </c>
      <c r="FQ210">
        <v>15</v>
      </c>
      <c r="FS210" t="s">
        <v>842</v>
      </c>
      <c r="FT210" t="s">
        <v>842</v>
      </c>
      <c r="FU210" t="s">
        <v>839</v>
      </c>
      <c r="FV210" t="s">
        <v>839</v>
      </c>
      <c r="FW210" t="s">
        <v>839</v>
      </c>
      <c r="FX210" t="s">
        <v>910</v>
      </c>
      <c r="FY210" t="s">
        <v>839</v>
      </c>
      <c r="FZ210" t="s">
        <v>839</v>
      </c>
      <c r="GA210" t="s">
        <v>839</v>
      </c>
      <c r="GB210" t="s">
        <v>842</v>
      </c>
      <c r="GC210" t="s">
        <v>842</v>
      </c>
      <c r="GD210" t="s">
        <v>839</v>
      </c>
      <c r="GE210" t="s">
        <v>881</v>
      </c>
      <c r="GG210" t="s">
        <v>842</v>
      </c>
      <c r="GI210" t="s">
        <v>1025</v>
      </c>
      <c r="GJ210">
        <v>1</v>
      </c>
      <c r="GK210">
        <v>0</v>
      </c>
      <c r="GL210">
        <v>0</v>
      </c>
      <c r="GM210">
        <v>0</v>
      </c>
      <c r="GN210">
        <v>0</v>
      </c>
      <c r="GO210">
        <v>1</v>
      </c>
      <c r="GP210">
        <v>0</v>
      </c>
      <c r="GQ210">
        <v>0</v>
      </c>
      <c r="GR210">
        <v>0</v>
      </c>
      <c r="GS210">
        <v>0</v>
      </c>
      <c r="GT210">
        <v>0</v>
      </c>
      <c r="GU210">
        <v>0</v>
      </c>
      <c r="GV210">
        <v>0</v>
      </c>
      <c r="GW210">
        <v>0</v>
      </c>
      <c r="GX210">
        <v>0</v>
      </c>
      <c r="GY210">
        <v>0</v>
      </c>
      <c r="GZ210">
        <v>0</v>
      </c>
      <c r="HB210" t="s">
        <v>839</v>
      </c>
    </row>
    <row r="211" spans="1:211" x14ac:dyDescent="0.35">
      <c r="A211" t="s">
        <v>2135</v>
      </c>
      <c r="B211" s="154">
        <v>45637.361331018517</v>
      </c>
      <c r="C211" t="s">
        <v>2136</v>
      </c>
      <c r="D211" t="s">
        <v>2137</v>
      </c>
      <c r="E211" t="s">
        <v>835</v>
      </c>
      <c r="F211" t="s">
        <v>2138</v>
      </c>
      <c r="G211" t="s">
        <v>2138</v>
      </c>
      <c r="H211" t="s">
        <v>839</v>
      </c>
      <c r="I211" t="s">
        <v>838</v>
      </c>
      <c r="K211" t="s">
        <v>839</v>
      </c>
      <c r="L211" t="s">
        <v>897</v>
      </c>
      <c r="O211">
        <v>102</v>
      </c>
      <c r="P211">
        <v>98</v>
      </c>
      <c r="Q211">
        <v>200</v>
      </c>
      <c r="S211" t="s">
        <v>841</v>
      </c>
      <c r="T211" t="s">
        <v>841</v>
      </c>
      <c r="U211" t="s">
        <v>841</v>
      </c>
      <c r="V211" t="s">
        <v>841</v>
      </c>
      <c r="W211" t="s">
        <v>841</v>
      </c>
      <c r="X211" t="s">
        <v>841</v>
      </c>
      <c r="Y211" t="s">
        <v>841</v>
      </c>
      <c r="Z211" t="s">
        <v>841</v>
      </c>
      <c r="AH211">
        <v>1</v>
      </c>
      <c r="AI211">
        <v>1</v>
      </c>
      <c r="AJ211">
        <v>1</v>
      </c>
      <c r="AK211">
        <v>1</v>
      </c>
      <c r="AL211">
        <v>1</v>
      </c>
      <c r="AM211">
        <v>1</v>
      </c>
      <c r="AN211">
        <v>1</v>
      </c>
      <c r="AO211">
        <v>1</v>
      </c>
      <c r="AZ211" t="s">
        <v>841</v>
      </c>
      <c r="BM211" t="s">
        <v>841</v>
      </c>
      <c r="BS211" t="s">
        <v>841</v>
      </c>
      <c r="BV211" t="s">
        <v>839</v>
      </c>
      <c r="BW211" t="s">
        <v>758</v>
      </c>
      <c r="BX211" t="s">
        <v>839</v>
      </c>
      <c r="BY211" t="s">
        <v>759</v>
      </c>
      <c r="BZ211" t="s">
        <v>839</v>
      </c>
      <c r="CA211" t="s">
        <v>839</v>
      </c>
      <c r="CC211" t="s">
        <v>839</v>
      </c>
      <c r="CD211" t="s">
        <v>855</v>
      </c>
      <c r="CG211">
        <v>4</v>
      </c>
      <c r="CH211">
        <v>2</v>
      </c>
      <c r="CI211">
        <v>2</v>
      </c>
      <c r="CJ211">
        <v>0</v>
      </c>
      <c r="CK211" t="s">
        <v>877</v>
      </c>
      <c r="CM211" t="s">
        <v>844</v>
      </c>
      <c r="CN211">
        <v>1</v>
      </c>
      <c r="CO211">
        <v>0</v>
      </c>
      <c r="CP211">
        <v>0</v>
      </c>
      <c r="CQ211">
        <v>0</v>
      </c>
      <c r="CR211">
        <v>0</v>
      </c>
      <c r="CS211">
        <v>0</v>
      </c>
      <c r="CU211" t="s">
        <v>1340</v>
      </c>
      <c r="CV211">
        <v>1</v>
      </c>
      <c r="CW211">
        <v>0</v>
      </c>
      <c r="CX211">
        <v>1</v>
      </c>
      <c r="CY211">
        <v>0</v>
      </c>
      <c r="CZ211">
        <v>0</v>
      </c>
      <c r="DA211">
        <v>0</v>
      </c>
      <c r="DB211">
        <v>0</v>
      </c>
      <c r="DC211">
        <v>1</v>
      </c>
      <c r="DD211">
        <v>1</v>
      </c>
      <c r="DE211">
        <v>1</v>
      </c>
      <c r="DF211">
        <v>0</v>
      </c>
      <c r="DJ211">
        <v>1</v>
      </c>
      <c r="DK211">
        <v>11</v>
      </c>
      <c r="DL211">
        <v>12</v>
      </c>
      <c r="DN211">
        <v>400</v>
      </c>
      <c r="DP211">
        <v>800</v>
      </c>
      <c r="DR211" t="s">
        <v>2139</v>
      </c>
      <c r="DS211">
        <v>1</v>
      </c>
      <c r="DT211">
        <v>0</v>
      </c>
      <c r="DU211">
        <v>0</v>
      </c>
      <c r="DV211">
        <v>1</v>
      </c>
      <c r="DW211">
        <v>0</v>
      </c>
      <c r="DX211">
        <v>1</v>
      </c>
      <c r="DY211">
        <v>0</v>
      </c>
      <c r="DZ211">
        <v>0</v>
      </c>
      <c r="EA211">
        <v>0</v>
      </c>
      <c r="EC211" t="s">
        <v>839</v>
      </c>
      <c r="ED211" t="s">
        <v>869</v>
      </c>
      <c r="EE211" t="s">
        <v>848</v>
      </c>
      <c r="EI211">
        <v>150</v>
      </c>
      <c r="EM211" t="s">
        <v>841</v>
      </c>
      <c r="EO211">
        <v>170</v>
      </c>
      <c r="ES211" t="s">
        <v>841</v>
      </c>
      <c r="EZ211" t="s">
        <v>841</v>
      </c>
      <c r="FA211">
        <v>6</v>
      </c>
      <c r="FB211" t="s">
        <v>841</v>
      </c>
      <c r="FG211">
        <v>4</v>
      </c>
      <c r="FH211" t="s">
        <v>841</v>
      </c>
      <c r="FM211">
        <v>30</v>
      </c>
      <c r="FO211">
        <v>2</v>
      </c>
      <c r="FP211">
        <v>2</v>
      </c>
      <c r="FQ211">
        <v>4</v>
      </c>
      <c r="FS211" t="s">
        <v>839</v>
      </c>
      <c r="FT211" t="s">
        <v>839</v>
      </c>
      <c r="FU211" t="s">
        <v>839</v>
      </c>
      <c r="FV211" t="s">
        <v>842</v>
      </c>
      <c r="FW211" t="s">
        <v>839</v>
      </c>
      <c r="FX211" t="s">
        <v>965</v>
      </c>
      <c r="FY211" t="s">
        <v>839</v>
      </c>
      <c r="FZ211" t="s">
        <v>839</v>
      </c>
      <c r="GA211" t="s">
        <v>842</v>
      </c>
      <c r="GB211" t="s">
        <v>839</v>
      </c>
      <c r="GC211" t="s">
        <v>839</v>
      </c>
      <c r="GD211" t="s">
        <v>839</v>
      </c>
      <c r="GE211" t="s">
        <v>929</v>
      </c>
      <c r="GG211" t="s">
        <v>842</v>
      </c>
      <c r="GI211" t="s">
        <v>849</v>
      </c>
      <c r="GJ211">
        <v>1</v>
      </c>
      <c r="GK211">
        <v>0</v>
      </c>
      <c r="GL211">
        <v>0</v>
      </c>
      <c r="GM211">
        <v>0</v>
      </c>
      <c r="GN211">
        <v>0</v>
      </c>
      <c r="GO211">
        <v>0</v>
      </c>
      <c r="GP211">
        <v>0</v>
      </c>
      <c r="GQ211">
        <v>0</v>
      </c>
      <c r="GR211">
        <v>0</v>
      </c>
      <c r="GS211">
        <v>0</v>
      </c>
      <c r="GT211">
        <v>0</v>
      </c>
      <c r="GU211">
        <v>0</v>
      </c>
      <c r="GV211">
        <v>0</v>
      </c>
      <c r="GW211">
        <v>0</v>
      </c>
      <c r="GX211">
        <v>0</v>
      </c>
      <c r="GY211">
        <v>0</v>
      </c>
      <c r="GZ211">
        <v>0</v>
      </c>
      <c r="HB211" t="s">
        <v>842</v>
      </c>
      <c r="HC211" t="s">
        <v>2140</v>
      </c>
    </row>
    <row r="212" spans="1:211" x14ac:dyDescent="0.35">
      <c r="A212" t="s">
        <v>2141</v>
      </c>
      <c r="B212" s="154">
        <v>45637.370509259257</v>
      </c>
      <c r="C212" t="s">
        <v>2142</v>
      </c>
      <c r="D212" t="s">
        <v>2143</v>
      </c>
      <c r="E212" t="s">
        <v>835</v>
      </c>
      <c r="F212" t="s">
        <v>2144</v>
      </c>
      <c r="G212" t="s">
        <v>2144</v>
      </c>
      <c r="H212" t="s">
        <v>839</v>
      </c>
      <c r="I212" t="s">
        <v>838</v>
      </c>
      <c r="K212" t="s">
        <v>839</v>
      </c>
      <c r="L212" t="s">
        <v>887</v>
      </c>
      <c r="O212">
        <v>104</v>
      </c>
      <c r="P212">
        <v>148</v>
      </c>
      <c r="Q212">
        <v>252</v>
      </c>
      <c r="S212" t="s">
        <v>841</v>
      </c>
      <c r="T212" t="s">
        <v>841</v>
      </c>
      <c r="U212" t="s">
        <v>841</v>
      </c>
      <c r="V212" t="s">
        <v>841</v>
      </c>
      <c r="W212" t="s">
        <v>841</v>
      </c>
      <c r="X212" t="s">
        <v>841</v>
      </c>
      <c r="Y212" t="s">
        <v>841</v>
      </c>
      <c r="Z212" t="s">
        <v>841</v>
      </c>
      <c r="AA212" t="s">
        <v>841</v>
      </c>
      <c r="AB212" t="s">
        <v>841</v>
      </c>
      <c r="AC212" t="s">
        <v>841</v>
      </c>
      <c r="AD212" t="s">
        <v>841</v>
      </c>
      <c r="AE212" t="s">
        <v>841</v>
      </c>
      <c r="AF212" t="s">
        <v>841</v>
      </c>
      <c r="AH212">
        <v>1</v>
      </c>
      <c r="AI212">
        <v>1</v>
      </c>
      <c r="AJ212">
        <v>1</v>
      </c>
      <c r="AK212">
        <v>1</v>
      </c>
      <c r="AL212">
        <v>1</v>
      </c>
      <c r="AM212">
        <v>1</v>
      </c>
      <c r="AN212">
        <v>1</v>
      </c>
      <c r="AO212">
        <v>1</v>
      </c>
      <c r="AP212">
        <v>1</v>
      </c>
      <c r="AQ212">
        <v>1</v>
      </c>
      <c r="AR212">
        <v>1</v>
      </c>
      <c r="AS212">
        <v>1</v>
      </c>
      <c r="AT212">
        <v>1</v>
      </c>
      <c r="AU212">
        <v>1</v>
      </c>
      <c r="AZ212" t="s">
        <v>841</v>
      </c>
      <c r="BJ212">
        <v>2</v>
      </c>
      <c r="BK212">
        <v>1</v>
      </c>
      <c r="BL212">
        <v>3</v>
      </c>
      <c r="BS212" t="s">
        <v>841</v>
      </c>
      <c r="BV212" t="s">
        <v>842</v>
      </c>
      <c r="BX212" t="s">
        <v>839</v>
      </c>
      <c r="BY212" t="s">
        <v>950</v>
      </c>
      <c r="BZ212" t="s">
        <v>839</v>
      </c>
      <c r="CA212" t="s">
        <v>839</v>
      </c>
      <c r="CC212" t="s">
        <v>839</v>
      </c>
      <c r="CD212" t="s">
        <v>855</v>
      </c>
      <c r="CG212">
        <v>6</v>
      </c>
      <c r="CH212">
        <v>3</v>
      </c>
      <c r="CI212">
        <v>3</v>
      </c>
      <c r="CJ212">
        <v>0</v>
      </c>
      <c r="CK212" t="s">
        <v>877</v>
      </c>
      <c r="CM212" t="s">
        <v>951</v>
      </c>
      <c r="CN212">
        <v>1</v>
      </c>
      <c r="CO212">
        <v>1</v>
      </c>
      <c r="CP212">
        <v>0</v>
      </c>
      <c r="CQ212">
        <v>0</v>
      </c>
      <c r="CR212">
        <v>0</v>
      </c>
      <c r="CS212">
        <v>0</v>
      </c>
      <c r="CU212" t="s">
        <v>1024</v>
      </c>
      <c r="CV212">
        <v>1</v>
      </c>
      <c r="CW212">
        <v>1</v>
      </c>
      <c r="CX212">
        <v>1</v>
      </c>
      <c r="CY212">
        <v>0</v>
      </c>
      <c r="CZ212">
        <v>0</v>
      </c>
      <c r="DA212">
        <v>0</v>
      </c>
      <c r="DB212">
        <v>0</v>
      </c>
      <c r="DC212">
        <v>0</v>
      </c>
      <c r="DD212">
        <v>1</v>
      </c>
      <c r="DE212">
        <v>1</v>
      </c>
      <c r="DF212">
        <v>0</v>
      </c>
      <c r="DJ212">
        <v>6</v>
      </c>
      <c r="DK212">
        <v>12</v>
      </c>
      <c r="DL212">
        <v>18</v>
      </c>
      <c r="DN212">
        <v>300</v>
      </c>
      <c r="DP212">
        <v>450</v>
      </c>
      <c r="DR212" t="s">
        <v>1082</v>
      </c>
      <c r="DS212">
        <v>0</v>
      </c>
      <c r="DT212">
        <v>1</v>
      </c>
      <c r="DU212">
        <v>1</v>
      </c>
      <c r="DV212">
        <v>0</v>
      </c>
      <c r="DW212">
        <v>0</v>
      </c>
      <c r="DX212">
        <v>0</v>
      </c>
      <c r="DY212">
        <v>0</v>
      </c>
      <c r="DZ212">
        <v>0</v>
      </c>
      <c r="EA212">
        <v>0</v>
      </c>
      <c r="EC212" t="s">
        <v>839</v>
      </c>
      <c r="ED212" t="s">
        <v>869</v>
      </c>
      <c r="EE212" t="s">
        <v>848</v>
      </c>
      <c r="EI212">
        <v>300</v>
      </c>
      <c r="EM212" t="s">
        <v>841</v>
      </c>
      <c r="EO212">
        <v>300</v>
      </c>
      <c r="ES212" t="s">
        <v>841</v>
      </c>
      <c r="EU212">
        <v>350</v>
      </c>
      <c r="EY212" t="s">
        <v>841</v>
      </c>
      <c r="FA212">
        <v>7</v>
      </c>
      <c r="FB212" t="s">
        <v>841</v>
      </c>
      <c r="FL212" t="s">
        <v>841</v>
      </c>
      <c r="FM212">
        <v>50</v>
      </c>
      <c r="FO212">
        <v>6</v>
      </c>
      <c r="FP212">
        <v>7</v>
      </c>
      <c r="FQ212">
        <v>13</v>
      </c>
      <c r="FS212" t="s">
        <v>842</v>
      </c>
      <c r="FT212" t="s">
        <v>842</v>
      </c>
      <c r="FU212" t="s">
        <v>839</v>
      </c>
      <c r="FV212" t="s">
        <v>839</v>
      </c>
      <c r="FW212" t="s">
        <v>842</v>
      </c>
      <c r="FY212" t="s">
        <v>842</v>
      </c>
      <c r="FZ212" t="s">
        <v>842</v>
      </c>
      <c r="GA212" t="s">
        <v>842</v>
      </c>
      <c r="GB212" t="s">
        <v>842</v>
      </c>
      <c r="GC212" t="s">
        <v>842</v>
      </c>
      <c r="GD212" t="s">
        <v>842</v>
      </c>
      <c r="GG212" t="s">
        <v>842</v>
      </c>
      <c r="GI212" t="s">
        <v>2145</v>
      </c>
      <c r="GJ212">
        <v>1</v>
      </c>
      <c r="GK212">
        <v>1</v>
      </c>
      <c r="GL212">
        <v>0</v>
      </c>
      <c r="GM212">
        <v>0</v>
      </c>
      <c r="GN212">
        <v>0</v>
      </c>
      <c r="GO212">
        <v>1</v>
      </c>
      <c r="GP212">
        <v>0</v>
      </c>
      <c r="GQ212">
        <v>0</v>
      </c>
      <c r="GR212">
        <v>0</v>
      </c>
      <c r="GS212">
        <v>1</v>
      </c>
      <c r="GT212">
        <v>1</v>
      </c>
      <c r="GU212">
        <v>1</v>
      </c>
      <c r="GV212">
        <v>0</v>
      </c>
      <c r="GW212">
        <v>0</v>
      </c>
      <c r="GX212">
        <v>0</v>
      </c>
      <c r="GY212">
        <v>0</v>
      </c>
      <c r="GZ212">
        <v>0</v>
      </c>
      <c r="HB212" t="s">
        <v>839</v>
      </c>
    </row>
    <row r="213" spans="1:211" x14ac:dyDescent="0.35">
      <c r="A213" t="s">
        <v>2146</v>
      </c>
      <c r="B213" s="154">
        <v>45637.381192129629</v>
      </c>
      <c r="C213" t="s">
        <v>2147</v>
      </c>
      <c r="D213" t="s">
        <v>2148</v>
      </c>
      <c r="E213" t="s">
        <v>835</v>
      </c>
      <c r="F213" t="s">
        <v>2149</v>
      </c>
      <c r="G213" t="s">
        <v>2149</v>
      </c>
      <c r="H213" t="s">
        <v>839</v>
      </c>
      <c r="I213" t="s">
        <v>838</v>
      </c>
      <c r="K213" t="s">
        <v>839</v>
      </c>
      <c r="L213" t="s">
        <v>887</v>
      </c>
      <c r="O213">
        <v>303</v>
      </c>
      <c r="P213">
        <v>302</v>
      </c>
      <c r="Q213">
        <v>605</v>
      </c>
      <c r="S213" t="s">
        <v>841</v>
      </c>
      <c r="T213" t="s">
        <v>841</v>
      </c>
      <c r="U213" t="s">
        <v>841</v>
      </c>
      <c r="V213" t="s">
        <v>841</v>
      </c>
      <c r="W213" t="s">
        <v>841</v>
      </c>
      <c r="X213" t="s">
        <v>841</v>
      </c>
      <c r="Y213" t="s">
        <v>841</v>
      </c>
      <c r="Z213" t="s">
        <v>841</v>
      </c>
      <c r="AA213" t="s">
        <v>841</v>
      </c>
      <c r="AB213" t="s">
        <v>841</v>
      </c>
      <c r="AC213" t="s">
        <v>841</v>
      </c>
      <c r="AD213" t="s">
        <v>841</v>
      </c>
      <c r="AE213" t="s">
        <v>841</v>
      </c>
      <c r="AF213" t="s">
        <v>841</v>
      </c>
      <c r="AH213">
        <v>1</v>
      </c>
      <c r="AI213">
        <v>1</v>
      </c>
      <c r="AJ213">
        <v>1</v>
      </c>
      <c r="AK213">
        <v>1</v>
      </c>
      <c r="AL213">
        <v>1</v>
      </c>
      <c r="AM213">
        <v>1</v>
      </c>
      <c r="AN213">
        <v>1</v>
      </c>
      <c r="AO213">
        <v>1</v>
      </c>
      <c r="AP213">
        <v>1</v>
      </c>
      <c r="AQ213">
        <v>1</v>
      </c>
      <c r="AR213">
        <v>1</v>
      </c>
      <c r="AS213">
        <v>1</v>
      </c>
      <c r="AT213">
        <v>1</v>
      </c>
      <c r="AU213">
        <v>1</v>
      </c>
      <c r="AZ213" t="s">
        <v>841</v>
      </c>
      <c r="BJ213">
        <v>13</v>
      </c>
      <c r="BK213">
        <v>10</v>
      </c>
      <c r="BL213">
        <v>23</v>
      </c>
      <c r="BS213" t="s">
        <v>841</v>
      </c>
      <c r="BV213" t="s">
        <v>839</v>
      </c>
      <c r="BW213" t="s">
        <v>758</v>
      </c>
      <c r="BX213" t="s">
        <v>839</v>
      </c>
      <c r="BY213" t="s">
        <v>759</v>
      </c>
      <c r="BZ213" t="s">
        <v>839</v>
      </c>
      <c r="CA213" t="s">
        <v>839</v>
      </c>
      <c r="CC213" t="s">
        <v>839</v>
      </c>
      <c r="CD213" t="s">
        <v>855</v>
      </c>
      <c r="CG213">
        <v>5</v>
      </c>
      <c r="CH213">
        <v>2</v>
      </c>
      <c r="CI213">
        <v>2</v>
      </c>
      <c r="CJ213">
        <v>1</v>
      </c>
      <c r="CK213" t="s">
        <v>877</v>
      </c>
      <c r="CM213" t="s">
        <v>867</v>
      </c>
      <c r="CN213">
        <v>0</v>
      </c>
      <c r="CO213">
        <v>1</v>
      </c>
      <c r="CP213">
        <v>0</v>
      </c>
      <c r="CQ213">
        <v>0</v>
      </c>
      <c r="CR213">
        <v>0</v>
      </c>
      <c r="CS213">
        <v>0</v>
      </c>
      <c r="CU213" t="s">
        <v>2150</v>
      </c>
      <c r="CV213">
        <v>1</v>
      </c>
      <c r="CW213">
        <v>1</v>
      </c>
      <c r="CX213">
        <v>1</v>
      </c>
      <c r="CY213">
        <v>1</v>
      </c>
      <c r="CZ213">
        <v>0</v>
      </c>
      <c r="DA213">
        <v>0</v>
      </c>
      <c r="DB213">
        <v>0</v>
      </c>
      <c r="DC213">
        <v>0</v>
      </c>
      <c r="DD213">
        <v>1</v>
      </c>
      <c r="DE213">
        <v>1</v>
      </c>
      <c r="DF213">
        <v>0</v>
      </c>
      <c r="DJ213">
        <v>12</v>
      </c>
      <c r="DK213">
        <v>17</v>
      </c>
      <c r="DL213">
        <v>29</v>
      </c>
      <c r="DN213">
        <v>500</v>
      </c>
      <c r="DP213">
        <v>800</v>
      </c>
      <c r="DR213" t="s">
        <v>1040</v>
      </c>
      <c r="DS213">
        <v>0</v>
      </c>
      <c r="DT213">
        <v>0</v>
      </c>
      <c r="DU213">
        <v>1</v>
      </c>
      <c r="DV213">
        <v>0</v>
      </c>
      <c r="DW213">
        <v>0</v>
      </c>
      <c r="DX213">
        <v>0</v>
      </c>
      <c r="DY213">
        <v>0</v>
      </c>
      <c r="DZ213">
        <v>0</v>
      </c>
      <c r="EA213">
        <v>0</v>
      </c>
      <c r="EC213" t="s">
        <v>839</v>
      </c>
      <c r="ED213" t="s">
        <v>869</v>
      </c>
      <c r="EE213" t="s">
        <v>848</v>
      </c>
      <c r="EI213">
        <v>100</v>
      </c>
      <c r="EM213" t="s">
        <v>841</v>
      </c>
      <c r="EO213">
        <v>120</v>
      </c>
      <c r="ES213" t="s">
        <v>841</v>
      </c>
      <c r="EU213">
        <v>150</v>
      </c>
      <c r="EY213" t="s">
        <v>841</v>
      </c>
      <c r="FA213">
        <v>7</v>
      </c>
      <c r="FB213" t="s">
        <v>841</v>
      </c>
      <c r="FL213" t="s">
        <v>841</v>
      </c>
      <c r="FM213">
        <v>25</v>
      </c>
      <c r="FO213">
        <v>20</v>
      </c>
      <c r="FP213">
        <v>30</v>
      </c>
      <c r="FQ213">
        <v>50</v>
      </c>
      <c r="FS213" t="s">
        <v>842</v>
      </c>
      <c r="FT213" t="s">
        <v>842</v>
      </c>
      <c r="FU213" t="s">
        <v>839</v>
      </c>
      <c r="FV213" t="s">
        <v>839</v>
      </c>
      <c r="FW213" t="s">
        <v>839</v>
      </c>
      <c r="FX213" t="s">
        <v>910</v>
      </c>
      <c r="FY213" t="s">
        <v>842</v>
      </c>
      <c r="FZ213" t="s">
        <v>842</v>
      </c>
      <c r="GA213" t="s">
        <v>839</v>
      </c>
      <c r="GB213" t="s">
        <v>839</v>
      </c>
      <c r="GC213" t="s">
        <v>842</v>
      </c>
      <c r="GD213" t="s">
        <v>839</v>
      </c>
      <c r="GE213" t="s">
        <v>881</v>
      </c>
      <c r="GG213" t="s">
        <v>839</v>
      </c>
      <c r="GI213" t="s">
        <v>1025</v>
      </c>
      <c r="GJ213">
        <v>1</v>
      </c>
      <c r="GK213">
        <v>0</v>
      </c>
      <c r="GL213">
        <v>0</v>
      </c>
      <c r="GM213">
        <v>0</v>
      </c>
      <c r="GN213">
        <v>0</v>
      </c>
      <c r="GO213">
        <v>1</v>
      </c>
      <c r="GP213">
        <v>0</v>
      </c>
      <c r="GQ213">
        <v>0</v>
      </c>
      <c r="GR213">
        <v>0</v>
      </c>
      <c r="GS213">
        <v>0</v>
      </c>
      <c r="GT213">
        <v>0</v>
      </c>
      <c r="GU213">
        <v>0</v>
      </c>
      <c r="GV213">
        <v>0</v>
      </c>
      <c r="GW213">
        <v>0</v>
      </c>
      <c r="GX213">
        <v>0</v>
      </c>
      <c r="GY213">
        <v>0</v>
      </c>
      <c r="GZ213">
        <v>0</v>
      </c>
      <c r="HB213" t="s">
        <v>839</v>
      </c>
    </row>
    <row r="214" spans="1:211" x14ac:dyDescent="0.35">
      <c r="A214" t="s">
        <v>2151</v>
      </c>
      <c r="B214" s="154">
        <v>45637.406238425923</v>
      </c>
      <c r="C214" t="s">
        <v>2152</v>
      </c>
      <c r="D214" t="s">
        <v>2153</v>
      </c>
      <c r="E214" t="s">
        <v>875</v>
      </c>
      <c r="F214" t="s">
        <v>2154</v>
      </c>
      <c r="G214" t="s">
        <v>2154</v>
      </c>
      <c r="H214" t="s">
        <v>839</v>
      </c>
      <c r="I214" t="s">
        <v>896</v>
      </c>
      <c r="K214" t="s">
        <v>839</v>
      </c>
      <c r="L214" t="s">
        <v>887</v>
      </c>
      <c r="O214">
        <v>65</v>
      </c>
      <c r="P214">
        <v>75</v>
      </c>
      <c r="Q214">
        <v>140</v>
      </c>
      <c r="T214" t="s">
        <v>841</v>
      </c>
      <c r="U214" t="s">
        <v>841</v>
      </c>
      <c r="V214" t="s">
        <v>841</v>
      </c>
      <c r="W214" t="s">
        <v>841</v>
      </c>
      <c r="X214" t="s">
        <v>841</v>
      </c>
      <c r="Y214" t="s">
        <v>841</v>
      </c>
      <c r="Z214" t="s">
        <v>841</v>
      </c>
      <c r="AA214" t="s">
        <v>841</v>
      </c>
      <c r="AB214" t="s">
        <v>841</v>
      </c>
      <c r="AC214" t="s">
        <v>841</v>
      </c>
      <c r="AD214" t="s">
        <v>841</v>
      </c>
      <c r="AE214" t="s">
        <v>841</v>
      </c>
      <c r="AF214" t="s">
        <v>841</v>
      </c>
      <c r="AI214">
        <v>1</v>
      </c>
      <c r="AJ214">
        <v>1</v>
      </c>
      <c r="AK214">
        <v>1</v>
      </c>
      <c r="AL214">
        <v>1</v>
      </c>
      <c r="AM214">
        <v>1</v>
      </c>
      <c r="AN214">
        <v>1</v>
      </c>
      <c r="AO214">
        <v>1</v>
      </c>
      <c r="AP214">
        <v>1</v>
      </c>
      <c r="AQ214">
        <v>1</v>
      </c>
      <c r="AR214">
        <v>1</v>
      </c>
      <c r="AS214">
        <v>1</v>
      </c>
      <c r="AT214">
        <v>1</v>
      </c>
      <c r="AU214">
        <v>1</v>
      </c>
      <c r="AW214">
        <v>7</v>
      </c>
      <c r="AX214">
        <v>7</v>
      </c>
      <c r="AY214">
        <v>14</v>
      </c>
      <c r="BB214">
        <v>2</v>
      </c>
      <c r="BC214">
        <v>0</v>
      </c>
      <c r="BD214">
        <v>2</v>
      </c>
      <c r="BF214">
        <v>2</v>
      </c>
      <c r="BG214">
        <v>4</v>
      </c>
      <c r="BH214">
        <v>6</v>
      </c>
      <c r="BJ214">
        <v>4</v>
      </c>
      <c r="BK214">
        <v>2</v>
      </c>
      <c r="BL214">
        <v>6</v>
      </c>
      <c r="BP214">
        <v>7</v>
      </c>
      <c r="BQ214">
        <v>5</v>
      </c>
      <c r="BR214">
        <v>12</v>
      </c>
      <c r="BV214" t="s">
        <v>842</v>
      </c>
      <c r="BX214" t="s">
        <v>839</v>
      </c>
      <c r="BY214" t="s">
        <v>759</v>
      </c>
      <c r="BZ214" t="s">
        <v>839</v>
      </c>
      <c r="CA214" t="s">
        <v>839</v>
      </c>
      <c r="CC214" t="s">
        <v>839</v>
      </c>
      <c r="CD214" t="s">
        <v>855</v>
      </c>
      <c r="CG214">
        <v>2</v>
      </c>
      <c r="CH214">
        <v>1</v>
      </c>
      <c r="CI214">
        <v>1</v>
      </c>
      <c r="CJ214">
        <v>0</v>
      </c>
      <c r="CK214" t="s">
        <v>681</v>
      </c>
      <c r="CM214" t="s">
        <v>844</v>
      </c>
      <c r="CN214">
        <v>1</v>
      </c>
      <c r="CO214">
        <v>0</v>
      </c>
      <c r="CP214">
        <v>0</v>
      </c>
      <c r="CQ214">
        <v>0</v>
      </c>
      <c r="CR214">
        <v>0</v>
      </c>
      <c r="CS214">
        <v>0</v>
      </c>
      <c r="CU214" t="s">
        <v>898</v>
      </c>
      <c r="CV214">
        <v>1</v>
      </c>
      <c r="CW214">
        <v>0</v>
      </c>
      <c r="CX214">
        <v>1</v>
      </c>
      <c r="CY214">
        <v>1</v>
      </c>
      <c r="CZ214">
        <v>0</v>
      </c>
      <c r="DA214">
        <v>0</v>
      </c>
      <c r="DB214">
        <v>0</v>
      </c>
      <c r="DC214">
        <v>0</v>
      </c>
      <c r="DD214">
        <v>0</v>
      </c>
      <c r="DE214">
        <v>1</v>
      </c>
      <c r="DF214">
        <v>0</v>
      </c>
      <c r="DJ214">
        <v>2</v>
      </c>
      <c r="DK214">
        <v>7</v>
      </c>
      <c r="DL214">
        <v>9</v>
      </c>
      <c r="DN214">
        <v>350</v>
      </c>
      <c r="DP214">
        <v>500</v>
      </c>
      <c r="DR214" t="s">
        <v>1007</v>
      </c>
      <c r="DS214">
        <v>1</v>
      </c>
      <c r="DT214">
        <v>0</v>
      </c>
      <c r="DU214">
        <v>0</v>
      </c>
      <c r="DV214">
        <v>0</v>
      </c>
      <c r="DW214">
        <v>0</v>
      </c>
      <c r="DX214">
        <v>1</v>
      </c>
      <c r="DY214">
        <v>0</v>
      </c>
      <c r="DZ214">
        <v>0</v>
      </c>
      <c r="EA214">
        <v>0</v>
      </c>
      <c r="EC214" t="s">
        <v>839</v>
      </c>
      <c r="ED214" t="s">
        <v>957</v>
      </c>
      <c r="EE214" t="s">
        <v>848</v>
      </c>
      <c r="EI214">
        <v>100</v>
      </c>
      <c r="EM214" t="s">
        <v>841</v>
      </c>
      <c r="EO214">
        <v>120</v>
      </c>
      <c r="ES214" t="s">
        <v>841</v>
      </c>
      <c r="EU214">
        <v>100</v>
      </c>
      <c r="EY214" t="s">
        <v>841</v>
      </c>
      <c r="FA214">
        <v>5.5</v>
      </c>
      <c r="FB214" t="s">
        <v>841</v>
      </c>
      <c r="FL214" t="s">
        <v>841</v>
      </c>
      <c r="FM214">
        <v>20</v>
      </c>
      <c r="FO214">
        <v>0</v>
      </c>
      <c r="FP214">
        <v>0</v>
      </c>
      <c r="FQ214">
        <v>0</v>
      </c>
      <c r="FS214" t="s">
        <v>842</v>
      </c>
      <c r="FT214" t="s">
        <v>842</v>
      </c>
      <c r="FU214" t="s">
        <v>839</v>
      </c>
      <c r="FV214" t="s">
        <v>839</v>
      </c>
      <c r="FW214" t="s">
        <v>839</v>
      </c>
      <c r="FX214" t="s">
        <v>880</v>
      </c>
      <c r="FY214" t="s">
        <v>842</v>
      </c>
      <c r="FZ214" t="s">
        <v>842</v>
      </c>
      <c r="GA214" t="s">
        <v>839</v>
      </c>
      <c r="GB214" t="s">
        <v>842</v>
      </c>
      <c r="GC214" t="s">
        <v>842</v>
      </c>
      <c r="GD214" t="s">
        <v>842</v>
      </c>
      <c r="GG214" t="s">
        <v>842</v>
      </c>
      <c r="GI214" t="s">
        <v>2155</v>
      </c>
      <c r="GJ214">
        <v>1</v>
      </c>
      <c r="GK214">
        <v>1</v>
      </c>
      <c r="GL214">
        <v>1</v>
      </c>
      <c r="GM214">
        <v>0</v>
      </c>
      <c r="GN214">
        <v>0</v>
      </c>
      <c r="GO214">
        <v>0</v>
      </c>
      <c r="GP214">
        <v>0</v>
      </c>
      <c r="GQ214">
        <v>0</v>
      </c>
      <c r="GR214">
        <v>0</v>
      </c>
      <c r="GS214">
        <v>0</v>
      </c>
      <c r="GT214">
        <v>0</v>
      </c>
      <c r="GU214">
        <v>1</v>
      </c>
      <c r="GV214">
        <v>0</v>
      </c>
      <c r="GW214">
        <v>0</v>
      </c>
      <c r="GX214">
        <v>0</v>
      </c>
      <c r="GY214">
        <v>0</v>
      </c>
      <c r="GZ214">
        <v>0</v>
      </c>
      <c r="HB214" t="s">
        <v>839</v>
      </c>
    </row>
    <row r="215" spans="1:211" x14ac:dyDescent="0.35">
      <c r="A215" t="s">
        <v>2156</v>
      </c>
      <c r="B215" s="154">
        <v>45637.410891203697</v>
      </c>
      <c r="C215" t="s">
        <v>2157</v>
      </c>
      <c r="D215" t="s">
        <v>2158</v>
      </c>
      <c r="E215" t="s">
        <v>835</v>
      </c>
      <c r="F215" t="s">
        <v>2159</v>
      </c>
      <c r="G215" t="s">
        <v>2159</v>
      </c>
      <c r="H215" t="s">
        <v>842</v>
      </c>
      <c r="K215" t="s">
        <v>839</v>
      </c>
      <c r="L215" t="s">
        <v>887</v>
      </c>
      <c r="O215">
        <v>47</v>
      </c>
      <c r="P215">
        <v>40</v>
      </c>
      <c r="Q215">
        <v>87</v>
      </c>
      <c r="S215" t="s">
        <v>841</v>
      </c>
      <c r="T215" t="s">
        <v>841</v>
      </c>
      <c r="U215" t="s">
        <v>841</v>
      </c>
      <c r="V215" t="s">
        <v>841</v>
      </c>
      <c r="W215" t="s">
        <v>841</v>
      </c>
      <c r="X215" t="s">
        <v>841</v>
      </c>
      <c r="Y215" t="s">
        <v>841</v>
      </c>
      <c r="Z215" t="s">
        <v>841</v>
      </c>
      <c r="AA215" t="s">
        <v>841</v>
      </c>
      <c r="AB215" t="s">
        <v>841</v>
      </c>
      <c r="AC215" t="s">
        <v>841</v>
      </c>
      <c r="AD215" t="s">
        <v>841</v>
      </c>
      <c r="AH215">
        <v>1</v>
      </c>
      <c r="AI215">
        <v>1</v>
      </c>
      <c r="AJ215">
        <v>1</v>
      </c>
      <c r="AK215">
        <v>1</v>
      </c>
      <c r="AL215">
        <v>1</v>
      </c>
      <c r="AM215">
        <v>1</v>
      </c>
      <c r="AN215">
        <v>1</v>
      </c>
      <c r="AO215">
        <v>1</v>
      </c>
      <c r="AP215">
        <v>1</v>
      </c>
      <c r="AQ215">
        <v>1</v>
      </c>
      <c r="AR215">
        <v>1</v>
      </c>
      <c r="AS215">
        <v>1</v>
      </c>
      <c r="AZ215" t="s">
        <v>841</v>
      </c>
      <c r="BJ215">
        <v>4</v>
      </c>
      <c r="BK215">
        <v>2</v>
      </c>
      <c r="BL215">
        <v>6</v>
      </c>
      <c r="BS215" t="s">
        <v>841</v>
      </c>
      <c r="BV215" t="s">
        <v>839</v>
      </c>
      <c r="BW215" t="s">
        <v>950</v>
      </c>
      <c r="BX215" t="s">
        <v>839</v>
      </c>
      <c r="BY215" t="s">
        <v>759</v>
      </c>
      <c r="BZ215" t="s">
        <v>839</v>
      </c>
      <c r="CA215" t="s">
        <v>839</v>
      </c>
      <c r="CC215" t="s">
        <v>839</v>
      </c>
      <c r="CD215" t="s">
        <v>855</v>
      </c>
      <c r="CG215">
        <v>2</v>
      </c>
      <c r="CH215">
        <v>1</v>
      </c>
      <c r="CI215">
        <v>1</v>
      </c>
      <c r="CJ215">
        <v>0</v>
      </c>
      <c r="CK215" t="s">
        <v>856</v>
      </c>
      <c r="CM215" t="s">
        <v>867</v>
      </c>
      <c r="CN215">
        <v>0</v>
      </c>
      <c r="CO215">
        <v>1</v>
      </c>
      <c r="CP215">
        <v>0</v>
      </c>
      <c r="CQ215">
        <v>0</v>
      </c>
      <c r="CR215">
        <v>0</v>
      </c>
      <c r="CS215">
        <v>0</v>
      </c>
      <c r="CU215" t="s">
        <v>868</v>
      </c>
      <c r="CV215">
        <v>1</v>
      </c>
      <c r="CW215">
        <v>0</v>
      </c>
      <c r="CX215">
        <v>1</v>
      </c>
      <c r="CY215">
        <v>0</v>
      </c>
      <c r="CZ215">
        <v>0</v>
      </c>
      <c r="DA215">
        <v>0</v>
      </c>
      <c r="DB215">
        <v>0</v>
      </c>
      <c r="DC215">
        <v>0</v>
      </c>
      <c r="DD215">
        <v>1</v>
      </c>
      <c r="DE215">
        <v>1</v>
      </c>
      <c r="DF215">
        <v>0</v>
      </c>
      <c r="DJ215">
        <v>6</v>
      </c>
      <c r="DK215">
        <v>5</v>
      </c>
      <c r="DL215">
        <v>11</v>
      </c>
      <c r="DN215">
        <v>350</v>
      </c>
      <c r="DP215">
        <v>500</v>
      </c>
      <c r="DR215" t="s">
        <v>937</v>
      </c>
      <c r="DS215">
        <v>1</v>
      </c>
      <c r="DT215">
        <v>0</v>
      </c>
      <c r="DU215">
        <v>0</v>
      </c>
      <c r="DV215">
        <v>0</v>
      </c>
      <c r="DW215">
        <v>0</v>
      </c>
      <c r="DX215">
        <v>0</v>
      </c>
      <c r="DY215">
        <v>0</v>
      </c>
      <c r="DZ215">
        <v>0</v>
      </c>
      <c r="EA215">
        <v>0</v>
      </c>
      <c r="EC215" t="s">
        <v>842</v>
      </c>
      <c r="ED215" t="s">
        <v>909</v>
      </c>
      <c r="EE215" t="s">
        <v>848</v>
      </c>
      <c r="EI215">
        <v>8</v>
      </c>
      <c r="EJ215" t="s">
        <v>841</v>
      </c>
      <c r="EO215">
        <v>8</v>
      </c>
      <c r="EP215" t="s">
        <v>841</v>
      </c>
      <c r="EU215">
        <v>8</v>
      </c>
      <c r="EV215" t="s">
        <v>841</v>
      </c>
      <c r="FA215">
        <v>4</v>
      </c>
      <c r="FB215" t="s">
        <v>841</v>
      </c>
      <c r="FL215" t="s">
        <v>841</v>
      </c>
      <c r="FM215">
        <v>248</v>
      </c>
      <c r="FO215">
        <v>0</v>
      </c>
      <c r="FP215">
        <v>0</v>
      </c>
      <c r="FQ215">
        <v>0</v>
      </c>
      <c r="FS215" t="s">
        <v>839</v>
      </c>
      <c r="FT215" t="s">
        <v>839</v>
      </c>
      <c r="FU215" t="s">
        <v>839</v>
      </c>
      <c r="FV215" t="s">
        <v>842</v>
      </c>
      <c r="FW215" t="s">
        <v>839</v>
      </c>
      <c r="FX215" t="s">
        <v>910</v>
      </c>
      <c r="FY215" t="s">
        <v>842</v>
      </c>
      <c r="FZ215" t="s">
        <v>842</v>
      </c>
      <c r="GA215" t="s">
        <v>842</v>
      </c>
      <c r="GB215" t="s">
        <v>839</v>
      </c>
      <c r="GC215" t="s">
        <v>842</v>
      </c>
      <c r="GD215" t="s">
        <v>842</v>
      </c>
      <c r="GG215" t="s">
        <v>842</v>
      </c>
      <c r="GI215" t="s">
        <v>1721</v>
      </c>
      <c r="GJ215">
        <v>1</v>
      </c>
      <c r="GK215">
        <v>1</v>
      </c>
      <c r="GL215">
        <v>0</v>
      </c>
      <c r="GM215">
        <v>0</v>
      </c>
      <c r="GN215">
        <v>0</v>
      </c>
      <c r="GO215">
        <v>0</v>
      </c>
      <c r="GP215">
        <v>0</v>
      </c>
      <c r="GQ215">
        <v>0</v>
      </c>
      <c r="GR215">
        <v>0</v>
      </c>
      <c r="GS215">
        <v>0</v>
      </c>
      <c r="GT215">
        <v>0</v>
      </c>
      <c r="GU215">
        <v>0</v>
      </c>
      <c r="GV215">
        <v>0</v>
      </c>
      <c r="GW215">
        <v>0</v>
      </c>
      <c r="GX215">
        <v>1</v>
      </c>
      <c r="GY215">
        <v>0</v>
      </c>
      <c r="GZ215">
        <v>0</v>
      </c>
      <c r="HB215" t="s">
        <v>839</v>
      </c>
    </row>
    <row r="216" spans="1:211" x14ac:dyDescent="0.35">
      <c r="A216" t="s">
        <v>2160</v>
      </c>
      <c r="B216" s="154">
        <v>45637.422662037039</v>
      </c>
      <c r="C216" t="s">
        <v>2161</v>
      </c>
      <c r="D216" t="s">
        <v>2162</v>
      </c>
      <c r="E216" t="s">
        <v>875</v>
      </c>
      <c r="F216" t="s">
        <v>2163</v>
      </c>
      <c r="G216" t="s">
        <v>2164</v>
      </c>
      <c r="H216" t="s">
        <v>839</v>
      </c>
      <c r="I216" t="s">
        <v>896</v>
      </c>
      <c r="K216" t="s">
        <v>839</v>
      </c>
      <c r="L216" t="s">
        <v>887</v>
      </c>
      <c r="O216">
        <v>182</v>
      </c>
      <c r="P216">
        <v>148</v>
      </c>
      <c r="Q216">
        <v>330</v>
      </c>
      <c r="T216" t="s">
        <v>841</v>
      </c>
      <c r="U216" t="s">
        <v>841</v>
      </c>
      <c r="V216" t="s">
        <v>841</v>
      </c>
      <c r="W216" t="s">
        <v>841</v>
      </c>
      <c r="X216" t="s">
        <v>841</v>
      </c>
      <c r="Y216" t="s">
        <v>841</v>
      </c>
      <c r="Z216" t="s">
        <v>841</v>
      </c>
      <c r="AA216" t="s">
        <v>841</v>
      </c>
      <c r="AB216" t="s">
        <v>841</v>
      </c>
      <c r="AC216" t="s">
        <v>841</v>
      </c>
      <c r="AD216" t="s">
        <v>841</v>
      </c>
      <c r="AE216" t="s">
        <v>841</v>
      </c>
      <c r="AF216" t="s">
        <v>841</v>
      </c>
      <c r="AI216">
        <v>1</v>
      </c>
      <c r="AJ216">
        <v>1</v>
      </c>
      <c r="AK216">
        <v>1</v>
      </c>
      <c r="AL216">
        <v>1</v>
      </c>
      <c r="AM216">
        <v>1</v>
      </c>
      <c r="AN216">
        <v>1</v>
      </c>
      <c r="AO216">
        <v>1</v>
      </c>
      <c r="AP216">
        <v>1</v>
      </c>
      <c r="AQ216">
        <v>1</v>
      </c>
      <c r="AR216">
        <v>1</v>
      </c>
      <c r="AS216">
        <v>1</v>
      </c>
      <c r="AT216">
        <v>1</v>
      </c>
      <c r="AU216">
        <v>1</v>
      </c>
      <c r="AW216">
        <v>8</v>
      </c>
      <c r="AX216">
        <v>9</v>
      </c>
      <c r="AY216">
        <v>17</v>
      </c>
      <c r="BB216">
        <v>3</v>
      </c>
      <c r="BC216">
        <v>4</v>
      </c>
      <c r="BD216">
        <v>7</v>
      </c>
      <c r="BF216">
        <v>6</v>
      </c>
      <c r="BG216">
        <v>4</v>
      </c>
      <c r="BH216">
        <v>10</v>
      </c>
      <c r="BJ216">
        <v>13</v>
      </c>
      <c r="BK216">
        <v>15</v>
      </c>
      <c r="BL216">
        <v>28</v>
      </c>
      <c r="BP216">
        <v>9</v>
      </c>
      <c r="BQ216">
        <v>14</v>
      </c>
      <c r="BR216">
        <v>23</v>
      </c>
      <c r="BV216" t="s">
        <v>839</v>
      </c>
      <c r="BW216" t="s">
        <v>758</v>
      </c>
      <c r="BX216" t="s">
        <v>839</v>
      </c>
      <c r="BY216" t="s">
        <v>759</v>
      </c>
      <c r="BZ216" t="s">
        <v>839</v>
      </c>
      <c r="CA216" t="s">
        <v>839</v>
      </c>
      <c r="CC216" t="s">
        <v>839</v>
      </c>
      <c r="CD216" t="s">
        <v>855</v>
      </c>
      <c r="CG216">
        <v>3</v>
      </c>
      <c r="CH216">
        <v>1</v>
      </c>
      <c r="CI216">
        <v>1</v>
      </c>
      <c r="CJ216">
        <v>1</v>
      </c>
      <c r="CK216" t="s">
        <v>877</v>
      </c>
      <c r="CM216" t="s">
        <v>867</v>
      </c>
      <c r="CN216">
        <v>0</v>
      </c>
      <c r="CO216">
        <v>1</v>
      </c>
      <c r="CP216">
        <v>0</v>
      </c>
      <c r="CQ216">
        <v>0</v>
      </c>
      <c r="CR216">
        <v>0</v>
      </c>
      <c r="CS216">
        <v>0</v>
      </c>
      <c r="CU216" t="s">
        <v>2150</v>
      </c>
      <c r="CV216">
        <v>1</v>
      </c>
      <c r="CW216">
        <v>1</v>
      </c>
      <c r="CX216">
        <v>1</v>
      </c>
      <c r="CY216">
        <v>1</v>
      </c>
      <c r="CZ216">
        <v>0</v>
      </c>
      <c r="DA216">
        <v>0</v>
      </c>
      <c r="DB216">
        <v>0</v>
      </c>
      <c r="DC216">
        <v>0</v>
      </c>
      <c r="DD216">
        <v>1</v>
      </c>
      <c r="DE216">
        <v>1</v>
      </c>
      <c r="DF216">
        <v>0</v>
      </c>
      <c r="DJ216">
        <v>12</v>
      </c>
      <c r="DK216">
        <v>10</v>
      </c>
      <c r="DL216">
        <v>22</v>
      </c>
      <c r="DN216">
        <v>400</v>
      </c>
      <c r="DP216">
        <v>1200</v>
      </c>
      <c r="DR216" t="s">
        <v>1007</v>
      </c>
      <c r="DS216">
        <v>1</v>
      </c>
      <c r="DT216">
        <v>0</v>
      </c>
      <c r="DU216">
        <v>0</v>
      </c>
      <c r="DV216">
        <v>0</v>
      </c>
      <c r="DW216">
        <v>0</v>
      </c>
      <c r="DX216">
        <v>1</v>
      </c>
      <c r="DY216">
        <v>0</v>
      </c>
      <c r="DZ216">
        <v>0</v>
      </c>
      <c r="EA216">
        <v>0</v>
      </c>
      <c r="EC216" t="s">
        <v>839</v>
      </c>
      <c r="ED216" t="s">
        <v>869</v>
      </c>
      <c r="EE216" t="s">
        <v>848</v>
      </c>
      <c r="EI216">
        <v>7.5</v>
      </c>
      <c r="EJ216" t="s">
        <v>841</v>
      </c>
      <c r="EO216">
        <v>8</v>
      </c>
      <c r="EP216" t="s">
        <v>841</v>
      </c>
      <c r="EU216">
        <v>11</v>
      </c>
      <c r="EV216" t="s">
        <v>841</v>
      </c>
      <c r="FA216">
        <v>3</v>
      </c>
      <c r="FB216" t="s">
        <v>841</v>
      </c>
      <c r="FG216">
        <v>4</v>
      </c>
      <c r="FH216" t="s">
        <v>841</v>
      </c>
      <c r="FM216">
        <v>50</v>
      </c>
      <c r="FO216">
        <v>15</v>
      </c>
      <c r="FP216">
        <v>10</v>
      </c>
      <c r="FQ216">
        <v>25</v>
      </c>
      <c r="FS216" t="s">
        <v>839</v>
      </c>
      <c r="FT216" t="s">
        <v>839</v>
      </c>
      <c r="FU216" t="s">
        <v>839</v>
      </c>
      <c r="FV216" t="s">
        <v>839</v>
      </c>
      <c r="FW216" t="s">
        <v>839</v>
      </c>
      <c r="FX216" t="s">
        <v>880</v>
      </c>
      <c r="FY216" t="s">
        <v>839</v>
      </c>
      <c r="FZ216" t="s">
        <v>842</v>
      </c>
      <c r="GA216" t="s">
        <v>839</v>
      </c>
      <c r="GB216" t="s">
        <v>839</v>
      </c>
      <c r="GC216" t="s">
        <v>839</v>
      </c>
      <c r="GD216" t="s">
        <v>839</v>
      </c>
      <c r="GE216" t="s">
        <v>929</v>
      </c>
      <c r="GG216" t="s">
        <v>842</v>
      </c>
      <c r="GI216" t="s">
        <v>1196</v>
      </c>
      <c r="GJ216">
        <v>0</v>
      </c>
      <c r="GK216">
        <v>0</v>
      </c>
      <c r="GL216">
        <v>0</v>
      </c>
      <c r="GM216">
        <v>0</v>
      </c>
      <c r="GN216">
        <v>0</v>
      </c>
      <c r="GO216">
        <v>1</v>
      </c>
      <c r="GP216">
        <v>0</v>
      </c>
      <c r="GQ216">
        <v>0</v>
      </c>
      <c r="GR216">
        <v>0</v>
      </c>
      <c r="GS216">
        <v>0</v>
      </c>
      <c r="GT216">
        <v>0</v>
      </c>
      <c r="GU216">
        <v>0</v>
      </c>
      <c r="GV216">
        <v>0</v>
      </c>
      <c r="GW216">
        <v>0</v>
      </c>
      <c r="GX216">
        <v>0</v>
      </c>
      <c r="GY216">
        <v>0</v>
      </c>
      <c r="GZ216">
        <v>0</v>
      </c>
      <c r="HB216" t="s">
        <v>839</v>
      </c>
    </row>
    <row r="217" spans="1:211" x14ac:dyDescent="0.35">
      <c r="A217" t="s">
        <v>2165</v>
      </c>
      <c r="B217" s="154">
        <v>45637.438148148147</v>
      </c>
      <c r="C217" t="s">
        <v>2166</v>
      </c>
      <c r="D217" t="s">
        <v>2167</v>
      </c>
      <c r="E217" t="s">
        <v>875</v>
      </c>
      <c r="F217" t="s">
        <v>2168</v>
      </c>
      <c r="G217" t="s">
        <v>2168</v>
      </c>
      <c r="H217" t="s">
        <v>839</v>
      </c>
      <c r="I217" t="s">
        <v>896</v>
      </c>
      <c r="K217" t="s">
        <v>839</v>
      </c>
      <c r="L217" t="s">
        <v>887</v>
      </c>
      <c r="O217">
        <v>127</v>
      </c>
      <c r="P217">
        <v>108</v>
      </c>
      <c r="Q217">
        <v>235</v>
      </c>
      <c r="T217" t="s">
        <v>841</v>
      </c>
      <c r="U217" t="s">
        <v>841</v>
      </c>
      <c r="V217" t="s">
        <v>841</v>
      </c>
      <c r="W217" t="s">
        <v>841</v>
      </c>
      <c r="X217" t="s">
        <v>841</v>
      </c>
      <c r="Y217" t="s">
        <v>841</v>
      </c>
      <c r="Z217" t="s">
        <v>841</v>
      </c>
      <c r="AA217" t="s">
        <v>841</v>
      </c>
      <c r="AB217" t="s">
        <v>841</v>
      </c>
      <c r="AC217" t="s">
        <v>841</v>
      </c>
      <c r="AD217" t="s">
        <v>841</v>
      </c>
      <c r="AE217" t="s">
        <v>841</v>
      </c>
      <c r="AF217" t="s">
        <v>841</v>
      </c>
      <c r="AI217">
        <v>1</v>
      </c>
      <c r="AJ217">
        <v>1</v>
      </c>
      <c r="AK217">
        <v>1</v>
      </c>
      <c r="AL217">
        <v>1</v>
      </c>
      <c r="AM217">
        <v>1</v>
      </c>
      <c r="AN217">
        <v>1</v>
      </c>
      <c r="AO217">
        <v>1</v>
      </c>
      <c r="AP217">
        <v>1</v>
      </c>
      <c r="AQ217">
        <v>1</v>
      </c>
      <c r="AR217">
        <v>1</v>
      </c>
      <c r="AS217">
        <v>1</v>
      </c>
      <c r="AT217">
        <v>1</v>
      </c>
      <c r="AU217">
        <v>1</v>
      </c>
      <c r="AW217">
        <v>3</v>
      </c>
      <c r="AX217">
        <v>3</v>
      </c>
      <c r="AY217">
        <v>6</v>
      </c>
      <c r="BB217">
        <v>2</v>
      </c>
      <c r="BC217">
        <v>1</v>
      </c>
      <c r="BD217">
        <v>3</v>
      </c>
      <c r="BF217">
        <v>1</v>
      </c>
      <c r="BG217">
        <v>2</v>
      </c>
      <c r="BH217">
        <v>3</v>
      </c>
      <c r="BJ217">
        <v>8</v>
      </c>
      <c r="BK217">
        <v>8</v>
      </c>
      <c r="BL217">
        <v>16</v>
      </c>
      <c r="BP217">
        <v>3</v>
      </c>
      <c r="BQ217">
        <v>3</v>
      </c>
      <c r="BR217">
        <v>6</v>
      </c>
      <c r="BV217" t="s">
        <v>839</v>
      </c>
      <c r="BW217" t="s">
        <v>758</v>
      </c>
      <c r="BX217" t="s">
        <v>839</v>
      </c>
      <c r="BY217" t="s">
        <v>759</v>
      </c>
      <c r="BZ217" t="s">
        <v>839</v>
      </c>
      <c r="CA217" t="s">
        <v>839</v>
      </c>
      <c r="CC217" t="s">
        <v>839</v>
      </c>
      <c r="CD217" t="s">
        <v>855</v>
      </c>
      <c r="CG217">
        <v>5</v>
      </c>
      <c r="CH217">
        <v>1</v>
      </c>
      <c r="CI217">
        <v>1</v>
      </c>
      <c r="CJ217">
        <v>3</v>
      </c>
      <c r="CK217" t="s">
        <v>993</v>
      </c>
      <c r="CM217" t="s">
        <v>951</v>
      </c>
      <c r="CN217">
        <v>1</v>
      </c>
      <c r="CO217">
        <v>1</v>
      </c>
      <c r="CP217">
        <v>0</v>
      </c>
      <c r="CQ217">
        <v>0</v>
      </c>
      <c r="CR217">
        <v>0</v>
      </c>
      <c r="CS217">
        <v>0</v>
      </c>
      <c r="CU217" t="s">
        <v>907</v>
      </c>
      <c r="CV217">
        <v>1</v>
      </c>
      <c r="CW217">
        <v>0</v>
      </c>
      <c r="CX217">
        <v>1</v>
      </c>
      <c r="CY217">
        <v>0</v>
      </c>
      <c r="CZ217">
        <v>0</v>
      </c>
      <c r="DA217">
        <v>0</v>
      </c>
      <c r="DB217">
        <v>0</v>
      </c>
      <c r="DC217">
        <v>0</v>
      </c>
      <c r="DD217">
        <v>1</v>
      </c>
      <c r="DE217">
        <v>0</v>
      </c>
      <c r="DF217">
        <v>0</v>
      </c>
      <c r="DJ217">
        <v>8</v>
      </c>
      <c r="DK217">
        <v>7</v>
      </c>
      <c r="DL217">
        <v>15</v>
      </c>
      <c r="DN217">
        <v>500</v>
      </c>
      <c r="DP217">
        <v>1000</v>
      </c>
      <c r="DR217" t="s">
        <v>1181</v>
      </c>
      <c r="DS217">
        <v>1</v>
      </c>
      <c r="DT217">
        <v>0</v>
      </c>
      <c r="DU217">
        <v>1</v>
      </c>
      <c r="DV217">
        <v>0</v>
      </c>
      <c r="DW217">
        <v>1</v>
      </c>
      <c r="DX217">
        <v>0</v>
      </c>
      <c r="DY217">
        <v>0</v>
      </c>
      <c r="DZ217">
        <v>0</v>
      </c>
      <c r="EA217">
        <v>0</v>
      </c>
      <c r="EC217" t="s">
        <v>839</v>
      </c>
      <c r="ED217" t="s">
        <v>869</v>
      </c>
      <c r="EE217" t="s">
        <v>848</v>
      </c>
      <c r="EI217">
        <v>100</v>
      </c>
      <c r="EM217" t="s">
        <v>841</v>
      </c>
      <c r="EO217">
        <v>100</v>
      </c>
      <c r="ES217" t="s">
        <v>841</v>
      </c>
      <c r="EU217">
        <v>100</v>
      </c>
      <c r="EY217" t="s">
        <v>841</v>
      </c>
      <c r="FF217" t="s">
        <v>841</v>
      </c>
      <c r="FL217" t="s">
        <v>841</v>
      </c>
      <c r="FM217">
        <v>20</v>
      </c>
      <c r="FO217">
        <v>0</v>
      </c>
      <c r="FP217">
        <v>0</v>
      </c>
      <c r="FQ217">
        <v>0</v>
      </c>
      <c r="FS217" t="s">
        <v>839</v>
      </c>
      <c r="FT217" t="s">
        <v>839</v>
      </c>
      <c r="FU217" t="s">
        <v>839</v>
      </c>
      <c r="FV217" t="s">
        <v>839</v>
      </c>
      <c r="FW217" t="s">
        <v>839</v>
      </c>
      <c r="FX217" t="s">
        <v>890</v>
      </c>
      <c r="FY217" t="s">
        <v>839</v>
      </c>
      <c r="FZ217" t="s">
        <v>839</v>
      </c>
      <c r="GA217" t="s">
        <v>839</v>
      </c>
      <c r="GB217" t="s">
        <v>839</v>
      </c>
      <c r="GC217" t="s">
        <v>839</v>
      </c>
      <c r="GD217" t="s">
        <v>839</v>
      </c>
      <c r="GE217" t="s">
        <v>929</v>
      </c>
      <c r="GG217" t="s">
        <v>839</v>
      </c>
      <c r="GI217" t="s">
        <v>2169</v>
      </c>
      <c r="GJ217">
        <v>0</v>
      </c>
      <c r="GK217">
        <v>1</v>
      </c>
      <c r="GL217">
        <v>0</v>
      </c>
      <c r="GM217">
        <v>0</v>
      </c>
      <c r="GN217">
        <v>0</v>
      </c>
      <c r="GO217">
        <v>0</v>
      </c>
      <c r="GP217">
        <v>0</v>
      </c>
      <c r="GQ217">
        <v>0</v>
      </c>
      <c r="GR217">
        <v>0</v>
      </c>
      <c r="GS217">
        <v>0</v>
      </c>
      <c r="GT217">
        <v>0</v>
      </c>
      <c r="GU217">
        <v>0</v>
      </c>
      <c r="GV217">
        <v>0</v>
      </c>
      <c r="GW217">
        <v>0</v>
      </c>
      <c r="GX217">
        <v>1</v>
      </c>
      <c r="GY217">
        <v>0</v>
      </c>
      <c r="GZ217">
        <v>0</v>
      </c>
      <c r="HB217" t="s">
        <v>839</v>
      </c>
    </row>
    <row r="218" spans="1:211" x14ac:dyDescent="0.35">
      <c r="A218" t="s">
        <v>2170</v>
      </c>
      <c r="B218" s="154">
        <v>45637.444085648152</v>
      </c>
      <c r="C218" t="s">
        <v>2171</v>
      </c>
      <c r="D218" t="s">
        <v>2172</v>
      </c>
      <c r="E218" t="s">
        <v>835</v>
      </c>
      <c r="F218" t="s">
        <v>2173</v>
      </c>
      <c r="G218" t="s">
        <v>2173</v>
      </c>
      <c r="H218" t="s">
        <v>839</v>
      </c>
      <c r="I218" t="s">
        <v>838</v>
      </c>
      <c r="K218" t="s">
        <v>839</v>
      </c>
      <c r="L218" t="s">
        <v>887</v>
      </c>
      <c r="O218">
        <v>26</v>
      </c>
      <c r="P218">
        <v>28</v>
      </c>
      <c r="Q218">
        <v>54</v>
      </c>
      <c r="S218" t="s">
        <v>841</v>
      </c>
      <c r="T218" t="s">
        <v>841</v>
      </c>
      <c r="U218" t="s">
        <v>841</v>
      </c>
      <c r="V218" t="s">
        <v>841</v>
      </c>
      <c r="AH218">
        <v>1</v>
      </c>
      <c r="AI218">
        <v>1</v>
      </c>
      <c r="AJ218">
        <v>1</v>
      </c>
      <c r="AK218">
        <v>1</v>
      </c>
      <c r="AZ218" t="s">
        <v>841</v>
      </c>
      <c r="BM218" t="s">
        <v>841</v>
      </c>
      <c r="BS218" t="s">
        <v>841</v>
      </c>
      <c r="BV218" t="s">
        <v>842</v>
      </c>
      <c r="BX218" t="s">
        <v>839</v>
      </c>
      <c r="BY218" t="s">
        <v>950</v>
      </c>
      <c r="BZ218" t="s">
        <v>839</v>
      </c>
      <c r="CA218" t="s">
        <v>839</v>
      </c>
      <c r="CC218" t="s">
        <v>842</v>
      </c>
      <c r="CD218" t="s">
        <v>855</v>
      </c>
      <c r="CG218">
        <v>3</v>
      </c>
      <c r="CH218">
        <v>0</v>
      </c>
      <c r="CI218">
        <v>0</v>
      </c>
      <c r="CJ218">
        <v>3</v>
      </c>
      <c r="CK218" t="s">
        <v>856</v>
      </c>
      <c r="CM218" t="s">
        <v>844</v>
      </c>
      <c r="CN218">
        <v>1</v>
      </c>
      <c r="CO218">
        <v>0</v>
      </c>
      <c r="CP218">
        <v>0</v>
      </c>
      <c r="CQ218">
        <v>0</v>
      </c>
      <c r="CR218">
        <v>0</v>
      </c>
      <c r="CS218">
        <v>0</v>
      </c>
      <c r="CU218" t="s">
        <v>1311</v>
      </c>
      <c r="CV218">
        <v>1</v>
      </c>
      <c r="CW218">
        <v>0</v>
      </c>
      <c r="CX218">
        <v>1</v>
      </c>
      <c r="CY218">
        <v>1</v>
      </c>
      <c r="CZ218">
        <v>0</v>
      </c>
      <c r="DA218">
        <v>0</v>
      </c>
      <c r="DB218">
        <v>0</v>
      </c>
      <c r="DC218">
        <v>0</v>
      </c>
      <c r="DD218">
        <v>1</v>
      </c>
      <c r="DE218">
        <v>0</v>
      </c>
      <c r="DF218">
        <v>0</v>
      </c>
      <c r="DJ218">
        <v>0</v>
      </c>
      <c r="DK218">
        <v>5</v>
      </c>
      <c r="DL218">
        <v>5</v>
      </c>
      <c r="DN218">
        <v>1000</v>
      </c>
      <c r="DP218">
        <v>1500</v>
      </c>
      <c r="DR218" t="s">
        <v>1082</v>
      </c>
      <c r="DS218">
        <v>0</v>
      </c>
      <c r="DT218">
        <v>1</v>
      </c>
      <c r="DU218">
        <v>1</v>
      </c>
      <c r="DV218">
        <v>0</v>
      </c>
      <c r="DW218">
        <v>0</v>
      </c>
      <c r="DX218">
        <v>0</v>
      </c>
      <c r="DY218">
        <v>0</v>
      </c>
      <c r="DZ218">
        <v>0</v>
      </c>
      <c r="EA218">
        <v>0</v>
      </c>
      <c r="EC218" t="s">
        <v>839</v>
      </c>
      <c r="ED218" t="s">
        <v>847</v>
      </c>
      <c r="EE218" t="s">
        <v>928</v>
      </c>
      <c r="EI218">
        <v>950</v>
      </c>
      <c r="EM218" t="s">
        <v>841</v>
      </c>
      <c r="ET218" t="s">
        <v>841</v>
      </c>
      <c r="EZ218" t="s">
        <v>841</v>
      </c>
      <c r="FA218">
        <v>10</v>
      </c>
      <c r="FB218" t="s">
        <v>841</v>
      </c>
      <c r="FL218" t="s">
        <v>841</v>
      </c>
      <c r="FM218">
        <v>100</v>
      </c>
      <c r="FO218">
        <v>0</v>
      </c>
      <c r="FP218">
        <v>0</v>
      </c>
      <c r="FQ218">
        <v>0</v>
      </c>
      <c r="FS218" t="s">
        <v>839</v>
      </c>
      <c r="FT218" t="s">
        <v>839</v>
      </c>
      <c r="FU218" t="s">
        <v>839</v>
      </c>
      <c r="FV218" t="s">
        <v>839</v>
      </c>
      <c r="FW218" t="s">
        <v>842</v>
      </c>
      <c r="FY218" t="s">
        <v>839</v>
      </c>
      <c r="FZ218" t="s">
        <v>839</v>
      </c>
      <c r="GA218" t="s">
        <v>839</v>
      </c>
      <c r="GB218" t="s">
        <v>839</v>
      </c>
      <c r="GC218" t="s">
        <v>839</v>
      </c>
      <c r="GD218" t="s">
        <v>839</v>
      </c>
      <c r="GE218" t="s">
        <v>881</v>
      </c>
      <c r="GG218" t="s">
        <v>842</v>
      </c>
      <c r="GI218" t="s">
        <v>2174</v>
      </c>
      <c r="GJ218">
        <v>1</v>
      </c>
      <c r="GK218">
        <v>0</v>
      </c>
      <c r="GL218">
        <v>0</v>
      </c>
      <c r="GM218">
        <v>0</v>
      </c>
      <c r="GN218">
        <v>0</v>
      </c>
      <c r="GO218">
        <v>0</v>
      </c>
      <c r="GP218">
        <v>0</v>
      </c>
      <c r="GQ218">
        <v>0</v>
      </c>
      <c r="GR218">
        <v>0</v>
      </c>
      <c r="GS218">
        <v>1</v>
      </c>
      <c r="GT218">
        <v>1</v>
      </c>
      <c r="GU218">
        <v>0</v>
      </c>
      <c r="GV218">
        <v>0</v>
      </c>
      <c r="GW218">
        <v>0</v>
      </c>
      <c r="GX218">
        <v>0</v>
      </c>
      <c r="GY218">
        <v>0</v>
      </c>
      <c r="GZ218">
        <v>0</v>
      </c>
      <c r="HB218" t="s">
        <v>839</v>
      </c>
    </row>
    <row r="219" spans="1:211" x14ac:dyDescent="0.35">
      <c r="A219" t="s">
        <v>2175</v>
      </c>
      <c r="B219" s="154">
        <v>45637.457129629627</v>
      </c>
      <c r="C219" t="s">
        <v>2176</v>
      </c>
      <c r="D219" t="s">
        <v>2177</v>
      </c>
      <c r="E219" t="s">
        <v>835</v>
      </c>
      <c r="F219" t="s">
        <v>2178</v>
      </c>
      <c r="G219" t="s">
        <v>2179</v>
      </c>
      <c r="H219" t="s">
        <v>839</v>
      </c>
      <c r="I219" t="s">
        <v>838</v>
      </c>
      <c r="K219" t="s">
        <v>839</v>
      </c>
      <c r="L219" t="s">
        <v>887</v>
      </c>
      <c r="O219">
        <v>56</v>
      </c>
      <c r="P219">
        <v>49</v>
      </c>
      <c r="Q219">
        <v>105</v>
      </c>
      <c r="T219" t="s">
        <v>841</v>
      </c>
      <c r="U219" t="s">
        <v>841</v>
      </c>
      <c r="V219" t="s">
        <v>841</v>
      </c>
      <c r="W219" t="s">
        <v>841</v>
      </c>
      <c r="X219" t="s">
        <v>841</v>
      </c>
      <c r="Y219" t="s">
        <v>841</v>
      </c>
      <c r="Z219" t="s">
        <v>841</v>
      </c>
      <c r="AA219" t="s">
        <v>841</v>
      </c>
      <c r="AB219" t="s">
        <v>841</v>
      </c>
      <c r="AC219" t="s">
        <v>841</v>
      </c>
      <c r="AD219" t="s">
        <v>841</v>
      </c>
      <c r="AE219" t="s">
        <v>841</v>
      </c>
      <c r="AF219" t="s">
        <v>841</v>
      </c>
      <c r="AI219">
        <v>1</v>
      </c>
      <c r="AJ219">
        <v>1</v>
      </c>
      <c r="AK219">
        <v>1</v>
      </c>
      <c r="AL219">
        <v>1</v>
      </c>
      <c r="AM219">
        <v>1</v>
      </c>
      <c r="AN219">
        <v>1</v>
      </c>
      <c r="AO219">
        <v>1</v>
      </c>
      <c r="AP219">
        <v>1</v>
      </c>
      <c r="AQ219">
        <v>1</v>
      </c>
      <c r="AR219">
        <v>1</v>
      </c>
      <c r="AS219">
        <v>1</v>
      </c>
      <c r="AT219">
        <v>1</v>
      </c>
      <c r="AU219">
        <v>1</v>
      </c>
      <c r="AZ219" t="s">
        <v>841</v>
      </c>
      <c r="BJ219">
        <v>5</v>
      </c>
      <c r="BK219">
        <v>5</v>
      </c>
      <c r="BL219">
        <v>10</v>
      </c>
      <c r="BS219" t="s">
        <v>841</v>
      </c>
      <c r="BV219" t="s">
        <v>839</v>
      </c>
      <c r="BW219" t="s">
        <v>759</v>
      </c>
      <c r="BX219" t="s">
        <v>839</v>
      </c>
      <c r="BY219" t="s">
        <v>759</v>
      </c>
      <c r="BZ219" t="s">
        <v>839</v>
      </c>
      <c r="CA219" t="s">
        <v>839</v>
      </c>
      <c r="CC219" t="s">
        <v>839</v>
      </c>
      <c r="CD219" t="s">
        <v>855</v>
      </c>
      <c r="CG219">
        <v>4</v>
      </c>
      <c r="CH219">
        <v>2</v>
      </c>
      <c r="CI219">
        <v>2</v>
      </c>
      <c r="CJ219">
        <v>0</v>
      </c>
      <c r="CK219" t="s">
        <v>877</v>
      </c>
      <c r="CM219" t="s">
        <v>867</v>
      </c>
      <c r="CN219">
        <v>0</v>
      </c>
      <c r="CO219">
        <v>1</v>
      </c>
      <c r="CP219">
        <v>0</v>
      </c>
      <c r="CQ219">
        <v>0</v>
      </c>
      <c r="CR219">
        <v>0</v>
      </c>
      <c r="CS219">
        <v>0</v>
      </c>
      <c r="CU219" t="s">
        <v>2180</v>
      </c>
      <c r="CV219">
        <v>1</v>
      </c>
      <c r="CW219">
        <v>0</v>
      </c>
      <c r="CX219">
        <v>1</v>
      </c>
      <c r="CY219">
        <v>0</v>
      </c>
      <c r="CZ219">
        <v>0</v>
      </c>
      <c r="DA219">
        <v>0</v>
      </c>
      <c r="DB219">
        <v>1</v>
      </c>
      <c r="DC219">
        <v>1</v>
      </c>
      <c r="DD219">
        <v>0</v>
      </c>
      <c r="DE219">
        <v>0</v>
      </c>
      <c r="DF219">
        <v>0</v>
      </c>
      <c r="DJ219">
        <v>4</v>
      </c>
      <c r="DK219">
        <v>12</v>
      </c>
      <c r="DL219">
        <v>16</v>
      </c>
      <c r="DN219">
        <v>500</v>
      </c>
      <c r="DP219">
        <v>1500</v>
      </c>
      <c r="DR219" t="s">
        <v>1181</v>
      </c>
      <c r="DS219">
        <v>1</v>
      </c>
      <c r="DT219">
        <v>0</v>
      </c>
      <c r="DU219">
        <v>1</v>
      </c>
      <c r="DV219">
        <v>0</v>
      </c>
      <c r="DW219">
        <v>1</v>
      </c>
      <c r="DX219">
        <v>0</v>
      </c>
      <c r="DY219">
        <v>0</v>
      </c>
      <c r="DZ219">
        <v>0</v>
      </c>
      <c r="EA219">
        <v>0</v>
      </c>
      <c r="EC219" t="s">
        <v>839</v>
      </c>
      <c r="ED219" t="s">
        <v>869</v>
      </c>
      <c r="EE219" t="s">
        <v>848</v>
      </c>
      <c r="EI219">
        <v>365</v>
      </c>
      <c r="EM219" t="s">
        <v>841</v>
      </c>
      <c r="EO219">
        <v>365</v>
      </c>
      <c r="ES219" t="s">
        <v>841</v>
      </c>
      <c r="EU219">
        <v>420</v>
      </c>
      <c r="EY219" t="s">
        <v>841</v>
      </c>
      <c r="FF219" t="s">
        <v>841</v>
      </c>
      <c r="FL219" t="s">
        <v>841</v>
      </c>
      <c r="FM219">
        <v>147</v>
      </c>
      <c r="FO219">
        <v>5</v>
      </c>
      <c r="FP219">
        <v>5</v>
      </c>
      <c r="FQ219">
        <v>10</v>
      </c>
      <c r="FS219" t="s">
        <v>839</v>
      </c>
      <c r="FT219" t="s">
        <v>839</v>
      </c>
      <c r="FU219" t="s">
        <v>839</v>
      </c>
      <c r="FV219" t="s">
        <v>839</v>
      </c>
      <c r="FW219" t="s">
        <v>839</v>
      </c>
      <c r="FX219" t="s">
        <v>910</v>
      </c>
      <c r="FY219" t="s">
        <v>839</v>
      </c>
      <c r="FZ219" t="s">
        <v>839</v>
      </c>
      <c r="GA219" t="s">
        <v>839</v>
      </c>
      <c r="GB219" t="s">
        <v>842</v>
      </c>
      <c r="GC219" t="s">
        <v>842</v>
      </c>
      <c r="GD219" t="s">
        <v>839</v>
      </c>
      <c r="GE219" t="s">
        <v>929</v>
      </c>
      <c r="GG219" t="s">
        <v>839</v>
      </c>
      <c r="GI219" t="s">
        <v>849</v>
      </c>
      <c r="GJ219">
        <v>1</v>
      </c>
      <c r="GK219">
        <v>0</v>
      </c>
      <c r="GL219">
        <v>0</v>
      </c>
      <c r="GM219">
        <v>0</v>
      </c>
      <c r="GN219">
        <v>0</v>
      </c>
      <c r="GO219">
        <v>0</v>
      </c>
      <c r="GP219">
        <v>0</v>
      </c>
      <c r="GQ219">
        <v>0</v>
      </c>
      <c r="GR219">
        <v>0</v>
      </c>
      <c r="GS219">
        <v>0</v>
      </c>
      <c r="GT219">
        <v>0</v>
      </c>
      <c r="GU219">
        <v>0</v>
      </c>
      <c r="GV219">
        <v>0</v>
      </c>
      <c r="GW219">
        <v>0</v>
      </c>
      <c r="GX219">
        <v>0</v>
      </c>
      <c r="GY219">
        <v>0</v>
      </c>
      <c r="GZ219">
        <v>0</v>
      </c>
      <c r="HB219" t="s">
        <v>842</v>
      </c>
      <c r="HC219" t="s">
        <v>2181</v>
      </c>
    </row>
    <row r="220" spans="1:211" x14ac:dyDescent="0.35">
      <c r="A220" t="s">
        <v>2182</v>
      </c>
      <c r="B220" s="154">
        <v>45637.473935185182</v>
      </c>
      <c r="C220" t="s">
        <v>2183</v>
      </c>
      <c r="D220" t="s">
        <v>2184</v>
      </c>
      <c r="E220" t="s">
        <v>875</v>
      </c>
      <c r="F220" t="s">
        <v>2185</v>
      </c>
      <c r="G220" t="s">
        <v>2186</v>
      </c>
      <c r="H220" t="s">
        <v>839</v>
      </c>
      <c r="I220" t="s">
        <v>838</v>
      </c>
      <c r="K220" t="s">
        <v>839</v>
      </c>
      <c r="L220" t="s">
        <v>887</v>
      </c>
      <c r="O220">
        <v>63</v>
      </c>
      <c r="P220">
        <v>54</v>
      </c>
      <c r="Q220">
        <v>117</v>
      </c>
      <c r="T220" t="s">
        <v>841</v>
      </c>
      <c r="U220" t="s">
        <v>841</v>
      </c>
      <c r="V220" t="s">
        <v>841</v>
      </c>
      <c r="W220" t="s">
        <v>841</v>
      </c>
      <c r="X220" t="s">
        <v>841</v>
      </c>
      <c r="Y220" t="s">
        <v>841</v>
      </c>
      <c r="Z220" t="s">
        <v>841</v>
      </c>
      <c r="AA220" t="s">
        <v>841</v>
      </c>
      <c r="AB220" t="s">
        <v>841</v>
      </c>
      <c r="AC220" t="s">
        <v>841</v>
      </c>
      <c r="AI220">
        <v>1</v>
      </c>
      <c r="AJ220">
        <v>1</v>
      </c>
      <c r="AK220">
        <v>1</v>
      </c>
      <c r="AL220">
        <v>1</v>
      </c>
      <c r="AM220">
        <v>1</v>
      </c>
      <c r="AN220">
        <v>1</v>
      </c>
      <c r="AO220">
        <v>1</v>
      </c>
      <c r="AP220">
        <v>1</v>
      </c>
      <c r="AQ220">
        <v>1</v>
      </c>
      <c r="AR220">
        <v>1</v>
      </c>
      <c r="AZ220" t="s">
        <v>841</v>
      </c>
      <c r="BM220" t="s">
        <v>841</v>
      </c>
      <c r="BS220" t="s">
        <v>841</v>
      </c>
      <c r="BV220" t="s">
        <v>839</v>
      </c>
      <c r="BW220" t="s">
        <v>759</v>
      </c>
      <c r="BX220" t="s">
        <v>839</v>
      </c>
      <c r="BY220" t="s">
        <v>759</v>
      </c>
      <c r="BZ220" t="s">
        <v>839</v>
      </c>
      <c r="CA220" t="s">
        <v>839</v>
      </c>
      <c r="CC220" t="s">
        <v>839</v>
      </c>
      <c r="CD220" t="s">
        <v>855</v>
      </c>
      <c r="CG220">
        <v>6</v>
      </c>
      <c r="CH220">
        <v>3</v>
      </c>
      <c r="CI220">
        <v>3</v>
      </c>
      <c r="CJ220">
        <v>0</v>
      </c>
      <c r="CK220" t="s">
        <v>877</v>
      </c>
      <c r="CM220" t="s">
        <v>867</v>
      </c>
      <c r="CN220">
        <v>0</v>
      </c>
      <c r="CO220">
        <v>1</v>
      </c>
      <c r="CP220">
        <v>0</v>
      </c>
      <c r="CQ220">
        <v>0</v>
      </c>
      <c r="CR220">
        <v>0</v>
      </c>
      <c r="CS220">
        <v>0</v>
      </c>
      <c r="CU220" t="s">
        <v>2187</v>
      </c>
      <c r="CV220">
        <v>1</v>
      </c>
      <c r="CW220">
        <v>0</v>
      </c>
      <c r="CX220">
        <v>1</v>
      </c>
      <c r="CY220">
        <v>1</v>
      </c>
      <c r="CZ220">
        <v>0</v>
      </c>
      <c r="DA220">
        <v>1</v>
      </c>
      <c r="DB220">
        <v>0</v>
      </c>
      <c r="DC220">
        <v>0</v>
      </c>
      <c r="DD220">
        <v>1</v>
      </c>
      <c r="DE220">
        <v>0</v>
      </c>
      <c r="DF220">
        <v>0</v>
      </c>
      <c r="DJ220">
        <v>4</v>
      </c>
      <c r="DK220">
        <v>5</v>
      </c>
      <c r="DL220">
        <v>9</v>
      </c>
      <c r="DN220">
        <v>400</v>
      </c>
      <c r="DP220">
        <v>500</v>
      </c>
      <c r="DR220" t="s">
        <v>937</v>
      </c>
      <c r="DS220">
        <v>1</v>
      </c>
      <c r="DT220">
        <v>0</v>
      </c>
      <c r="DU220">
        <v>0</v>
      </c>
      <c r="DV220">
        <v>0</v>
      </c>
      <c r="DW220">
        <v>0</v>
      </c>
      <c r="DX220">
        <v>0</v>
      </c>
      <c r="DY220">
        <v>0</v>
      </c>
      <c r="DZ220">
        <v>0</v>
      </c>
      <c r="EA220">
        <v>0</v>
      </c>
      <c r="EC220" t="s">
        <v>839</v>
      </c>
      <c r="ED220" t="s">
        <v>869</v>
      </c>
      <c r="EE220" t="s">
        <v>848</v>
      </c>
      <c r="EI220">
        <v>100</v>
      </c>
      <c r="EM220" t="s">
        <v>841</v>
      </c>
      <c r="EO220">
        <v>100</v>
      </c>
      <c r="ES220" t="s">
        <v>841</v>
      </c>
      <c r="EZ220" t="s">
        <v>841</v>
      </c>
      <c r="FF220" t="s">
        <v>841</v>
      </c>
      <c r="FL220" t="s">
        <v>841</v>
      </c>
      <c r="FM220">
        <v>40</v>
      </c>
      <c r="FO220">
        <v>0</v>
      </c>
      <c r="FP220">
        <v>0</v>
      </c>
      <c r="FQ220">
        <v>0</v>
      </c>
      <c r="FS220" t="s">
        <v>842</v>
      </c>
      <c r="FT220" t="s">
        <v>842</v>
      </c>
      <c r="FU220" t="s">
        <v>839</v>
      </c>
      <c r="FV220" t="s">
        <v>839</v>
      </c>
      <c r="FW220" t="s">
        <v>839</v>
      </c>
      <c r="FX220" t="s">
        <v>965</v>
      </c>
      <c r="FY220" t="s">
        <v>839</v>
      </c>
      <c r="FZ220" t="s">
        <v>839</v>
      </c>
      <c r="GA220" t="s">
        <v>839</v>
      </c>
      <c r="GB220" t="s">
        <v>839</v>
      </c>
      <c r="GC220" t="s">
        <v>839</v>
      </c>
      <c r="GD220" t="s">
        <v>839</v>
      </c>
      <c r="GE220" t="s">
        <v>881</v>
      </c>
      <c r="GG220" t="s">
        <v>839</v>
      </c>
      <c r="GI220" t="s">
        <v>2188</v>
      </c>
      <c r="GJ220">
        <v>0</v>
      </c>
      <c r="GK220">
        <v>0</v>
      </c>
      <c r="GL220">
        <v>0</v>
      </c>
      <c r="GM220">
        <v>0</v>
      </c>
      <c r="GN220">
        <v>0</v>
      </c>
      <c r="GO220">
        <v>0</v>
      </c>
      <c r="GP220">
        <v>0</v>
      </c>
      <c r="GQ220">
        <v>0</v>
      </c>
      <c r="GR220">
        <v>0</v>
      </c>
      <c r="GS220">
        <v>0</v>
      </c>
      <c r="GT220">
        <v>0</v>
      </c>
      <c r="GU220">
        <v>1</v>
      </c>
      <c r="GV220">
        <v>0</v>
      </c>
      <c r="GW220">
        <v>0</v>
      </c>
      <c r="GX220">
        <v>0</v>
      </c>
      <c r="GY220">
        <v>0</v>
      </c>
      <c r="GZ220">
        <v>0</v>
      </c>
      <c r="HB220" t="s">
        <v>839</v>
      </c>
    </row>
    <row r="221" spans="1:211" x14ac:dyDescent="0.35">
      <c r="A221" t="s">
        <v>2189</v>
      </c>
      <c r="B221" s="154">
        <v>45637.608391203707</v>
      </c>
      <c r="C221" t="s">
        <v>2190</v>
      </c>
      <c r="D221" t="s">
        <v>2191</v>
      </c>
      <c r="E221" t="s">
        <v>835</v>
      </c>
      <c r="F221" t="s">
        <v>2192</v>
      </c>
      <c r="G221" t="s">
        <v>2193</v>
      </c>
      <c r="H221" t="s">
        <v>839</v>
      </c>
      <c r="I221" t="s">
        <v>838</v>
      </c>
      <c r="K221" t="s">
        <v>839</v>
      </c>
      <c r="L221" t="s">
        <v>887</v>
      </c>
      <c r="O221">
        <v>126</v>
      </c>
      <c r="P221">
        <v>118</v>
      </c>
      <c r="Q221">
        <v>244</v>
      </c>
      <c r="S221" t="s">
        <v>841</v>
      </c>
      <c r="T221" t="s">
        <v>841</v>
      </c>
      <c r="U221" t="s">
        <v>841</v>
      </c>
      <c r="V221" t="s">
        <v>841</v>
      </c>
      <c r="W221" t="s">
        <v>841</v>
      </c>
      <c r="X221" t="s">
        <v>841</v>
      </c>
      <c r="Y221" t="s">
        <v>841</v>
      </c>
      <c r="Z221" t="s">
        <v>841</v>
      </c>
      <c r="AA221" t="s">
        <v>841</v>
      </c>
      <c r="AB221" t="s">
        <v>841</v>
      </c>
      <c r="AC221" t="s">
        <v>841</v>
      </c>
      <c r="AD221" t="s">
        <v>841</v>
      </c>
      <c r="AE221" t="s">
        <v>841</v>
      </c>
      <c r="AF221" t="s">
        <v>841</v>
      </c>
      <c r="AH221">
        <v>1</v>
      </c>
      <c r="AI221">
        <v>1</v>
      </c>
      <c r="AJ221">
        <v>1</v>
      </c>
      <c r="AK221">
        <v>1</v>
      </c>
      <c r="AL221">
        <v>1</v>
      </c>
      <c r="AM221">
        <v>1</v>
      </c>
      <c r="AN221">
        <v>1</v>
      </c>
      <c r="AO221">
        <v>1</v>
      </c>
      <c r="AP221">
        <v>1</v>
      </c>
      <c r="AQ221">
        <v>1</v>
      </c>
      <c r="AR221">
        <v>1</v>
      </c>
      <c r="AZ221" t="s">
        <v>841</v>
      </c>
      <c r="BM221" t="s">
        <v>841</v>
      </c>
      <c r="BS221" t="s">
        <v>841</v>
      </c>
      <c r="BV221" t="s">
        <v>842</v>
      </c>
      <c r="BX221" t="s">
        <v>839</v>
      </c>
      <c r="BY221" t="s">
        <v>759</v>
      </c>
      <c r="BZ221" t="s">
        <v>839</v>
      </c>
      <c r="CA221" t="s">
        <v>839</v>
      </c>
      <c r="CC221" t="s">
        <v>839</v>
      </c>
      <c r="CD221" t="s">
        <v>855</v>
      </c>
      <c r="CG221">
        <v>3</v>
      </c>
      <c r="CH221">
        <v>1</v>
      </c>
      <c r="CI221">
        <v>1</v>
      </c>
      <c r="CJ221">
        <v>1</v>
      </c>
      <c r="CK221" t="s">
        <v>877</v>
      </c>
      <c r="CM221" t="s">
        <v>844</v>
      </c>
      <c r="CN221">
        <v>1</v>
      </c>
      <c r="CO221">
        <v>0</v>
      </c>
      <c r="CP221">
        <v>0</v>
      </c>
      <c r="CQ221">
        <v>0</v>
      </c>
      <c r="CR221">
        <v>0</v>
      </c>
      <c r="CS221">
        <v>0</v>
      </c>
      <c r="CU221" t="s">
        <v>2194</v>
      </c>
      <c r="CV221">
        <v>1</v>
      </c>
      <c r="CW221">
        <v>1</v>
      </c>
      <c r="CX221">
        <v>1</v>
      </c>
      <c r="CY221">
        <v>1</v>
      </c>
      <c r="CZ221">
        <v>0</v>
      </c>
      <c r="DA221">
        <v>0</v>
      </c>
      <c r="DB221">
        <v>0</v>
      </c>
      <c r="DC221">
        <v>0</v>
      </c>
      <c r="DD221">
        <v>0</v>
      </c>
      <c r="DE221">
        <v>1</v>
      </c>
      <c r="DF221">
        <v>0</v>
      </c>
      <c r="DJ221">
        <v>3</v>
      </c>
      <c r="DK221">
        <v>10</v>
      </c>
      <c r="DL221">
        <v>13</v>
      </c>
      <c r="DN221">
        <v>400</v>
      </c>
      <c r="DP221">
        <v>2000</v>
      </c>
      <c r="DR221" t="s">
        <v>927</v>
      </c>
      <c r="DS221">
        <v>1</v>
      </c>
      <c r="DT221">
        <v>0</v>
      </c>
      <c r="DU221">
        <v>1</v>
      </c>
      <c r="DV221">
        <v>0</v>
      </c>
      <c r="DW221">
        <v>0</v>
      </c>
      <c r="DX221">
        <v>0</v>
      </c>
      <c r="DY221">
        <v>0</v>
      </c>
      <c r="DZ221">
        <v>0</v>
      </c>
      <c r="EA221">
        <v>0</v>
      </c>
      <c r="EC221" t="s">
        <v>839</v>
      </c>
      <c r="ED221" t="s">
        <v>869</v>
      </c>
      <c r="EE221" t="s">
        <v>848</v>
      </c>
      <c r="EI221">
        <v>255</v>
      </c>
      <c r="EM221" t="s">
        <v>841</v>
      </c>
      <c r="EO221">
        <v>255</v>
      </c>
      <c r="ES221" t="s">
        <v>841</v>
      </c>
      <c r="EZ221" t="s">
        <v>841</v>
      </c>
      <c r="FA221">
        <v>7</v>
      </c>
      <c r="FB221" t="s">
        <v>841</v>
      </c>
      <c r="FL221" t="s">
        <v>841</v>
      </c>
      <c r="FM221">
        <v>40</v>
      </c>
      <c r="FO221">
        <v>0</v>
      </c>
      <c r="FP221">
        <v>0</v>
      </c>
      <c r="FQ221">
        <v>0</v>
      </c>
      <c r="FS221" t="s">
        <v>842</v>
      </c>
      <c r="FT221" t="s">
        <v>842</v>
      </c>
      <c r="FU221" t="s">
        <v>839</v>
      </c>
      <c r="FV221" t="s">
        <v>839</v>
      </c>
      <c r="FW221" t="s">
        <v>842</v>
      </c>
      <c r="FY221" t="s">
        <v>842</v>
      </c>
      <c r="FZ221" t="s">
        <v>839</v>
      </c>
      <c r="GA221" t="s">
        <v>839</v>
      </c>
      <c r="GB221" t="s">
        <v>842</v>
      </c>
      <c r="GC221" t="s">
        <v>842</v>
      </c>
      <c r="GD221" t="s">
        <v>839</v>
      </c>
      <c r="GE221" t="s">
        <v>881</v>
      </c>
      <c r="GG221" t="s">
        <v>842</v>
      </c>
      <c r="GI221" t="s">
        <v>2188</v>
      </c>
      <c r="GJ221">
        <v>0</v>
      </c>
      <c r="GK221">
        <v>0</v>
      </c>
      <c r="GL221">
        <v>0</v>
      </c>
      <c r="GM221">
        <v>0</v>
      </c>
      <c r="GN221">
        <v>0</v>
      </c>
      <c r="GO221">
        <v>0</v>
      </c>
      <c r="GP221">
        <v>0</v>
      </c>
      <c r="GQ221">
        <v>0</v>
      </c>
      <c r="GR221">
        <v>0</v>
      </c>
      <c r="GS221">
        <v>0</v>
      </c>
      <c r="GT221">
        <v>0</v>
      </c>
      <c r="GU221">
        <v>1</v>
      </c>
      <c r="GV221">
        <v>0</v>
      </c>
      <c r="GW221">
        <v>0</v>
      </c>
      <c r="GX221">
        <v>0</v>
      </c>
      <c r="GY221">
        <v>0</v>
      </c>
      <c r="GZ221">
        <v>0</v>
      </c>
      <c r="HB221" t="s">
        <v>842</v>
      </c>
      <c r="HC221" t="s">
        <v>2195</v>
      </c>
    </row>
    <row r="222" spans="1:211" x14ac:dyDescent="0.35">
      <c r="A222" t="s">
        <v>2196</v>
      </c>
      <c r="B222" s="154">
        <v>45637.614027777781</v>
      </c>
      <c r="C222" t="s">
        <v>2197</v>
      </c>
      <c r="D222" t="s">
        <v>2198</v>
      </c>
      <c r="E222" t="s">
        <v>835</v>
      </c>
      <c r="F222" t="s">
        <v>2199</v>
      </c>
      <c r="G222" t="s">
        <v>2199</v>
      </c>
      <c r="H222" t="s">
        <v>839</v>
      </c>
      <c r="I222" t="s">
        <v>838</v>
      </c>
      <c r="K222" t="s">
        <v>839</v>
      </c>
      <c r="L222" t="s">
        <v>887</v>
      </c>
      <c r="O222">
        <v>86</v>
      </c>
      <c r="P222">
        <v>73</v>
      </c>
      <c r="Q222">
        <v>159</v>
      </c>
      <c r="T222" t="s">
        <v>841</v>
      </c>
      <c r="U222" t="s">
        <v>841</v>
      </c>
      <c r="V222" t="s">
        <v>841</v>
      </c>
      <c r="W222" t="s">
        <v>841</v>
      </c>
      <c r="X222" t="s">
        <v>841</v>
      </c>
      <c r="Y222" t="s">
        <v>841</v>
      </c>
      <c r="Z222" t="s">
        <v>841</v>
      </c>
      <c r="AA222" t="s">
        <v>841</v>
      </c>
      <c r="AI222">
        <v>1</v>
      </c>
      <c r="AJ222">
        <v>1</v>
      </c>
      <c r="AK222">
        <v>1</v>
      </c>
      <c r="AL222">
        <v>1</v>
      </c>
      <c r="AM222">
        <v>1</v>
      </c>
      <c r="AN222">
        <v>1</v>
      </c>
      <c r="AO222">
        <v>1</v>
      </c>
      <c r="AP222">
        <v>1</v>
      </c>
      <c r="AZ222" t="s">
        <v>841</v>
      </c>
      <c r="BM222" t="s">
        <v>841</v>
      </c>
      <c r="BS222" t="s">
        <v>841</v>
      </c>
      <c r="BV222" t="s">
        <v>839</v>
      </c>
      <c r="BW222" t="s">
        <v>950</v>
      </c>
      <c r="BX222" t="s">
        <v>839</v>
      </c>
      <c r="BY222" t="s">
        <v>759</v>
      </c>
      <c r="BZ222" t="s">
        <v>839</v>
      </c>
      <c r="CA222" t="s">
        <v>839</v>
      </c>
      <c r="CC222" t="s">
        <v>839</v>
      </c>
      <c r="CD222" t="s">
        <v>855</v>
      </c>
      <c r="CG222">
        <v>4</v>
      </c>
      <c r="CH222">
        <v>2</v>
      </c>
      <c r="CI222">
        <v>2</v>
      </c>
      <c r="CJ222">
        <v>0</v>
      </c>
      <c r="CK222" t="s">
        <v>877</v>
      </c>
      <c r="CM222" t="s">
        <v>867</v>
      </c>
      <c r="CN222">
        <v>0</v>
      </c>
      <c r="CO222">
        <v>1</v>
      </c>
      <c r="CP222">
        <v>0</v>
      </c>
      <c r="CQ222">
        <v>0</v>
      </c>
      <c r="CR222">
        <v>0</v>
      </c>
      <c r="CS222">
        <v>0</v>
      </c>
      <c r="CU222" t="s">
        <v>868</v>
      </c>
      <c r="CV222">
        <v>1</v>
      </c>
      <c r="CW222">
        <v>0</v>
      </c>
      <c r="CX222">
        <v>1</v>
      </c>
      <c r="CY222">
        <v>0</v>
      </c>
      <c r="CZ222">
        <v>0</v>
      </c>
      <c r="DA222">
        <v>0</v>
      </c>
      <c r="DB222">
        <v>0</v>
      </c>
      <c r="DC222">
        <v>0</v>
      </c>
      <c r="DD222">
        <v>1</v>
      </c>
      <c r="DE222">
        <v>1</v>
      </c>
      <c r="DF222">
        <v>0</v>
      </c>
      <c r="DJ222">
        <v>3</v>
      </c>
      <c r="DK222">
        <v>5</v>
      </c>
      <c r="DL222">
        <v>8</v>
      </c>
      <c r="DN222">
        <v>400</v>
      </c>
      <c r="DP222">
        <v>700</v>
      </c>
      <c r="DR222" t="s">
        <v>937</v>
      </c>
      <c r="DS222">
        <v>1</v>
      </c>
      <c r="DT222">
        <v>0</v>
      </c>
      <c r="DU222">
        <v>0</v>
      </c>
      <c r="DV222">
        <v>0</v>
      </c>
      <c r="DW222">
        <v>0</v>
      </c>
      <c r="DX222">
        <v>0</v>
      </c>
      <c r="DY222">
        <v>0</v>
      </c>
      <c r="DZ222">
        <v>0</v>
      </c>
      <c r="EA222">
        <v>0</v>
      </c>
      <c r="EC222" t="s">
        <v>839</v>
      </c>
      <c r="ED222" t="s">
        <v>1243</v>
      </c>
      <c r="EE222" t="s">
        <v>848</v>
      </c>
      <c r="EI222">
        <v>350</v>
      </c>
      <c r="EM222" t="s">
        <v>841</v>
      </c>
      <c r="EO222">
        <v>370</v>
      </c>
      <c r="ES222" t="s">
        <v>841</v>
      </c>
      <c r="EZ222" t="s">
        <v>841</v>
      </c>
      <c r="FA222">
        <v>30</v>
      </c>
      <c r="FC222" t="s">
        <v>841</v>
      </c>
      <c r="FG222">
        <v>8</v>
      </c>
      <c r="FH222" t="s">
        <v>841</v>
      </c>
      <c r="FM222">
        <v>60</v>
      </c>
      <c r="FO222">
        <v>0</v>
      </c>
      <c r="FP222">
        <v>0</v>
      </c>
      <c r="FQ222">
        <v>0</v>
      </c>
      <c r="FS222" t="s">
        <v>839</v>
      </c>
      <c r="FT222" t="s">
        <v>839</v>
      </c>
      <c r="FU222" t="s">
        <v>839</v>
      </c>
      <c r="FV222" t="s">
        <v>839</v>
      </c>
      <c r="FW222" t="s">
        <v>839</v>
      </c>
      <c r="FX222" t="s">
        <v>910</v>
      </c>
      <c r="FY222" t="s">
        <v>839</v>
      </c>
      <c r="FZ222" t="s">
        <v>839</v>
      </c>
      <c r="GA222" t="s">
        <v>842</v>
      </c>
      <c r="GB222" t="s">
        <v>842</v>
      </c>
      <c r="GC222" t="s">
        <v>842</v>
      </c>
      <c r="GD222" t="s">
        <v>839</v>
      </c>
      <c r="GE222" t="s">
        <v>881</v>
      </c>
      <c r="GG222" t="s">
        <v>842</v>
      </c>
      <c r="GI222" t="s">
        <v>1076</v>
      </c>
      <c r="GJ222">
        <v>0</v>
      </c>
      <c r="GK222">
        <v>0</v>
      </c>
      <c r="GL222">
        <v>0</v>
      </c>
      <c r="GM222">
        <v>0</v>
      </c>
      <c r="GN222">
        <v>0</v>
      </c>
      <c r="GO222">
        <v>0</v>
      </c>
      <c r="GP222">
        <v>0</v>
      </c>
      <c r="GQ222">
        <v>0</v>
      </c>
      <c r="GR222">
        <v>0</v>
      </c>
      <c r="GS222">
        <v>0</v>
      </c>
      <c r="GT222">
        <v>0</v>
      </c>
      <c r="GU222">
        <v>0</v>
      </c>
      <c r="GV222">
        <v>0</v>
      </c>
      <c r="GW222">
        <v>0</v>
      </c>
      <c r="GX222">
        <v>0</v>
      </c>
      <c r="GY222">
        <v>0</v>
      </c>
      <c r="GZ222">
        <v>1</v>
      </c>
      <c r="HB222" t="s">
        <v>842</v>
      </c>
      <c r="HC222" t="s">
        <v>871</v>
      </c>
    </row>
    <row r="223" spans="1:211" x14ac:dyDescent="0.35">
      <c r="A223" t="s">
        <v>2200</v>
      </c>
      <c r="B223" s="154">
        <v>45637.618981481479</v>
      </c>
      <c r="C223" t="s">
        <v>2201</v>
      </c>
      <c r="D223" t="s">
        <v>2202</v>
      </c>
      <c r="E223" t="s">
        <v>875</v>
      </c>
      <c r="F223" t="s">
        <v>2203</v>
      </c>
      <c r="G223" t="s">
        <v>2203</v>
      </c>
      <c r="H223" t="s">
        <v>839</v>
      </c>
      <c r="I223" t="s">
        <v>838</v>
      </c>
      <c r="K223" t="s">
        <v>839</v>
      </c>
      <c r="L223" t="s">
        <v>887</v>
      </c>
      <c r="O223">
        <v>100</v>
      </c>
      <c r="P223">
        <v>250</v>
      </c>
      <c r="Q223">
        <v>350</v>
      </c>
      <c r="T223" t="s">
        <v>841</v>
      </c>
      <c r="U223" t="s">
        <v>841</v>
      </c>
      <c r="V223" t="s">
        <v>841</v>
      </c>
      <c r="W223" t="s">
        <v>841</v>
      </c>
      <c r="X223" t="s">
        <v>841</v>
      </c>
      <c r="Y223" t="s">
        <v>841</v>
      </c>
      <c r="Z223" t="s">
        <v>841</v>
      </c>
      <c r="AA223" t="s">
        <v>841</v>
      </c>
      <c r="AB223" t="s">
        <v>841</v>
      </c>
      <c r="AC223" t="s">
        <v>841</v>
      </c>
      <c r="AI223">
        <v>1</v>
      </c>
      <c r="AJ223">
        <v>1</v>
      </c>
      <c r="AK223">
        <v>1</v>
      </c>
      <c r="AL223">
        <v>1</v>
      </c>
      <c r="AM223">
        <v>1</v>
      </c>
      <c r="AN223">
        <v>1</v>
      </c>
      <c r="AO223">
        <v>1</v>
      </c>
      <c r="AP223">
        <v>1</v>
      </c>
      <c r="AQ223">
        <v>1</v>
      </c>
      <c r="AR223">
        <v>1</v>
      </c>
      <c r="AZ223" t="s">
        <v>841</v>
      </c>
      <c r="BM223" t="s">
        <v>841</v>
      </c>
      <c r="BS223" t="s">
        <v>841</v>
      </c>
      <c r="BV223" t="s">
        <v>839</v>
      </c>
      <c r="BW223" t="s">
        <v>759</v>
      </c>
      <c r="BX223" t="s">
        <v>839</v>
      </c>
      <c r="BY223" t="s">
        <v>759</v>
      </c>
      <c r="BZ223" t="s">
        <v>839</v>
      </c>
      <c r="CA223" t="s">
        <v>839</v>
      </c>
      <c r="CC223" t="s">
        <v>839</v>
      </c>
      <c r="CD223" t="s">
        <v>855</v>
      </c>
      <c r="CG223">
        <v>2</v>
      </c>
      <c r="CH223">
        <v>1</v>
      </c>
      <c r="CI223">
        <v>1</v>
      </c>
      <c r="CJ223">
        <v>0</v>
      </c>
      <c r="CK223" t="s">
        <v>877</v>
      </c>
      <c r="CM223" t="s">
        <v>844</v>
      </c>
      <c r="CN223">
        <v>1</v>
      </c>
      <c r="CO223">
        <v>0</v>
      </c>
      <c r="CP223">
        <v>0</v>
      </c>
      <c r="CQ223">
        <v>0</v>
      </c>
      <c r="CR223">
        <v>0</v>
      </c>
      <c r="CS223">
        <v>0</v>
      </c>
      <c r="CU223" t="s">
        <v>1110</v>
      </c>
      <c r="CV223">
        <v>1</v>
      </c>
      <c r="CW223">
        <v>0</v>
      </c>
      <c r="CX223">
        <v>0</v>
      </c>
      <c r="CY223">
        <v>0</v>
      </c>
      <c r="CZ223">
        <v>0</v>
      </c>
      <c r="DA223">
        <v>0</v>
      </c>
      <c r="DB223">
        <v>0</v>
      </c>
      <c r="DC223">
        <v>0</v>
      </c>
      <c r="DD223">
        <v>0</v>
      </c>
      <c r="DE223">
        <v>0</v>
      </c>
      <c r="DF223">
        <v>0</v>
      </c>
      <c r="DJ223">
        <v>11</v>
      </c>
      <c r="DK223">
        <v>7</v>
      </c>
      <c r="DL223">
        <v>18</v>
      </c>
      <c r="DN223">
        <v>500</v>
      </c>
      <c r="DP223">
        <v>800</v>
      </c>
      <c r="DR223" t="s">
        <v>937</v>
      </c>
      <c r="DS223">
        <v>1</v>
      </c>
      <c r="DT223">
        <v>0</v>
      </c>
      <c r="DU223">
        <v>0</v>
      </c>
      <c r="DV223">
        <v>0</v>
      </c>
      <c r="DW223">
        <v>0</v>
      </c>
      <c r="DX223">
        <v>0</v>
      </c>
      <c r="DY223">
        <v>0</v>
      </c>
      <c r="DZ223">
        <v>0</v>
      </c>
      <c r="EA223">
        <v>0</v>
      </c>
      <c r="EC223" t="s">
        <v>839</v>
      </c>
      <c r="ED223" t="s">
        <v>1354</v>
      </c>
      <c r="EE223" t="s">
        <v>848</v>
      </c>
      <c r="EI223">
        <v>180</v>
      </c>
      <c r="EM223" t="s">
        <v>841</v>
      </c>
      <c r="EO223">
        <v>180</v>
      </c>
      <c r="ES223" t="s">
        <v>841</v>
      </c>
      <c r="EZ223" t="s">
        <v>841</v>
      </c>
      <c r="FA223">
        <v>6</v>
      </c>
      <c r="FB223" t="s">
        <v>841</v>
      </c>
      <c r="FG223">
        <v>5</v>
      </c>
      <c r="FH223" t="s">
        <v>841</v>
      </c>
      <c r="FM223">
        <v>25</v>
      </c>
      <c r="FO223">
        <v>0</v>
      </c>
      <c r="FP223">
        <v>0</v>
      </c>
      <c r="FQ223">
        <v>0</v>
      </c>
      <c r="FS223" t="s">
        <v>839</v>
      </c>
      <c r="FT223" t="s">
        <v>839</v>
      </c>
      <c r="FU223" t="s">
        <v>839</v>
      </c>
      <c r="FV223" t="s">
        <v>839</v>
      </c>
      <c r="FW223" t="s">
        <v>839</v>
      </c>
      <c r="FX223" t="s">
        <v>965</v>
      </c>
      <c r="FY223" t="s">
        <v>839</v>
      </c>
      <c r="FZ223" t="s">
        <v>839</v>
      </c>
      <c r="GA223" t="s">
        <v>839</v>
      </c>
      <c r="GB223" t="s">
        <v>839</v>
      </c>
      <c r="GC223" t="s">
        <v>842</v>
      </c>
      <c r="GD223" t="s">
        <v>839</v>
      </c>
      <c r="GE223" t="s">
        <v>881</v>
      </c>
      <c r="GG223" t="s">
        <v>839</v>
      </c>
      <c r="GI223" t="s">
        <v>1025</v>
      </c>
      <c r="GJ223">
        <v>1</v>
      </c>
      <c r="GK223">
        <v>0</v>
      </c>
      <c r="GL223">
        <v>0</v>
      </c>
      <c r="GM223">
        <v>0</v>
      </c>
      <c r="GN223">
        <v>0</v>
      </c>
      <c r="GO223">
        <v>1</v>
      </c>
      <c r="GP223">
        <v>0</v>
      </c>
      <c r="GQ223">
        <v>0</v>
      </c>
      <c r="GR223">
        <v>0</v>
      </c>
      <c r="GS223">
        <v>0</v>
      </c>
      <c r="GT223">
        <v>0</v>
      </c>
      <c r="GU223">
        <v>0</v>
      </c>
      <c r="GV223">
        <v>0</v>
      </c>
      <c r="GW223">
        <v>0</v>
      </c>
      <c r="GX223">
        <v>0</v>
      </c>
      <c r="GY223">
        <v>0</v>
      </c>
      <c r="GZ223">
        <v>0</v>
      </c>
      <c r="HB223" t="s">
        <v>839</v>
      </c>
    </row>
    <row r="224" spans="1:211" x14ac:dyDescent="0.35">
      <c r="A224" t="s">
        <v>2204</v>
      </c>
      <c r="B224" s="154">
        <v>45637.628125000003</v>
      </c>
      <c r="C224" t="s">
        <v>2205</v>
      </c>
      <c r="D224" t="s">
        <v>2206</v>
      </c>
      <c r="E224" t="s">
        <v>875</v>
      </c>
      <c r="F224" t="s">
        <v>2207</v>
      </c>
      <c r="G224" t="s">
        <v>2208</v>
      </c>
      <c r="H224" t="s">
        <v>839</v>
      </c>
      <c r="I224" t="s">
        <v>896</v>
      </c>
      <c r="K224" t="s">
        <v>839</v>
      </c>
      <c r="L224" t="s">
        <v>887</v>
      </c>
      <c r="O224">
        <v>140</v>
      </c>
      <c r="P224">
        <v>120</v>
      </c>
      <c r="Q224">
        <v>260</v>
      </c>
      <c r="S224" t="s">
        <v>841</v>
      </c>
      <c r="T224" t="s">
        <v>841</v>
      </c>
      <c r="U224" t="s">
        <v>841</v>
      </c>
      <c r="V224" t="s">
        <v>841</v>
      </c>
      <c r="W224" t="s">
        <v>841</v>
      </c>
      <c r="X224" t="s">
        <v>841</v>
      </c>
      <c r="Y224" t="s">
        <v>841</v>
      </c>
      <c r="Z224" t="s">
        <v>841</v>
      </c>
      <c r="AA224" t="s">
        <v>841</v>
      </c>
      <c r="AB224" t="s">
        <v>841</v>
      </c>
      <c r="AC224" t="s">
        <v>841</v>
      </c>
      <c r="AD224" t="s">
        <v>841</v>
      </c>
      <c r="AE224" t="s">
        <v>841</v>
      </c>
      <c r="AF224" t="s">
        <v>841</v>
      </c>
      <c r="AH224">
        <v>1</v>
      </c>
      <c r="AI224">
        <v>1</v>
      </c>
      <c r="AJ224">
        <v>1</v>
      </c>
      <c r="AK224">
        <v>1</v>
      </c>
      <c r="AL224">
        <v>1</v>
      </c>
      <c r="AM224">
        <v>1</v>
      </c>
      <c r="AN224">
        <v>1</v>
      </c>
      <c r="AO224">
        <v>1</v>
      </c>
      <c r="AP224">
        <v>1</v>
      </c>
      <c r="AQ224">
        <v>1</v>
      </c>
      <c r="AR224">
        <v>1</v>
      </c>
      <c r="AS224">
        <v>1</v>
      </c>
      <c r="AT224">
        <v>1</v>
      </c>
      <c r="AU224">
        <v>1</v>
      </c>
      <c r="AW224">
        <v>2</v>
      </c>
      <c r="AX224">
        <v>2</v>
      </c>
      <c r="AY224">
        <v>4</v>
      </c>
      <c r="BB224">
        <v>1</v>
      </c>
      <c r="BC224">
        <v>0</v>
      </c>
      <c r="BD224">
        <v>1</v>
      </c>
      <c r="BF224">
        <v>1</v>
      </c>
      <c r="BG224">
        <v>1</v>
      </c>
      <c r="BH224">
        <v>2</v>
      </c>
      <c r="BJ224">
        <v>7</v>
      </c>
      <c r="BK224">
        <v>8</v>
      </c>
      <c r="BL224">
        <v>15</v>
      </c>
      <c r="BP224">
        <v>2</v>
      </c>
      <c r="BQ224">
        <v>1</v>
      </c>
      <c r="BR224">
        <v>3</v>
      </c>
      <c r="BV224" t="s">
        <v>842</v>
      </c>
      <c r="BX224" t="s">
        <v>839</v>
      </c>
      <c r="BY224" t="s">
        <v>759</v>
      </c>
      <c r="BZ224" t="s">
        <v>839</v>
      </c>
      <c r="CA224" t="s">
        <v>839</v>
      </c>
      <c r="CC224" t="s">
        <v>839</v>
      </c>
      <c r="CD224" t="s">
        <v>855</v>
      </c>
      <c r="CG224">
        <v>13</v>
      </c>
      <c r="CH224">
        <v>5</v>
      </c>
      <c r="CI224">
        <v>5</v>
      </c>
      <c r="CJ224">
        <v>3</v>
      </c>
      <c r="CK224" t="s">
        <v>681</v>
      </c>
      <c r="CM224" t="s">
        <v>844</v>
      </c>
      <c r="CN224">
        <v>1</v>
      </c>
      <c r="CO224">
        <v>0</v>
      </c>
      <c r="CP224">
        <v>0</v>
      </c>
      <c r="CQ224">
        <v>0</v>
      </c>
      <c r="CR224">
        <v>0</v>
      </c>
      <c r="CS224">
        <v>0</v>
      </c>
      <c r="CU224" t="s">
        <v>2150</v>
      </c>
      <c r="CV224">
        <v>1</v>
      </c>
      <c r="CW224">
        <v>1</v>
      </c>
      <c r="CX224">
        <v>1</v>
      </c>
      <c r="CY224">
        <v>1</v>
      </c>
      <c r="CZ224">
        <v>0</v>
      </c>
      <c r="DA224">
        <v>0</v>
      </c>
      <c r="DB224">
        <v>0</v>
      </c>
      <c r="DC224">
        <v>0</v>
      </c>
      <c r="DD224">
        <v>1</v>
      </c>
      <c r="DE224">
        <v>1</v>
      </c>
      <c r="DF224">
        <v>0</v>
      </c>
      <c r="DJ224">
        <v>12</v>
      </c>
      <c r="DK224">
        <v>5</v>
      </c>
      <c r="DL224">
        <v>17</v>
      </c>
      <c r="DN224">
        <v>400</v>
      </c>
      <c r="DP224">
        <v>1000</v>
      </c>
      <c r="DR224" t="s">
        <v>1552</v>
      </c>
      <c r="DS224">
        <v>1</v>
      </c>
      <c r="DT224">
        <v>1</v>
      </c>
      <c r="DU224">
        <v>1</v>
      </c>
      <c r="DV224">
        <v>0</v>
      </c>
      <c r="DW224">
        <v>0</v>
      </c>
      <c r="DX224">
        <v>1</v>
      </c>
      <c r="DY224">
        <v>1</v>
      </c>
      <c r="DZ224">
        <v>0</v>
      </c>
      <c r="EA224">
        <v>0</v>
      </c>
      <c r="EC224" t="s">
        <v>842</v>
      </c>
      <c r="ED224" t="s">
        <v>925</v>
      </c>
      <c r="EE224" t="s">
        <v>848</v>
      </c>
      <c r="EI224">
        <v>3</v>
      </c>
      <c r="EJ224" t="s">
        <v>841</v>
      </c>
      <c r="EO224">
        <v>3</v>
      </c>
      <c r="EP224" t="s">
        <v>841</v>
      </c>
      <c r="EU224">
        <v>4</v>
      </c>
      <c r="EV224" t="s">
        <v>841</v>
      </c>
      <c r="FA224">
        <v>6</v>
      </c>
      <c r="FB224" t="s">
        <v>841</v>
      </c>
      <c r="FG224">
        <v>2</v>
      </c>
      <c r="FH224" t="s">
        <v>841</v>
      </c>
      <c r="FM224">
        <v>650</v>
      </c>
      <c r="FO224">
        <v>0</v>
      </c>
      <c r="FP224">
        <v>0</v>
      </c>
      <c r="FQ224">
        <v>0</v>
      </c>
      <c r="FS224" t="s">
        <v>842</v>
      </c>
      <c r="FT224" t="s">
        <v>842</v>
      </c>
      <c r="FU224" t="s">
        <v>839</v>
      </c>
      <c r="FV224" t="s">
        <v>839</v>
      </c>
      <c r="FW224" t="s">
        <v>842</v>
      </c>
      <c r="FY224" t="s">
        <v>842</v>
      </c>
      <c r="FZ224" t="s">
        <v>842</v>
      </c>
      <c r="GA224" t="s">
        <v>842</v>
      </c>
      <c r="GB224" t="s">
        <v>842</v>
      </c>
      <c r="GC224" t="s">
        <v>839</v>
      </c>
      <c r="GD224" t="s">
        <v>842</v>
      </c>
      <c r="GG224" t="s">
        <v>842</v>
      </c>
      <c r="GI224" t="s">
        <v>2209</v>
      </c>
      <c r="GJ224">
        <v>0</v>
      </c>
      <c r="GK224">
        <v>0</v>
      </c>
      <c r="GL224">
        <v>0</v>
      </c>
      <c r="GM224">
        <v>1</v>
      </c>
      <c r="GN224">
        <v>0</v>
      </c>
      <c r="GO224">
        <v>0</v>
      </c>
      <c r="GP224">
        <v>0</v>
      </c>
      <c r="GQ224">
        <v>0</v>
      </c>
      <c r="GR224">
        <v>1</v>
      </c>
      <c r="GS224">
        <v>0</v>
      </c>
      <c r="GT224">
        <v>0</v>
      </c>
      <c r="GU224">
        <v>0</v>
      </c>
      <c r="GV224">
        <v>0</v>
      </c>
      <c r="GW224">
        <v>0</v>
      </c>
      <c r="GX224">
        <v>0</v>
      </c>
      <c r="GY224">
        <v>0</v>
      </c>
      <c r="GZ224">
        <v>0</v>
      </c>
      <c r="HB224" t="s">
        <v>839</v>
      </c>
    </row>
    <row r="225" spans="1:283" x14ac:dyDescent="0.35">
      <c r="A225" t="s">
        <v>2210</v>
      </c>
      <c r="B225" s="154">
        <v>45637.645949074067</v>
      </c>
      <c r="C225" t="s">
        <v>2211</v>
      </c>
      <c r="D225" t="s">
        <v>2212</v>
      </c>
      <c r="E225" t="s">
        <v>835</v>
      </c>
      <c r="F225" t="s">
        <v>2213</v>
      </c>
      <c r="G225" t="s">
        <v>2213</v>
      </c>
      <c r="H225" t="s">
        <v>839</v>
      </c>
      <c r="I225" t="s">
        <v>896</v>
      </c>
      <c r="K225" t="s">
        <v>839</v>
      </c>
      <c r="L225" t="s">
        <v>887</v>
      </c>
      <c r="O225">
        <v>54</v>
      </c>
      <c r="P225">
        <v>63</v>
      </c>
      <c r="Q225">
        <v>117</v>
      </c>
      <c r="S225" t="s">
        <v>841</v>
      </c>
      <c r="T225" t="s">
        <v>841</v>
      </c>
      <c r="U225" t="s">
        <v>841</v>
      </c>
      <c r="V225" t="s">
        <v>841</v>
      </c>
      <c r="W225" t="s">
        <v>841</v>
      </c>
      <c r="X225" t="s">
        <v>841</v>
      </c>
      <c r="Y225" t="s">
        <v>841</v>
      </c>
      <c r="Z225" t="s">
        <v>841</v>
      </c>
      <c r="AH225">
        <v>1</v>
      </c>
      <c r="AI225">
        <v>1</v>
      </c>
      <c r="AJ225">
        <v>1</v>
      </c>
      <c r="AK225">
        <v>1</v>
      </c>
      <c r="AL225">
        <v>1</v>
      </c>
      <c r="AM225">
        <v>1</v>
      </c>
      <c r="AN225">
        <v>1</v>
      </c>
      <c r="AO225">
        <v>1</v>
      </c>
      <c r="AZ225" t="s">
        <v>841</v>
      </c>
      <c r="BM225" t="s">
        <v>841</v>
      </c>
      <c r="BS225" t="s">
        <v>841</v>
      </c>
      <c r="BV225" t="s">
        <v>842</v>
      </c>
      <c r="BX225" t="s">
        <v>839</v>
      </c>
      <c r="BY225" t="s">
        <v>950</v>
      </c>
      <c r="BZ225" t="s">
        <v>839</v>
      </c>
      <c r="CA225" t="s">
        <v>839</v>
      </c>
      <c r="CC225" t="s">
        <v>839</v>
      </c>
      <c r="CD225" t="s">
        <v>855</v>
      </c>
      <c r="CG225">
        <v>1</v>
      </c>
      <c r="CH225">
        <v>0</v>
      </c>
      <c r="CI225">
        <v>0</v>
      </c>
      <c r="CJ225">
        <v>1</v>
      </c>
      <c r="CK225" t="s">
        <v>681</v>
      </c>
      <c r="CM225" t="s">
        <v>844</v>
      </c>
      <c r="CN225">
        <v>1</v>
      </c>
      <c r="CO225">
        <v>0</v>
      </c>
      <c r="CP225">
        <v>0</v>
      </c>
      <c r="CQ225">
        <v>0</v>
      </c>
      <c r="CR225">
        <v>0</v>
      </c>
      <c r="CS225">
        <v>0</v>
      </c>
      <c r="CU225" t="s">
        <v>987</v>
      </c>
      <c r="CV225">
        <v>1</v>
      </c>
      <c r="CW225">
        <v>0</v>
      </c>
      <c r="CX225">
        <v>1</v>
      </c>
      <c r="CY225">
        <v>0</v>
      </c>
      <c r="CZ225">
        <v>0</v>
      </c>
      <c r="DA225">
        <v>0</v>
      </c>
      <c r="DB225">
        <v>0</v>
      </c>
      <c r="DC225">
        <v>0</v>
      </c>
      <c r="DD225">
        <v>0</v>
      </c>
      <c r="DE225">
        <v>0</v>
      </c>
      <c r="DF225">
        <v>0</v>
      </c>
      <c r="DJ225">
        <v>1</v>
      </c>
      <c r="DK225">
        <v>8</v>
      </c>
      <c r="DL225">
        <v>9</v>
      </c>
      <c r="DN225">
        <v>1060</v>
      </c>
      <c r="DP225">
        <v>1380</v>
      </c>
      <c r="DR225" t="s">
        <v>937</v>
      </c>
      <c r="DS225">
        <v>1</v>
      </c>
      <c r="DT225">
        <v>0</v>
      </c>
      <c r="DU225">
        <v>0</v>
      </c>
      <c r="DV225">
        <v>0</v>
      </c>
      <c r="DW225">
        <v>0</v>
      </c>
      <c r="DX225">
        <v>0</v>
      </c>
      <c r="DY225">
        <v>0</v>
      </c>
      <c r="DZ225">
        <v>0</v>
      </c>
      <c r="EA225">
        <v>0</v>
      </c>
      <c r="EC225" t="s">
        <v>839</v>
      </c>
      <c r="ED225" t="s">
        <v>847</v>
      </c>
      <c r="EE225" t="s">
        <v>848</v>
      </c>
      <c r="EI225">
        <v>150</v>
      </c>
      <c r="EM225" t="s">
        <v>841</v>
      </c>
      <c r="EO225">
        <v>150</v>
      </c>
      <c r="ES225" t="s">
        <v>841</v>
      </c>
      <c r="EZ225" t="s">
        <v>841</v>
      </c>
      <c r="FA225">
        <v>7</v>
      </c>
      <c r="FB225" t="s">
        <v>841</v>
      </c>
      <c r="FL225" t="s">
        <v>841</v>
      </c>
      <c r="FM225">
        <v>20</v>
      </c>
      <c r="FO225">
        <v>3</v>
      </c>
      <c r="FP225">
        <v>2</v>
      </c>
      <c r="FQ225">
        <v>5</v>
      </c>
      <c r="FS225" t="s">
        <v>839</v>
      </c>
      <c r="FT225" t="s">
        <v>839</v>
      </c>
      <c r="FU225" t="s">
        <v>839</v>
      </c>
      <c r="FV225" t="s">
        <v>842</v>
      </c>
      <c r="FW225" t="s">
        <v>839</v>
      </c>
      <c r="FX225" t="s">
        <v>880</v>
      </c>
      <c r="FY225" t="s">
        <v>842</v>
      </c>
      <c r="FZ225" t="s">
        <v>839</v>
      </c>
      <c r="GA225" t="s">
        <v>842</v>
      </c>
      <c r="GB225" t="s">
        <v>839</v>
      </c>
      <c r="GC225" t="s">
        <v>842</v>
      </c>
      <c r="GD225" t="s">
        <v>842</v>
      </c>
      <c r="GG225" t="s">
        <v>668</v>
      </c>
      <c r="GI225" t="s">
        <v>849</v>
      </c>
      <c r="GJ225">
        <v>1</v>
      </c>
      <c r="GK225">
        <v>0</v>
      </c>
      <c r="GL225">
        <v>0</v>
      </c>
      <c r="GM225">
        <v>0</v>
      </c>
      <c r="GN225">
        <v>0</v>
      </c>
      <c r="GO225">
        <v>0</v>
      </c>
      <c r="GP225">
        <v>0</v>
      </c>
      <c r="GQ225">
        <v>0</v>
      </c>
      <c r="GR225">
        <v>0</v>
      </c>
      <c r="GS225">
        <v>0</v>
      </c>
      <c r="GT225">
        <v>0</v>
      </c>
      <c r="GU225">
        <v>0</v>
      </c>
      <c r="GV225">
        <v>0</v>
      </c>
      <c r="GW225">
        <v>0</v>
      </c>
      <c r="GX225">
        <v>0</v>
      </c>
      <c r="GY225">
        <v>0</v>
      </c>
      <c r="GZ225">
        <v>0</v>
      </c>
      <c r="HB225" t="s">
        <v>839</v>
      </c>
    </row>
    <row r="226" spans="1:283" x14ac:dyDescent="0.35">
      <c r="A226" t="s">
        <v>2214</v>
      </c>
      <c r="B226" s="154">
        <v>45637.665381944447</v>
      </c>
      <c r="C226" t="s">
        <v>2215</v>
      </c>
      <c r="D226" t="s">
        <v>2216</v>
      </c>
      <c r="E226" t="s">
        <v>835</v>
      </c>
      <c r="F226" t="s">
        <v>2217</v>
      </c>
      <c r="G226" t="s">
        <v>2218</v>
      </c>
      <c r="H226" t="s">
        <v>839</v>
      </c>
      <c r="I226" t="s">
        <v>838</v>
      </c>
      <c r="K226" t="s">
        <v>839</v>
      </c>
      <c r="L226" t="s">
        <v>887</v>
      </c>
      <c r="O226">
        <v>85</v>
      </c>
      <c r="P226">
        <v>68</v>
      </c>
      <c r="Q226">
        <v>154</v>
      </c>
      <c r="S226" t="s">
        <v>841</v>
      </c>
      <c r="T226" t="s">
        <v>841</v>
      </c>
      <c r="U226" t="s">
        <v>841</v>
      </c>
      <c r="V226" t="s">
        <v>841</v>
      </c>
      <c r="W226" t="s">
        <v>841</v>
      </c>
      <c r="X226" t="s">
        <v>841</v>
      </c>
      <c r="Y226" t="s">
        <v>841</v>
      </c>
      <c r="Z226" t="s">
        <v>841</v>
      </c>
      <c r="AA226" t="s">
        <v>841</v>
      </c>
      <c r="AB226" t="s">
        <v>841</v>
      </c>
      <c r="AC226" t="s">
        <v>841</v>
      </c>
      <c r="AD226" t="s">
        <v>841</v>
      </c>
      <c r="AE226" t="s">
        <v>841</v>
      </c>
      <c r="AF226" t="s">
        <v>841</v>
      </c>
      <c r="AH226">
        <v>1</v>
      </c>
      <c r="AI226">
        <v>1</v>
      </c>
      <c r="AJ226">
        <v>1</v>
      </c>
      <c r="AK226">
        <v>1</v>
      </c>
      <c r="AL226">
        <v>1</v>
      </c>
      <c r="AM226">
        <v>1</v>
      </c>
      <c r="AN226">
        <v>1</v>
      </c>
      <c r="AO226">
        <v>1</v>
      </c>
      <c r="AP226">
        <v>1</v>
      </c>
      <c r="AQ226">
        <v>1</v>
      </c>
      <c r="AR226">
        <v>1</v>
      </c>
      <c r="AS226">
        <v>1</v>
      </c>
      <c r="AT226">
        <v>1</v>
      </c>
      <c r="AU226">
        <v>1</v>
      </c>
      <c r="AW226">
        <v>3</v>
      </c>
      <c r="AX226">
        <v>1</v>
      </c>
      <c r="AY226">
        <v>4</v>
      </c>
      <c r="BB226">
        <v>3</v>
      </c>
      <c r="BC226">
        <v>1</v>
      </c>
      <c r="BD226">
        <v>4</v>
      </c>
      <c r="BJ226">
        <v>3</v>
      </c>
      <c r="BK226">
        <v>4</v>
      </c>
      <c r="BL226">
        <v>7</v>
      </c>
      <c r="BP226">
        <v>3</v>
      </c>
      <c r="BQ226">
        <v>1</v>
      </c>
      <c r="BR226">
        <v>4</v>
      </c>
      <c r="BV226" t="s">
        <v>839</v>
      </c>
      <c r="BW226" t="s">
        <v>759</v>
      </c>
      <c r="BX226" t="s">
        <v>839</v>
      </c>
      <c r="BY226" t="s">
        <v>950</v>
      </c>
      <c r="BZ226" t="s">
        <v>839</v>
      </c>
      <c r="CA226" t="s">
        <v>839</v>
      </c>
      <c r="CC226" t="s">
        <v>839</v>
      </c>
      <c r="CD226" t="s">
        <v>855</v>
      </c>
      <c r="CG226">
        <v>4</v>
      </c>
      <c r="CH226">
        <v>2</v>
      </c>
      <c r="CI226">
        <v>2</v>
      </c>
      <c r="CJ226">
        <v>0</v>
      </c>
      <c r="CK226" t="s">
        <v>993</v>
      </c>
      <c r="CM226" t="s">
        <v>844</v>
      </c>
      <c r="CN226">
        <v>1</v>
      </c>
      <c r="CO226">
        <v>0</v>
      </c>
      <c r="CP226">
        <v>0</v>
      </c>
      <c r="CQ226">
        <v>0</v>
      </c>
      <c r="CR226">
        <v>0</v>
      </c>
      <c r="CS226">
        <v>0</v>
      </c>
      <c r="CU226" t="s">
        <v>898</v>
      </c>
      <c r="CV226">
        <v>1</v>
      </c>
      <c r="CW226">
        <v>0</v>
      </c>
      <c r="CX226">
        <v>1</v>
      </c>
      <c r="CY226">
        <v>1</v>
      </c>
      <c r="CZ226">
        <v>0</v>
      </c>
      <c r="DA226">
        <v>0</v>
      </c>
      <c r="DB226">
        <v>0</v>
      </c>
      <c r="DC226">
        <v>0</v>
      </c>
      <c r="DD226">
        <v>0</v>
      </c>
      <c r="DE226">
        <v>1</v>
      </c>
      <c r="DF226">
        <v>0</v>
      </c>
      <c r="DJ226">
        <v>3</v>
      </c>
      <c r="DK226">
        <v>10</v>
      </c>
      <c r="DL226">
        <v>13</v>
      </c>
      <c r="DN226">
        <v>350</v>
      </c>
      <c r="DP226">
        <v>500</v>
      </c>
      <c r="DR226" t="s">
        <v>937</v>
      </c>
      <c r="DS226">
        <v>1</v>
      </c>
      <c r="DT226">
        <v>0</v>
      </c>
      <c r="DU226">
        <v>0</v>
      </c>
      <c r="DV226">
        <v>0</v>
      </c>
      <c r="DW226">
        <v>0</v>
      </c>
      <c r="DX226">
        <v>0</v>
      </c>
      <c r="DY226">
        <v>0</v>
      </c>
      <c r="DZ226">
        <v>0</v>
      </c>
      <c r="EA226">
        <v>0</v>
      </c>
      <c r="EC226" t="s">
        <v>839</v>
      </c>
      <c r="ED226" t="s">
        <v>869</v>
      </c>
      <c r="EE226" t="s">
        <v>848</v>
      </c>
      <c r="EI226">
        <v>4</v>
      </c>
      <c r="EJ226" t="s">
        <v>841</v>
      </c>
      <c r="EO226">
        <v>250</v>
      </c>
      <c r="ES226" t="s">
        <v>841</v>
      </c>
      <c r="EU226">
        <v>300</v>
      </c>
      <c r="EY226" t="s">
        <v>841</v>
      </c>
      <c r="FA226">
        <v>7</v>
      </c>
      <c r="FB226" t="s">
        <v>841</v>
      </c>
      <c r="FL226" t="s">
        <v>841</v>
      </c>
      <c r="FM226">
        <v>50</v>
      </c>
      <c r="FO226">
        <v>0</v>
      </c>
      <c r="FP226">
        <v>0</v>
      </c>
      <c r="FQ226">
        <v>0</v>
      </c>
      <c r="FS226" t="s">
        <v>839</v>
      </c>
      <c r="FT226" t="s">
        <v>839</v>
      </c>
      <c r="FU226" t="s">
        <v>839</v>
      </c>
      <c r="FV226" t="s">
        <v>839</v>
      </c>
      <c r="FW226" t="s">
        <v>839</v>
      </c>
      <c r="FX226" t="s">
        <v>965</v>
      </c>
      <c r="FY226" t="s">
        <v>839</v>
      </c>
      <c r="FZ226" t="s">
        <v>839</v>
      </c>
      <c r="GA226" t="s">
        <v>839</v>
      </c>
      <c r="GB226" t="s">
        <v>839</v>
      </c>
      <c r="GC226" t="s">
        <v>839</v>
      </c>
      <c r="GD226" t="s">
        <v>839</v>
      </c>
      <c r="GE226" t="s">
        <v>1049</v>
      </c>
      <c r="GG226" t="s">
        <v>839</v>
      </c>
      <c r="GI226" t="s">
        <v>849</v>
      </c>
      <c r="GJ226">
        <v>1</v>
      </c>
      <c r="GK226">
        <v>0</v>
      </c>
      <c r="GL226">
        <v>0</v>
      </c>
      <c r="GM226">
        <v>0</v>
      </c>
      <c r="GN226">
        <v>0</v>
      </c>
      <c r="GO226">
        <v>0</v>
      </c>
      <c r="GP226">
        <v>0</v>
      </c>
      <c r="GQ226">
        <v>0</v>
      </c>
      <c r="GR226">
        <v>0</v>
      </c>
      <c r="GS226">
        <v>0</v>
      </c>
      <c r="GT226">
        <v>0</v>
      </c>
      <c r="GU226">
        <v>0</v>
      </c>
      <c r="GV226">
        <v>0</v>
      </c>
      <c r="GW226">
        <v>0</v>
      </c>
      <c r="GX226">
        <v>0</v>
      </c>
      <c r="GY226">
        <v>0</v>
      </c>
      <c r="GZ226">
        <v>0</v>
      </c>
      <c r="HB226" t="s">
        <v>839</v>
      </c>
    </row>
    <row r="227" spans="1:283" x14ac:dyDescent="0.35">
      <c r="A227" t="s">
        <v>2219</v>
      </c>
      <c r="B227" s="154">
        <v>45637.67292824074</v>
      </c>
      <c r="C227" t="s">
        <v>2220</v>
      </c>
      <c r="D227" t="s">
        <v>2221</v>
      </c>
      <c r="E227" t="s">
        <v>875</v>
      </c>
      <c r="F227" t="s">
        <v>2222</v>
      </c>
      <c r="H227" t="s">
        <v>839</v>
      </c>
      <c r="I227" t="s">
        <v>896</v>
      </c>
      <c r="K227" t="s">
        <v>839</v>
      </c>
      <c r="L227" t="s">
        <v>887</v>
      </c>
      <c r="O227">
        <v>423</v>
      </c>
      <c r="P227">
        <v>438</v>
      </c>
      <c r="Q227">
        <v>861</v>
      </c>
      <c r="T227" t="s">
        <v>841</v>
      </c>
      <c r="U227" t="s">
        <v>841</v>
      </c>
      <c r="V227" t="s">
        <v>841</v>
      </c>
      <c r="W227" t="s">
        <v>841</v>
      </c>
      <c r="X227" t="s">
        <v>841</v>
      </c>
      <c r="Y227" t="s">
        <v>841</v>
      </c>
      <c r="Z227" t="s">
        <v>841</v>
      </c>
      <c r="AA227" t="s">
        <v>841</v>
      </c>
      <c r="AB227" t="s">
        <v>841</v>
      </c>
      <c r="AC227" t="s">
        <v>841</v>
      </c>
      <c r="AD227" t="s">
        <v>841</v>
      </c>
      <c r="AE227" t="s">
        <v>841</v>
      </c>
      <c r="AF227" t="s">
        <v>841</v>
      </c>
      <c r="AI227">
        <v>1</v>
      </c>
      <c r="AJ227">
        <v>1</v>
      </c>
      <c r="AK227">
        <v>1</v>
      </c>
      <c r="AL227">
        <v>1</v>
      </c>
      <c r="AM227">
        <v>1</v>
      </c>
      <c r="AN227">
        <v>1</v>
      </c>
      <c r="AO227">
        <v>1</v>
      </c>
      <c r="AP227">
        <v>1</v>
      </c>
      <c r="AQ227">
        <v>1</v>
      </c>
      <c r="AR227">
        <v>1</v>
      </c>
      <c r="AS227">
        <v>1</v>
      </c>
      <c r="AT227">
        <v>1</v>
      </c>
      <c r="AU227">
        <v>1</v>
      </c>
      <c r="AW227">
        <v>15</v>
      </c>
      <c r="AX227">
        <v>21</v>
      </c>
      <c r="AY227">
        <v>36</v>
      </c>
      <c r="BB227">
        <v>5</v>
      </c>
      <c r="BC227">
        <v>5</v>
      </c>
      <c r="BD227">
        <v>10</v>
      </c>
      <c r="BF227">
        <v>5</v>
      </c>
      <c r="BG227">
        <v>5</v>
      </c>
      <c r="BH227">
        <v>10</v>
      </c>
      <c r="BJ227">
        <v>32</v>
      </c>
      <c r="BK227">
        <v>40</v>
      </c>
      <c r="BL227">
        <v>72</v>
      </c>
      <c r="BP227">
        <v>15</v>
      </c>
      <c r="BQ227">
        <v>21</v>
      </c>
      <c r="BR227">
        <v>36</v>
      </c>
      <c r="BV227" t="s">
        <v>839</v>
      </c>
      <c r="BW227" t="s">
        <v>759</v>
      </c>
      <c r="BX227" t="s">
        <v>839</v>
      </c>
      <c r="BY227" t="s">
        <v>759</v>
      </c>
      <c r="BZ227" t="s">
        <v>839</v>
      </c>
      <c r="CA227" t="s">
        <v>839</v>
      </c>
      <c r="CC227" t="s">
        <v>839</v>
      </c>
      <c r="CD227" t="s">
        <v>855</v>
      </c>
      <c r="CG227">
        <v>10</v>
      </c>
      <c r="CH227">
        <v>5</v>
      </c>
      <c r="CI227">
        <v>5</v>
      </c>
      <c r="CJ227">
        <v>0</v>
      </c>
      <c r="CK227" t="s">
        <v>877</v>
      </c>
      <c r="CM227" t="s">
        <v>951</v>
      </c>
      <c r="CN227">
        <v>1</v>
      </c>
      <c r="CO227">
        <v>1</v>
      </c>
      <c r="CP227">
        <v>0</v>
      </c>
      <c r="CQ227">
        <v>0</v>
      </c>
      <c r="CR227">
        <v>0</v>
      </c>
      <c r="CS227">
        <v>0</v>
      </c>
      <c r="CU227" t="s">
        <v>2223</v>
      </c>
      <c r="CV227">
        <v>1</v>
      </c>
      <c r="CW227">
        <v>0</v>
      </c>
      <c r="CX227">
        <v>0</v>
      </c>
      <c r="CY227">
        <v>1</v>
      </c>
      <c r="CZ227">
        <v>0</v>
      </c>
      <c r="DA227">
        <v>1</v>
      </c>
      <c r="DB227">
        <v>0</v>
      </c>
      <c r="DC227">
        <v>1</v>
      </c>
      <c r="DD227">
        <v>1</v>
      </c>
      <c r="DE227">
        <v>0</v>
      </c>
      <c r="DF227">
        <v>0</v>
      </c>
      <c r="DJ227">
        <v>16</v>
      </c>
      <c r="DK227">
        <v>20</v>
      </c>
      <c r="DL227">
        <v>36</v>
      </c>
      <c r="DN227">
        <v>766</v>
      </c>
      <c r="DP227">
        <v>1300</v>
      </c>
      <c r="DR227" t="s">
        <v>927</v>
      </c>
      <c r="DS227">
        <v>1</v>
      </c>
      <c r="DT227">
        <v>0</v>
      </c>
      <c r="DU227">
        <v>1</v>
      </c>
      <c r="DV227">
        <v>0</v>
      </c>
      <c r="DW227">
        <v>0</v>
      </c>
      <c r="DX227">
        <v>0</v>
      </c>
      <c r="DY227">
        <v>0</v>
      </c>
      <c r="DZ227">
        <v>0</v>
      </c>
      <c r="EA227">
        <v>0</v>
      </c>
      <c r="EC227" t="s">
        <v>839</v>
      </c>
      <c r="ED227" t="s">
        <v>957</v>
      </c>
      <c r="EE227" t="s">
        <v>848</v>
      </c>
      <c r="EI227">
        <v>10</v>
      </c>
      <c r="EJ227" t="s">
        <v>841</v>
      </c>
      <c r="EO227">
        <v>310</v>
      </c>
      <c r="ES227" t="s">
        <v>841</v>
      </c>
      <c r="EU227">
        <v>360</v>
      </c>
      <c r="EY227" t="s">
        <v>841</v>
      </c>
      <c r="FA227">
        <v>6</v>
      </c>
      <c r="FB227" t="s">
        <v>841</v>
      </c>
      <c r="FG227">
        <v>6</v>
      </c>
      <c r="FH227" t="s">
        <v>841</v>
      </c>
      <c r="FM227">
        <v>20</v>
      </c>
      <c r="FO227">
        <v>4</v>
      </c>
      <c r="FP227">
        <v>3</v>
      </c>
      <c r="FQ227">
        <v>7</v>
      </c>
      <c r="FS227" t="s">
        <v>839</v>
      </c>
      <c r="FT227" t="s">
        <v>839</v>
      </c>
      <c r="FU227" t="s">
        <v>839</v>
      </c>
      <c r="FV227" t="s">
        <v>839</v>
      </c>
      <c r="FW227" t="s">
        <v>839</v>
      </c>
      <c r="FX227" t="s">
        <v>880</v>
      </c>
      <c r="FY227" t="s">
        <v>839</v>
      </c>
      <c r="FZ227" t="s">
        <v>839</v>
      </c>
      <c r="GA227" t="s">
        <v>839</v>
      </c>
      <c r="GB227" t="s">
        <v>839</v>
      </c>
      <c r="GC227" t="s">
        <v>842</v>
      </c>
      <c r="GD227" t="s">
        <v>839</v>
      </c>
      <c r="GE227" t="s">
        <v>929</v>
      </c>
      <c r="GG227" t="s">
        <v>839</v>
      </c>
      <c r="GI227" t="s">
        <v>1076</v>
      </c>
      <c r="GJ227">
        <v>0</v>
      </c>
      <c r="GK227">
        <v>0</v>
      </c>
      <c r="GL227">
        <v>0</v>
      </c>
      <c r="GM227">
        <v>0</v>
      </c>
      <c r="GN227">
        <v>0</v>
      </c>
      <c r="GO227">
        <v>0</v>
      </c>
      <c r="GP227">
        <v>0</v>
      </c>
      <c r="GQ227">
        <v>0</v>
      </c>
      <c r="GR227">
        <v>0</v>
      </c>
      <c r="GS227">
        <v>0</v>
      </c>
      <c r="GT227">
        <v>0</v>
      </c>
      <c r="GU227">
        <v>0</v>
      </c>
      <c r="GV227">
        <v>0</v>
      </c>
      <c r="GW227">
        <v>0</v>
      </c>
      <c r="GX227">
        <v>0</v>
      </c>
      <c r="GY227">
        <v>0</v>
      </c>
      <c r="GZ227">
        <v>1</v>
      </c>
      <c r="HB227" t="s">
        <v>842</v>
      </c>
      <c r="HC227" t="s">
        <v>1059</v>
      </c>
    </row>
    <row r="228" spans="1:283" s="152" customFormat="1" x14ac:dyDescent="0.35">
      <c r="A228" s="152" t="s">
        <v>2224</v>
      </c>
      <c r="B228" s="153">
        <v>45637.678101851852</v>
      </c>
      <c r="C228" s="152" t="s">
        <v>2225</v>
      </c>
      <c r="D228" s="152" t="s">
        <v>2226</v>
      </c>
      <c r="E228" s="152" t="s">
        <v>875</v>
      </c>
      <c r="F228" s="152" t="s">
        <v>2227</v>
      </c>
      <c r="G228" s="152" t="s">
        <v>2227</v>
      </c>
      <c r="H228" s="152" t="s">
        <v>837</v>
      </c>
      <c r="I228" s="152" t="s">
        <v>896</v>
      </c>
      <c r="K228" s="152" t="s">
        <v>839</v>
      </c>
      <c r="L228" s="152" t="s">
        <v>626</v>
      </c>
      <c r="M228" s="152" t="s">
        <v>2228</v>
      </c>
      <c r="O228" s="152">
        <v>20</v>
      </c>
      <c r="P228" s="152">
        <v>31</v>
      </c>
      <c r="Q228" s="152">
        <v>51</v>
      </c>
      <c r="S228" s="152" t="s">
        <v>841</v>
      </c>
      <c r="T228" s="152" t="s">
        <v>841</v>
      </c>
      <c r="U228" s="152" t="s">
        <v>841</v>
      </c>
      <c r="AH228" s="152">
        <v>1</v>
      </c>
      <c r="AI228" s="152">
        <v>1</v>
      </c>
      <c r="AJ228" s="152">
        <v>1</v>
      </c>
      <c r="AZ228" s="152" t="s">
        <v>841</v>
      </c>
      <c r="BM228" s="152" t="s">
        <v>841</v>
      </c>
      <c r="BS228" s="152" t="s">
        <v>841</v>
      </c>
      <c r="BV228" s="152" t="s">
        <v>839</v>
      </c>
      <c r="BW228" s="152" t="s">
        <v>759</v>
      </c>
      <c r="BX228" s="152" t="s">
        <v>839</v>
      </c>
      <c r="BY228" s="152" t="s">
        <v>759</v>
      </c>
      <c r="BZ228" s="152" t="s">
        <v>839</v>
      </c>
      <c r="CA228" s="152" t="s">
        <v>839</v>
      </c>
      <c r="CC228" s="152" t="s">
        <v>842</v>
      </c>
      <c r="CD228" s="152" t="s">
        <v>855</v>
      </c>
      <c r="CG228" s="152">
        <v>2</v>
      </c>
      <c r="CH228" s="152">
        <v>1</v>
      </c>
      <c r="CI228" s="152">
        <v>1</v>
      </c>
      <c r="CJ228" s="152">
        <v>0</v>
      </c>
      <c r="CK228" s="152" t="s">
        <v>866</v>
      </c>
      <c r="CM228" s="152" t="s">
        <v>867</v>
      </c>
      <c r="CN228" s="152">
        <v>0</v>
      </c>
      <c r="CO228" s="152">
        <v>1</v>
      </c>
      <c r="CP228" s="152">
        <v>0</v>
      </c>
      <c r="CQ228" s="152">
        <v>0</v>
      </c>
      <c r="CR228" s="152">
        <v>0</v>
      </c>
      <c r="CS228" s="152">
        <v>0</v>
      </c>
      <c r="CU228" s="152" t="s">
        <v>1110</v>
      </c>
      <c r="CV228" s="152">
        <v>1</v>
      </c>
      <c r="CW228" s="152">
        <v>0</v>
      </c>
      <c r="CX228" s="152">
        <v>0</v>
      </c>
      <c r="CY228" s="152">
        <v>0</v>
      </c>
      <c r="CZ228" s="152">
        <v>0</v>
      </c>
      <c r="DA228" s="152">
        <v>0</v>
      </c>
      <c r="DB228" s="152">
        <v>0</v>
      </c>
      <c r="DC228" s="152">
        <v>0</v>
      </c>
      <c r="DD228" s="152">
        <v>0</v>
      </c>
      <c r="DE228" s="152">
        <v>0</v>
      </c>
      <c r="DF228" s="152">
        <v>0</v>
      </c>
      <c r="DJ228" s="152">
        <v>1</v>
      </c>
      <c r="DK228" s="152">
        <v>2</v>
      </c>
      <c r="DL228" s="152">
        <v>3</v>
      </c>
      <c r="DN228" s="152">
        <v>500</v>
      </c>
      <c r="DP228" s="152">
        <v>1000</v>
      </c>
      <c r="DR228" s="152" t="s">
        <v>927</v>
      </c>
      <c r="DS228" s="152">
        <v>1</v>
      </c>
      <c r="DT228" s="152">
        <v>0</v>
      </c>
      <c r="DU228" s="152">
        <v>1</v>
      </c>
      <c r="DV228" s="152">
        <v>0</v>
      </c>
      <c r="DW228" s="152">
        <v>0</v>
      </c>
      <c r="DX228" s="152">
        <v>0</v>
      </c>
      <c r="DY228" s="152">
        <v>0</v>
      </c>
      <c r="DZ228" s="152">
        <v>0</v>
      </c>
      <c r="EA228" s="152">
        <v>0</v>
      </c>
      <c r="EC228" s="152" t="s">
        <v>839</v>
      </c>
      <c r="ED228" s="152" t="s">
        <v>869</v>
      </c>
      <c r="EE228" s="152" t="s">
        <v>848</v>
      </c>
      <c r="EI228" s="152">
        <v>15</v>
      </c>
      <c r="EJ228" s="152" t="s">
        <v>841</v>
      </c>
      <c r="ET228" s="152" t="s">
        <v>841</v>
      </c>
      <c r="EZ228" s="152" t="s">
        <v>841</v>
      </c>
      <c r="FF228" s="152" t="s">
        <v>841</v>
      </c>
      <c r="FL228" s="152" t="s">
        <v>841</v>
      </c>
      <c r="FM228" s="152">
        <v>0</v>
      </c>
      <c r="FO228" s="152">
        <v>0</v>
      </c>
      <c r="FP228" s="152">
        <v>0</v>
      </c>
      <c r="FQ228" s="152">
        <v>0</v>
      </c>
      <c r="FS228" s="152" t="s">
        <v>839</v>
      </c>
      <c r="FT228" s="152" t="s">
        <v>839</v>
      </c>
      <c r="FU228" s="152" t="s">
        <v>839</v>
      </c>
      <c r="FV228" s="152" t="s">
        <v>842</v>
      </c>
      <c r="FW228" s="152" t="s">
        <v>842</v>
      </c>
      <c r="FY228" s="152" t="s">
        <v>839</v>
      </c>
      <c r="FZ228" s="152" t="s">
        <v>839</v>
      </c>
      <c r="GA228" s="152" t="s">
        <v>839</v>
      </c>
      <c r="GB228" s="152" t="s">
        <v>842</v>
      </c>
      <c r="GC228" s="152" t="s">
        <v>842</v>
      </c>
      <c r="GD228" s="152" t="s">
        <v>842</v>
      </c>
      <c r="GG228" s="152" t="s">
        <v>668</v>
      </c>
      <c r="GI228" s="152" t="s">
        <v>945</v>
      </c>
      <c r="GJ228" s="152">
        <v>1</v>
      </c>
      <c r="GK228" s="152">
        <v>0</v>
      </c>
      <c r="GL228" s="152">
        <v>0</v>
      </c>
      <c r="GM228" s="152">
        <v>0</v>
      </c>
      <c r="GN228" s="152">
        <v>0</v>
      </c>
      <c r="GO228" s="152">
        <v>0</v>
      </c>
      <c r="GP228" s="152">
        <v>0</v>
      </c>
      <c r="GQ228" s="152">
        <v>0</v>
      </c>
      <c r="GR228" s="152">
        <v>0</v>
      </c>
      <c r="GS228" s="152">
        <v>1</v>
      </c>
      <c r="GT228" s="152">
        <v>0</v>
      </c>
      <c r="GU228" s="152">
        <v>0</v>
      </c>
      <c r="GV228" s="152">
        <v>0</v>
      </c>
      <c r="GW228" s="152">
        <v>0</v>
      </c>
      <c r="GX228" s="152">
        <v>0</v>
      </c>
      <c r="GY228" s="152">
        <v>0</v>
      </c>
      <c r="GZ228" s="152">
        <v>0</v>
      </c>
      <c r="HB228" s="152" t="s">
        <v>839</v>
      </c>
    </row>
    <row r="229" spans="1:283" x14ac:dyDescent="0.35">
      <c r="A229" t="s">
        <v>2229</v>
      </c>
      <c r="B229" s="151">
        <v>45792.383921689812</v>
      </c>
      <c r="C229" t="s">
        <v>2230</v>
      </c>
      <c r="D229" t="s">
        <v>2231</v>
      </c>
      <c r="E229" t="s">
        <v>2232</v>
      </c>
      <c r="F229" t="s">
        <v>2233</v>
      </c>
      <c r="G229" t="s">
        <v>2234</v>
      </c>
      <c r="H229" t="s">
        <v>2235</v>
      </c>
      <c r="I229" t="s">
        <v>2236</v>
      </c>
      <c r="K229" t="s">
        <v>839</v>
      </c>
      <c r="L229" t="s">
        <v>887</v>
      </c>
      <c r="O229">
        <v>175</v>
      </c>
      <c r="P229">
        <v>186</v>
      </c>
      <c r="Q229">
        <v>361</v>
      </c>
      <c r="T229" t="s">
        <v>841</v>
      </c>
      <c r="U229" t="s">
        <v>841</v>
      </c>
      <c r="V229" t="s">
        <v>841</v>
      </c>
      <c r="W229" t="s">
        <v>841</v>
      </c>
      <c r="X229" t="s">
        <v>841</v>
      </c>
      <c r="Y229" t="s">
        <v>841</v>
      </c>
      <c r="Z229" t="s">
        <v>841</v>
      </c>
      <c r="AA229" t="s">
        <v>841</v>
      </c>
      <c r="AB229" t="s">
        <v>841</v>
      </c>
      <c r="AC229" t="s">
        <v>841</v>
      </c>
      <c r="AI229" t="s">
        <v>1952</v>
      </c>
      <c r="AJ229" t="s">
        <v>1952</v>
      </c>
      <c r="AK229" t="s">
        <v>1952</v>
      </c>
      <c r="AL229" t="s">
        <v>1895</v>
      </c>
      <c r="AM229" t="s">
        <v>1895</v>
      </c>
      <c r="AN229" t="s">
        <v>1952</v>
      </c>
      <c r="AO229" t="s">
        <v>1952</v>
      </c>
      <c r="AP229" t="s">
        <v>1952</v>
      </c>
      <c r="AQ229" t="s">
        <v>1952</v>
      </c>
      <c r="AZ229" t="s">
        <v>841</v>
      </c>
      <c r="BM229" t="s">
        <v>841</v>
      </c>
      <c r="BS229" t="s">
        <v>841</v>
      </c>
      <c r="BV229" t="s">
        <v>2237</v>
      </c>
      <c r="BX229" t="s">
        <v>2235</v>
      </c>
      <c r="BY229" t="s">
        <v>2238</v>
      </c>
      <c r="BZ229" t="s">
        <v>2235</v>
      </c>
      <c r="CA229" t="s">
        <v>2235</v>
      </c>
      <c r="CC229" t="s">
        <v>2235</v>
      </c>
      <c r="CD229" t="s">
        <v>2239</v>
      </c>
      <c r="CG229" t="s">
        <v>1953</v>
      </c>
      <c r="CH229" t="s">
        <v>1895</v>
      </c>
      <c r="CI229" t="s">
        <v>1895</v>
      </c>
      <c r="CK229" t="s">
        <v>2240</v>
      </c>
      <c r="CM229" t="s">
        <v>2241</v>
      </c>
      <c r="CN229">
        <v>1</v>
      </c>
      <c r="CO229">
        <v>0</v>
      </c>
      <c r="CP229">
        <v>0</v>
      </c>
      <c r="CQ229">
        <v>0</v>
      </c>
      <c r="CR229">
        <v>0</v>
      </c>
      <c r="CS229">
        <v>0</v>
      </c>
      <c r="CU229" t="s">
        <v>2242</v>
      </c>
      <c r="CV229">
        <v>1</v>
      </c>
      <c r="CW229">
        <v>0</v>
      </c>
      <c r="CX229">
        <v>1</v>
      </c>
      <c r="CY229">
        <v>1</v>
      </c>
      <c r="CZ229">
        <v>0</v>
      </c>
      <c r="DA229">
        <v>0</v>
      </c>
      <c r="DB229">
        <v>0</v>
      </c>
      <c r="DC229">
        <v>1</v>
      </c>
      <c r="DD229">
        <v>1</v>
      </c>
      <c r="DE229">
        <v>1</v>
      </c>
      <c r="DF229">
        <v>0</v>
      </c>
      <c r="DJ229" t="s">
        <v>1934</v>
      </c>
      <c r="DK229" t="s">
        <v>1894</v>
      </c>
      <c r="DL229" t="s">
        <v>2243</v>
      </c>
      <c r="DN229">
        <v>450</v>
      </c>
      <c r="DP229">
        <v>700</v>
      </c>
      <c r="DR229" t="s">
        <v>2244</v>
      </c>
      <c r="DS229">
        <v>1</v>
      </c>
      <c r="DT229">
        <v>1</v>
      </c>
      <c r="DU229">
        <v>0</v>
      </c>
      <c r="DV229">
        <v>0</v>
      </c>
      <c r="DW229">
        <v>0</v>
      </c>
      <c r="DX229">
        <v>0</v>
      </c>
      <c r="DY229">
        <v>0</v>
      </c>
      <c r="DZ229">
        <v>0</v>
      </c>
      <c r="EA229">
        <v>0</v>
      </c>
      <c r="EC229" t="s">
        <v>2235</v>
      </c>
      <c r="ED229" t="s">
        <v>2245</v>
      </c>
      <c r="EE229" t="s">
        <v>2246</v>
      </c>
      <c r="EI229" t="s">
        <v>1896</v>
      </c>
      <c r="EJ229" t="s">
        <v>841</v>
      </c>
      <c r="EO229" t="s">
        <v>1896</v>
      </c>
      <c r="EP229" t="s">
        <v>841</v>
      </c>
      <c r="FA229" t="s">
        <v>1943</v>
      </c>
      <c r="FB229" t="s">
        <v>841</v>
      </c>
      <c r="FG229" t="s">
        <v>1894</v>
      </c>
      <c r="FH229" t="s">
        <v>841</v>
      </c>
      <c r="FM229" t="s">
        <v>2247</v>
      </c>
      <c r="FO229" t="s">
        <v>2248</v>
      </c>
      <c r="FP229" t="s">
        <v>1933</v>
      </c>
      <c r="FQ229" t="s">
        <v>2243</v>
      </c>
      <c r="FS229" t="s">
        <v>2235</v>
      </c>
      <c r="FT229" t="s">
        <v>2235</v>
      </c>
      <c r="FU229" t="s">
        <v>2235</v>
      </c>
      <c r="FV229" t="s">
        <v>2235</v>
      </c>
      <c r="FW229" t="s">
        <v>2235</v>
      </c>
      <c r="FX229" t="s">
        <v>880</v>
      </c>
      <c r="FY229" t="s">
        <v>2237</v>
      </c>
      <c r="FZ229" t="s">
        <v>2235</v>
      </c>
      <c r="GA229" t="s">
        <v>2235</v>
      </c>
      <c r="GB229" t="s">
        <v>2235</v>
      </c>
      <c r="GC229" t="s">
        <v>2235</v>
      </c>
      <c r="GD229" t="s">
        <v>2235</v>
      </c>
      <c r="GE229" t="s">
        <v>2249</v>
      </c>
      <c r="GG229" t="s">
        <v>2250</v>
      </c>
      <c r="GI229" t="s">
        <v>2251</v>
      </c>
      <c r="GJ229">
        <v>1</v>
      </c>
      <c r="GK229">
        <v>0</v>
      </c>
      <c r="GL229">
        <v>0</v>
      </c>
      <c r="GM229">
        <v>1</v>
      </c>
      <c r="GN229">
        <v>0</v>
      </c>
      <c r="GO229">
        <v>1</v>
      </c>
      <c r="GP229">
        <v>0</v>
      </c>
      <c r="GQ229">
        <v>0</v>
      </c>
      <c r="GR229">
        <v>0</v>
      </c>
      <c r="GS229">
        <v>0</v>
      </c>
      <c r="GT229">
        <v>0</v>
      </c>
      <c r="GU229">
        <v>0</v>
      </c>
      <c r="GV229">
        <v>0</v>
      </c>
      <c r="GW229">
        <v>1</v>
      </c>
      <c r="GX229">
        <v>0</v>
      </c>
      <c r="GY229">
        <v>0</v>
      </c>
      <c r="GZ229">
        <v>0</v>
      </c>
      <c r="HB229" t="s">
        <v>2235</v>
      </c>
      <c r="JN229">
        <v>479531439</v>
      </c>
      <c r="JO229" t="s">
        <v>2252</v>
      </c>
      <c r="JP229" s="151">
        <v>45792.383958333332</v>
      </c>
      <c r="JS229" t="s">
        <v>2253</v>
      </c>
      <c r="JU229" t="s">
        <v>2254</v>
      </c>
      <c r="JW229">
        <v>263</v>
      </c>
    </row>
    <row r="230" spans="1:283" x14ac:dyDescent="0.35">
      <c r="A230" t="s">
        <v>2255</v>
      </c>
      <c r="B230" s="151">
        <v>45792.394869849537</v>
      </c>
      <c r="C230" t="s">
        <v>2256</v>
      </c>
      <c r="D230" t="s">
        <v>2257</v>
      </c>
      <c r="E230" t="s">
        <v>2232</v>
      </c>
      <c r="F230" t="s">
        <v>2258</v>
      </c>
      <c r="H230" t="s">
        <v>2235</v>
      </c>
      <c r="I230" t="s">
        <v>2236</v>
      </c>
      <c r="K230" t="s">
        <v>839</v>
      </c>
      <c r="L230" t="s">
        <v>626</v>
      </c>
      <c r="M230" t="s">
        <v>2259</v>
      </c>
      <c r="O230">
        <v>41</v>
      </c>
      <c r="P230">
        <v>55</v>
      </c>
      <c r="Q230">
        <v>96</v>
      </c>
      <c r="S230" t="s">
        <v>841</v>
      </c>
      <c r="T230" t="s">
        <v>841</v>
      </c>
      <c r="U230" t="s">
        <v>841</v>
      </c>
      <c r="V230" t="s">
        <v>841</v>
      </c>
      <c r="W230" t="s">
        <v>841</v>
      </c>
      <c r="X230" t="s">
        <v>841</v>
      </c>
      <c r="AH230" t="s">
        <v>1952</v>
      </c>
      <c r="AI230" t="s">
        <v>1895</v>
      </c>
      <c r="AJ230" t="s">
        <v>1952</v>
      </c>
      <c r="AK230" t="s">
        <v>1952</v>
      </c>
      <c r="AL230" t="s">
        <v>1952</v>
      </c>
      <c r="AM230" t="s">
        <v>1952</v>
      </c>
      <c r="AZ230" t="s">
        <v>841</v>
      </c>
      <c r="BV230" t="s">
        <v>2235</v>
      </c>
      <c r="BW230" t="s">
        <v>2260</v>
      </c>
      <c r="BX230" t="s">
        <v>2235</v>
      </c>
      <c r="BY230" t="s">
        <v>2261</v>
      </c>
      <c r="BZ230" t="s">
        <v>2235</v>
      </c>
      <c r="CA230" t="s">
        <v>2235</v>
      </c>
      <c r="CC230" t="s">
        <v>2235</v>
      </c>
      <c r="CD230" t="s">
        <v>2239</v>
      </c>
      <c r="CG230" t="s">
        <v>1896</v>
      </c>
      <c r="CH230" t="s">
        <v>1895</v>
      </c>
      <c r="CI230" t="s">
        <v>1894</v>
      </c>
      <c r="CK230" t="s">
        <v>2240</v>
      </c>
      <c r="CM230" t="s">
        <v>2241</v>
      </c>
      <c r="CN230">
        <v>1</v>
      </c>
      <c r="CO230">
        <v>0</v>
      </c>
      <c r="CP230">
        <v>0</v>
      </c>
      <c r="CQ230">
        <v>0</v>
      </c>
      <c r="CR230">
        <v>0</v>
      </c>
      <c r="CS230">
        <v>0</v>
      </c>
      <c r="CU230" t="s">
        <v>2242</v>
      </c>
      <c r="CV230">
        <v>1</v>
      </c>
      <c r="CW230">
        <v>0</v>
      </c>
      <c r="CX230">
        <v>1</v>
      </c>
      <c r="CY230">
        <v>1</v>
      </c>
      <c r="CZ230">
        <v>0</v>
      </c>
      <c r="DA230">
        <v>0</v>
      </c>
      <c r="DB230">
        <v>0</v>
      </c>
      <c r="DC230">
        <v>1</v>
      </c>
      <c r="DD230">
        <v>1</v>
      </c>
      <c r="DE230">
        <v>1</v>
      </c>
      <c r="DF230">
        <v>0</v>
      </c>
      <c r="DJ230" t="s">
        <v>1935</v>
      </c>
      <c r="DK230" t="s">
        <v>1952</v>
      </c>
      <c r="DL230" t="s">
        <v>1951</v>
      </c>
      <c r="DN230">
        <v>500</v>
      </c>
      <c r="DP230">
        <v>700</v>
      </c>
      <c r="DR230" t="s">
        <v>2262</v>
      </c>
      <c r="DS230">
        <v>0</v>
      </c>
      <c r="DT230">
        <v>0</v>
      </c>
      <c r="DU230">
        <v>0</v>
      </c>
      <c r="DV230">
        <v>0</v>
      </c>
      <c r="DW230">
        <v>0</v>
      </c>
      <c r="DX230">
        <v>0</v>
      </c>
      <c r="DY230">
        <v>0</v>
      </c>
      <c r="DZ230">
        <v>0</v>
      </c>
      <c r="EA230">
        <v>1</v>
      </c>
      <c r="EC230" t="s">
        <v>2235</v>
      </c>
      <c r="ED230" t="s">
        <v>2263</v>
      </c>
      <c r="EE230" t="s">
        <v>2264</v>
      </c>
      <c r="EI230" t="s">
        <v>2265</v>
      </c>
      <c r="EL230" t="s">
        <v>841</v>
      </c>
      <c r="EO230" t="s">
        <v>2265</v>
      </c>
      <c r="ES230" t="s">
        <v>841</v>
      </c>
      <c r="EZ230" t="s">
        <v>841</v>
      </c>
      <c r="FA230" t="s">
        <v>1932</v>
      </c>
      <c r="FB230" t="s">
        <v>841</v>
      </c>
      <c r="FL230" t="s">
        <v>841</v>
      </c>
      <c r="FM230">
        <v>0</v>
      </c>
      <c r="FO230" t="s">
        <v>1964</v>
      </c>
      <c r="FP230" t="s">
        <v>1964</v>
      </c>
      <c r="FQ230" t="s">
        <v>1964</v>
      </c>
      <c r="FS230" t="s">
        <v>2235</v>
      </c>
      <c r="FT230" t="s">
        <v>2235</v>
      </c>
      <c r="FU230" t="s">
        <v>2235</v>
      </c>
      <c r="FV230" t="s">
        <v>2235</v>
      </c>
      <c r="FW230" t="s">
        <v>2235</v>
      </c>
      <c r="FX230" t="s">
        <v>880</v>
      </c>
      <c r="FY230" t="s">
        <v>2235</v>
      </c>
      <c r="FZ230" t="s">
        <v>2235</v>
      </c>
      <c r="GA230" t="s">
        <v>2235</v>
      </c>
      <c r="GB230" t="s">
        <v>2235</v>
      </c>
      <c r="GC230" t="s">
        <v>2237</v>
      </c>
      <c r="GD230" t="s">
        <v>2237</v>
      </c>
      <c r="GG230" t="s">
        <v>2250</v>
      </c>
      <c r="GI230" t="s">
        <v>2266</v>
      </c>
      <c r="GJ230">
        <v>1</v>
      </c>
      <c r="GK230">
        <v>0</v>
      </c>
      <c r="GL230">
        <v>0</v>
      </c>
      <c r="GM230">
        <v>0</v>
      </c>
      <c r="GN230">
        <v>0</v>
      </c>
      <c r="GO230">
        <v>1</v>
      </c>
      <c r="GP230">
        <v>0</v>
      </c>
      <c r="GQ230">
        <v>0</v>
      </c>
      <c r="GR230">
        <v>0</v>
      </c>
      <c r="GS230">
        <v>1</v>
      </c>
      <c r="GT230">
        <v>0</v>
      </c>
      <c r="GU230">
        <v>1</v>
      </c>
      <c r="GV230">
        <v>0</v>
      </c>
      <c r="GW230">
        <v>0</v>
      </c>
      <c r="GX230">
        <v>0</v>
      </c>
      <c r="GY230">
        <v>0</v>
      </c>
      <c r="GZ230">
        <v>0</v>
      </c>
      <c r="HB230" t="s">
        <v>2235</v>
      </c>
      <c r="JN230">
        <v>479540789</v>
      </c>
      <c r="JO230" t="s">
        <v>2267</v>
      </c>
      <c r="JP230" s="151">
        <v>45792.394907407397</v>
      </c>
      <c r="JS230" t="s">
        <v>2253</v>
      </c>
      <c r="JU230" t="s">
        <v>2254</v>
      </c>
      <c r="JW230">
        <v>264</v>
      </c>
    </row>
    <row r="231" spans="1:283" x14ac:dyDescent="0.35">
      <c r="A231" t="s">
        <v>2268</v>
      </c>
      <c r="B231" s="151">
        <v>45792.62496144676</v>
      </c>
      <c r="C231" t="s">
        <v>2269</v>
      </c>
      <c r="D231" t="s">
        <v>2270</v>
      </c>
      <c r="E231" t="s">
        <v>2271</v>
      </c>
      <c r="F231" t="s">
        <v>2272</v>
      </c>
      <c r="G231" t="s">
        <v>2273</v>
      </c>
      <c r="H231" t="s">
        <v>2235</v>
      </c>
      <c r="I231" t="s">
        <v>2274</v>
      </c>
      <c r="K231" t="s">
        <v>839</v>
      </c>
      <c r="L231" t="s">
        <v>887</v>
      </c>
      <c r="O231">
        <v>133</v>
      </c>
      <c r="P231">
        <v>121</v>
      </c>
      <c r="Q231">
        <v>254</v>
      </c>
      <c r="T231" t="s">
        <v>841</v>
      </c>
      <c r="U231" t="s">
        <v>841</v>
      </c>
      <c r="V231" t="s">
        <v>841</v>
      </c>
      <c r="W231" t="s">
        <v>841</v>
      </c>
      <c r="X231" t="s">
        <v>841</v>
      </c>
      <c r="Y231" t="s">
        <v>841</v>
      </c>
      <c r="Z231" t="s">
        <v>841</v>
      </c>
      <c r="AA231" t="s">
        <v>841</v>
      </c>
      <c r="AB231" t="s">
        <v>841</v>
      </c>
      <c r="AC231" t="s">
        <v>841</v>
      </c>
      <c r="AD231" t="s">
        <v>841</v>
      </c>
      <c r="AE231" t="s">
        <v>841</v>
      </c>
      <c r="AF231" t="s">
        <v>841</v>
      </c>
      <c r="AI231" t="s">
        <v>1952</v>
      </c>
      <c r="AJ231" t="s">
        <v>1952</v>
      </c>
      <c r="AK231" t="s">
        <v>1952</v>
      </c>
      <c r="AL231" t="s">
        <v>1952</v>
      </c>
      <c r="AM231" t="s">
        <v>1952</v>
      </c>
      <c r="AN231" t="s">
        <v>1952</v>
      </c>
      <c r="AO231" t="s">
        <v>1952</v>
      </c>
      <c r="AP231" t="s">
        <v>1952</v>
      </c>
      <c r="AQ231" t="s">
        <v>1952</v>
      </c>
      <c r="AR231" t="s">
        <v>1952</v>
      </c>
      <c r="AS231" t="s">
        <v>1952</v>
      </c>
      <c r="AT231" t="s">
        <v>1952</v>
      </c>
      <c r="AU231" t="s">
        <v>1952</v>
      </c>
      <c r="AW231" t="s">
        <v>1943</v>
      </c>
      <c r="AX231" t="s">
        <v>1894</v>
      </c>
      <c r="AY231" t="s">
        <v>1935</v>
      </c>
      <c r="BJ231">
        <v>7</v>
      </c>
      <c r="BK231">
        <v>5</v>
      </c>
      <c r="BL231">
        <v>12</v>
      </c>
      <c r="BP231">
        <v>7</v>
      </c>
      <c r="BQ231">
        <v>3</v>
      </c>
      <c r="BR231">
        <v>10</v>
      </c>
      <c r="BV231" t="s">
        <v>2237</v>
      </c>
      <c r="BX231" t="s">
        <v>2235</v>
      </c>
      <c r="BY231" t="s">
        <v>2261</v>
      </c>
      <c r="BZ231" t="s">
        <v>2235</v>
      </c>
      <c r="CA231" t="s">
        <v>2235</v>
      </c>
      <c r="CC231" t="s">
        <v>2235</v>
      </c>
      <c r="CD231" t="s">
        <v>2239</v>
      </c>
      <c r="CG231" t="s">
        <v>1953</v>
      </c>
      <c r="CH231" t="s">
        <v>1895</v>
      </c>
      <c r="CI231" t="s">
        <v>1895</v>
      </c>
      <c r="CK231" t="s">
        <v>2240</v>
      </c>
      <c r="CM231" t="s">
        <v>2275</v>
      </c>
      <c r="CN231">
        <v>0</v>
      </c>
      <c r="CO231">
        <v>0</v>
      </c>
      <c r="CP231">
        <v>0</v>
      </c>
      <c r="CQ231">
        <v>0</v>
      </c>
      <c r="CR231">
        <v>0</v>
      </c>
      <c r="CS231">
        <v>1</v>
      </c>
      <c r="CT231" t="s">
        <v>2276</v>
      </c>
      <c r="CU231" t="s">
        <v>2277</v>
      </c>
      <c r="CV231">
        <v>1</v>
      </c>
      <c r="CW231">
        <v>0</v>
      </c>
      <c r="CX231">
        <v>1</v>
      </c>
      <c r="CY231">
        <v>0</v>
      </c>
      <c r="CZ231">
        <v>0</v>
      </c>
      <c r="DA231">
        <v>0</v>
      </c>
      <c r="DB231">
        <v>0</v>
      </c>
      <c r="DC231">
        <v>0</v>
      </c>
      <c r="DD231">
        <v>1</v>
      </c>
      <c r="DE231">
        <v>0</v>
      </c>
      <c r="DF231">
        <v>0</v>
      </c>
      <c r="DJ231" t="s">
        <v>1953</v>
      </c>
      <c r="DK231" t="s">
        <v>2248</v>
      </c>
      <c r="DL231" t="s">
        <v>1926</v>
      </c>
      <c r="DN231">
        <v>530</v>
      </c>
      <c r="DP231">
        <v>1030</v>
      </c>
      <c r="DR231" t="s">
        <v>2278</v>
      </c>
      <c r="DS231">
        <v>1</v>
      </c>
      <c r="DT231">
        <v>0</v>
      </c>
      <c r="DU231">
        <v>1</v>
      </c>
      <c r="DV231">
        <v>0</v>
      </c>
      <c r="DW231">
        <v>0</v>
      </c>
      <c r="DX231">
        <v>1</v>
      </c>
      <c r="DY231">
        <v>0</v>
      </c>
      <c r="DZ231">
        <v>0</v>
      </c>
      <c r="EA231">
        <v>0</v>
      </c>
      <c r="EC231" t="s">
        <v>2237</v>
      </c>
      <c r="ED231" t="s">
        <v>2279</v>
      </c>
      <c r="EE231" t="s">
        <v>2280</v>
      </c>
      <c r="EI231" t="s">
        <v>1894</v>
      </c>
      <c r="EJ231" t="s">
        <v>841</v>
      </c>
      <c r="EO231" t="s">
        <v>1894</v>
      </c>
      <c r="EP231" t="s">
        <v>841</v>
      </c>
      <c r="EU231" t="s">
        <v>1894</v>
      </c>
      <c r="EV231" t="s">
        <v>841</v>
      </c>
      <c r="FA231" t="s">
        <v>1933</v>
      </c>
      <c r="FB231" t="s">
        <v>841</v>
      </c>
      <c r="FG231" t="s">
        <v>1894</v>
      </c>
      <c r="FH231" t="s">
        <v>841</v>
      </c>
      <c r="FM231">
        <v>0</v>
      </c>
      <c r="FO231" t="s">
        <v>1964</v>
      </c>
      <c r="FP231" t="s">
        <v>1964</v>
      </c>
      <c r="FQ231" t="s">
        <v>1964</v>
      </c>
      <c r="FS231" t="s">
        <v>2237</v>
      </c>
      <c r="FT231" t="s">
        <v>2237</v>
      </c>
      <c r="FU231" t="s">
        <v>2235</v>
      </c>
      <c r="FV231" t="s">
        <v>2237</v>
      </c>
      <c r="FW231" t="s">
        <v>2235</v>
      </c>
      <c r="FX231" t="s">
        <v>910</v>
      </c>
      <c r="FY231" t="s">
        <v>2237</v>
      </c>
      <c r="FZ231" t="s">
        <v>2237</v>
      </c>
      <c r="GA231" t="s">
        <v>2237</v>
      </c>
      <c r="GB231" t="s">
        <v>2237</v>
      </c>
      <c r="GC231" t="s">
        <v>2237</v>
      </c>
      <c r="GD231" t="s">
        <v>2237</v>
      </c>
      <c r="GG231" t="s">
        <v>2250</v>
      </c>
      <c r="GI231" t="s">
        <v>2281</v>
      </c>
      <c r="GJ231">
        <v>0</v>
      </c>
      <c r="GK231">
        <v>0</v>
      </c>
      <c r="GL231">
        <v>0</v>
      </c>
      <c r="GM231">
        <v>0</v>
      </c>
      <c r="GN231">
        <v>0</v>
      </c>
      <c r="GO231">
        <v>1</v>
      </c>
      <c r="GP231">
        <v>0</v>
      </c>
      <c r="GQ231">
        <v>0</v>
      </c>
      <c r="GR231">
        <v>0</v>
      </c>
      <c r="GS231">
        <v>1</v>
      </c>
      <c r="GT231">
        <v>0</v>
      </c>
      <c r="GU231">
        <v>0</v>
      </c>
      <c r="GV231">
        <v>0</v>
      </c>
      <c r="GW231">
        <v>0</v>
      </c>
      <c r="GX231">
        <v>0</v>
      </c>
      <c r="GY231">
        <v>0</v>
      </c>
      <c r="GZ231">
        <v>0</v>
      </c>
      <c r="HB231" t="s">
        <v>2235</v>
      </c>
      <c r="JN231">
        <v>479772451</v>
      </c>
      <c r="JO231" t="s">
        <v>2282</v>
      </c>
      <c r="JP231" s="151">
        <v>45792.625</v>
      </c>
      <c r="JS231" t="s">
        <v>2253</v>
      </c>
      <c r="JU231" t="s">
        <v>2254</v>
      </c>
      <c r="JW231">
        <v>270</v>
      </c>
    </row>
    <row r="232" spans="1:283" x14ac:dyDescent="0.35">
      <c r="A232" t="s">
        <v>2283</v>
      </c>
      <c r="B232" s="151">
        <v>45792.64584957176</v>
      </c>
      <c r="C232" t="s">
        <v>2284</v>
      </c>
      <c r="D232" t="s">
        <v>2285</v>
      </c>
      <c r="E232" t="s">
        <v>2232</v>
      </c>
      <c r="F232" t="s">
        <v>2286</v>
      </c>
      <c r="H232" t="s">
        <v>2235</v>
      </c>
      <c r="I232" t="s">
        <v>2274</v>
      </c>
      <c r="K232" t="s">
        <v>842</v>
      </c>
      <c r="O232">
        <v>37</v>
      </c>
      <c r="P232">
        <v>44</v>
      </c>
      <c r="Q232">
        <v>81</v>
      </c>
      <c r="T232" t="s">
        <v>841</v>
      </c>
      <c r="U232" t="s">
        <v>841</v>
      </c>
      <c r="V232" t="s">
        <v>841</v>
      </c>
      <c r="W232" t="s">
        <v>841</v>
      </c>
      <c r="X232" t="s">
        <v>841</v>
      </c>
      <c r="AI232" t="s">
        <v>1952</v>
      </c>
      <c r="AJ232" t="s">
        <v>1952</v>
      </c>
      <c r="AK232" t="s">
        <v>1952</v>
      </c>
      <c r="AL232" t="s">
        <v>1952</v>
      </c>
      <c r="AM232" t="s">
        <v>1952</v>
      </c>
      <c r="AZ232" t="s">
        <v>841</v>
      </c>
      <c r="BM232" t="s">
        <v>841</v>
      </c>
      <c r="BS232" t="s">
        <v>841</v>
      </c>
      <c r="BV232" t="s">
        <v>2235</v>
      </c>
      <c r="BW232" t="s">
        <v>2261</v>
      </c>
      <c r="BX232" t="s">
        <v>2235</v>
      </c>
      <c r="BY232" t="s">
        <v>2261</v>
      </c>
      <c r="BZ232" t="s">
        <v>2287</v>
      </c>
      <c r="CA232" t="s">
        <v>2235</v>
      </c>
      <c r="CC232" t="s">
        <v>2235</v>
      </c>
      <c r="CD232" t="s">
        <v>2239</v>
      </c>
      <c r="CG232" t="s">
        <v>1895</v>
      </c>
      <c r="CH232" t="s">
        <v>1952</v>
      </c>
      <c r="CI232" t="s">
        <v>1952</v>
      </c>
      <c r="CK232" t="s">
        <v>2240</v>
      </c>
      <c r="CM232" t="s">
        <v>2241</v>
      </c>
      <c r="CN232">
        <v>1</v>
      </c>
      <c r="CO232">
        <v>0</v>
      </c>
      <c r="CP232">
        <v>0</v>
      </c>
      <c r="CQ232">
        <v>0</v>
      </c>
      <c r="CR232">
        <v>0</v>
      </c>
      <c r="CS232">
        <v>0</v>
      </c>
      <c r="CU232" t="s">
        <v>2288</v>
      </c>
      <c r="CV232">
        <v>1</v>
      </c>
      <c r="CW232">
        <v>1</v>
      </c>
      <c r="CX232">
        <v>1</v>
      </c>
      <c r="CY232">
        <v>0</v>
      </c>
      <c r="CZ232">
        <v>0</v>
      </c>
      <c r="DA232">
        <v>0</v>
      </c>
      <c r="DB232">
        <v>0</v>
      </c>
      <c r="DC232">
        <v>0</v>
      </c>
      <c r="DD232">
        <v>1</v>
      </c>
      <c r="DE232">
        <v>0</v>
      </c>
      <c r="DF232">
        <v>0</v>
      </c>
      <c r="DJ232" t="s">
        <v>1894</v>
      </c>
      <c r="DK232" t="s">
        <v>1943</v>
      </c>
      <c r="DL232" t="s">
        <v>1935</v>
      </c>
      <c r="DN232">
        <v>500</v>
      </c>
      <c r="DP232">
        <v>1300</v>
      </c>
      <c r="DR232" t="s">
        <v>2289</v>
      </c>
      <c r="DS232">
        <v>1</v>
      </c>
      <c r="DT232">
        <v>0</v>
      </c>
      <c r="DU232">
        <v>1</v>
      </c>
      <c r="DV232">
        <v>0</v>
      </c>
      <c r="DW232">
        <v>1</v>
      </c>
      <c r="DX232">
        <v>0</v>
      </c>
      <c r="DY232">
        <v>0</v>
      </c>
      <c r="DZ232">
        <v>0</v>
      </c>
      <c r="EA232">
        <v>0</v>
      </c>
      <c r="EC232" t="s">
        <v>2235</v>
      </c>
      <c r="ED232" t="s">
        <v>2245</v>
      </c>
      <c r="EE232" t="s">
        <v>2264</v>
      </c>
      <c r="EI232" t="s">
        <v>2290</v>
      </c>
      <c r="EM232" t="s">
        <v>841</v>
      </c>
      <c r="EO232" t="s">
        <v>2290</v>
      </c>
      <c r="ES232" t="s">
        <v>841</v>
      </c>
      <c r="EZ232" t="s">
        <v>841</v>
      </c>
      <c r="FA232" t="s">
        <v>1943</v>
      </c>
      <c r="FB232" t="s">
        <v>841</v>
      </c>
      <c r="FL232" t="s">
        <v>841</v>
      </c>
      <c r="FM232">
        <v>0</v>
      </c>
      <c r="FO232" t="s">
        <v>1894</v>
      </c>
      <c r="FP232" t="s">
        <v>1895</v>
      </c>
      <c r="FQ232" t="s">
        <v>1896</v>
      </c>
      <c r="FS232" t="s">
        <v>2235</v>
      </c>
      <c r="FT232" t="s">
        <v>2235</v>
      </c>
      <c r="FU232" t="s">
        <v>2235</v>
      </c>
      <c r="FV232" t="s">
        <v>2235</v>
      </c>
      <c r="FW232" t="s">
        <v>2235</v>
      </c>
      <c r="FX232" t="s">
        <v>965</v>
      </c>
      <c r="FY232" t="s">
        <v>2235</v>
      </c>
      <c r="FZ232" t="s">
        <v>2235</v>
      </c>
      <c r="GA232" t="s">
        <v>2235</v>
      </c>
      <c r="GB232" t="s">
        <v>2237</v>
      </c>
      <c r="GC232" t="s">
        <v>2235</v>
      </c>
      <c r="GD232" t="s">
        <v>2235</v>
      </c>
      <c r="GE232" t="s">
        <v>2249</v>
      </c>
      <c r="GG232" t="s">
        <v>2237</v>
      </c>
      <c r="GI232" t="s">
        <v>2291</v>
      </c>
      <c r="GJ232">
        <v>1</v>
      </c>
      <c r="GK232">
        <v>0</v>
      </c>
      <c r="GL232">
        <v>0</v>
      </c>
      <c r="GM232">
        <v>0</v>
      </c>
      <c r="GN232">
        <v>0</v>
      </c>
      <c r="GO232">
        <v>0</v>
      </c>
      <c r="GP232">
        <v>0</v>
      </c>
      <c r="GQ232">
        <v>0</v>
      </c>
      <c r="GR232">
        <v>0</v>
      </c>
      <c r="GS232">
        <v>0</v>
      </c>
      <c r="GT232">
        <v>0</v>
      </c>
      <c r="GU232">
        <v>0</v>
      </c>
      <c r="GV232">
        <v>0</v>
      </c>
      <c r="GW232">
        <v>0</v>
      </c>
      <c r="GX232">
        <v>0</v>
      </c>
      <c r="GY232">
        <v>0</v>
      </c>
      <c r="GZ232">
        <v>0</v>
      </c>
      <c r="HB232" t="s">
        <v>2235</v>
      </c>
      <c r="JN232">
        <v>479791815</v>
      </c>
      <c r="JO232" t="s">
        <v>2292</v>
      </c>
      <c r="JP232" s="151">
        <v>45792.645891203712</v>
      </c>
      <c r="JS232" t="s">
        <v>2253</v>
      </c>
      <c r="JU232" t="s">
        <v>2254</v>
      </c>
      <c r="JW232">
        <v>271</v>
      </c>
    </row>
    <row r="233" spans="1:283" x14ac:dyDescent="0.35">
      <c r="A233" t="s">
        <v>2293</v>
      </c>
      <c r="B233" s="151">
        <v>45792.582237662027</v>
      </c>
      <c r="C233" t="s">
        <v>2294</v>
      </c>
      <c r="D233" t="s">
        <v>2295</v>
      </c>
      <c r="E233" t="s">
        <v>2271</v>
      </c>
      <c r="F233" t="s">
        <v>2296</v>
      </c>
      <c r="G233" t="s">
        <v>2297</v>
      </c>
      <c r="H233" t="s">
        <v>2235</v>
      </c>
      <c r="I233" t="s">
        <v>2236</v>
      </c>
      <c r="K233" t="s">
        <v>839</v>
      </c>
      <c r="L233" t="s">
        <v>887</v>
      </c>
      <c r="O233">
        <v>42</v>
      </c>
      <c r="P233">
        <v>28</v>
      </c>
      <c r="Q233">
        <v>70</v>
      </c>
      <c r="S233" t="s">
        <v>841</v>
      </c>
      <c r="T233" t="s">
        <v>841</v>
      </c>
      <c r="U233" t="s">
        <v>841</v>
      </c>
      <c r="V233" t="s">
        <v>841</v>
      </c>
      <c r="W233" t="s">
        <v>841</v>
      </c>
      <c r="X233" t="s">
        <v>841</v>
      </c>
      <c r="AH233" t="s">
        <v>1952</v>
      </c>
      <c r="AI233" t="s">
        <v>1952</v>
      </c>
      <c r="AJ233" t="s">
        <v>1952</v>
      </c>
      <c r="AK233" t="s">
        <v>1952</v>
      </c>
      <c r="AL233" t="s">
        <v>1952</v>
      </c>
      <c r="AM233" t="s">
        <v>1952</v>
      </c>
      <c r="AZ233" t="s">
        <v>841</v>
      </c>
      <c r="BM233" t="s">
        <v>841</v>
      </c>
      <c r="BS233" t="s">
        <v>841</v>
      </c>
      <c r="BV233" t="s">
        <v>2235</v>
      </c>
      <c r="BW233" t="s">
        <v>2261</v>
      </c>
      <c r="BX233" t="s">
        <v>2237</v>
      </c>
      <c r="BZ233" t="s">
        <v>2235</v>
      </c>
      <c r="CA233" t="s">
        <v>2235</v>
      </c>
      <c r="CC233" t="s">
        <v>2235</v>
      </c>
      <c r="CD233" t="s">
        <v>2239</v>
      </c>
      <c r="CG233" t="s">
        <v>1895</v>
      </c>
      <c r="CH233" t="s">
        <v>1952</v>
      </c>
      <c r="CI233" t="s">
        <v>1952</v>
      </c>
      <c r="CK233" t="s">
        <v>2262</v>
      </c>
      <c r="CM233" t="s">
        <v>2241</v>
      </c>
      <c r="CN233">
        <v>1</v>
      </c>
      <c r="CO233">
        <v>0</v>
      </c>
      <c r="CP233">
        <v>0</v>
      </c>
      <c r="CQ233">
        <v>0</v>
      </c>
      <c r="CR233">
        <v>0</v>
      </c>
      <c r="CS233">
        <v>0</v>
      </c>
      <c r="CU233" t="s">
        <v>2298</v>
      </c>
      <c r="CV233">
        <v>1</v>
      </c>
      <c r="CW233">
        <v>0</v>
      </c>
      <c r="CX233">
        <v>0</v>
      </c>
      <c r="CY233">
        <v>0</v>
      </c>
      <c r="CZ233">
        <v>0</v>
      </c>
      <c r="DA233">
        <v>0</v>
      </c>
      <c r="DB233">
        <v>0</v>
      </c>
      <c r="DC233">
        <v>0</v>
      </c>
      <c r="DD233">
        <v>1</v>
      </c>
      <c r="DE233">
        <v>0</v>
      </c>
      <c r="DF233">
        <v>0</v>
      </c>
      <c r="DJ233" t="s">
        <v>1952</v>
      </c>
      <c r="DK233" t="s">
        <v>1933</v>
      </c>
      <c r="DL233" t="s">
        <v>1943</v>
      </c>
      <c r="DN233">
        <v>350</v>
      </c>
      <c r="DP233">
        <v>550</v>
      </c>
      <c r="DR233" t="s">
        <v>2299</v>
      </c>
      <c r="DS233">
        <v>1</v>
      </c>
      <c r="DT233">
        <v>0</v>
      </c>
      <c r="DU233">
        <v>0</v>
      </c>
      <c r="DV233">
        <v>0</v>
      </c>
      <c r="DW233">
        <v>0</v>
      </c>
      <c r="DX233">
        <v>0</v>
      </c>
      <c r="DY233">
        <v>0</v>
      </c>
      <c r="DZ233">
        <v>0</v>
      </c>
      <c r="EA233">
        <v>0</v>
      </c>
      <c r="EC233" t="s">
        <v>2237</v>
      </c>
      <c r="ED233" t="s">
        <v>2279</v>
      </c>
      <c r="EE233" t="s">
        <v>2264</v>
      </c>
      <c r="EI233" t="s">
        <v>2300</v>
      </c>
      <c r="EM233" t="s">
        <v>841</v>
      </c>
      <c r="EO233" t="s">
        <v>2300</v>
      </c>
      <c r="ES233" t="s">
        <v>841</v>
      </c>
      <c r="EZ233" t="s">
        <v>841</v>
      </c>
      <c r="FA233" t="s">
        <v>1932</v>
      </c>
      <c r="FB233" t="s">
        <v>841</v>
      </c>
      <c r="FG233" t="s">
        <v>1896</v>
      </c>
      <c r="FH233" t="s">
        <v>841</v>
      </c>
      <c r="FM233">
        <v>0</v>
      </c>
      <c r="FO233" t="s">
        <v>1964</v>
      </c>
      <c r="FP233" t="s">
        <v>1964</v>
      </c>
      <c r="FQ233" t="s">
        <v>1964</v>
      </c>
      <c r="FS233" t="s">
        <v>2235</v>
      </c>
      <c r="FT233" t="s">
        <v>2237</v>
      </c>
      <c r="FU233" t="s">
        <v>2235</v>
      </c>
      <c r="FV233" t="s">
        <v>2235</v>
      </c>
      <c r="FW233" t="s">
        <v>2235</v>
      </c>
      <c r="FX233" t="s">
        <v>880</v>
      </c>
      <c r="FY233" t="s">
        <v>2235</v>
      </c>
      <c r="FZ233" t="s">
        <v>2235</v>
      </c>
      <c r="GA233" t="s">
        <v>2235</v>
      </c>
      <c r="GB233" t="s">
        <v>2235</v>
      </c>
      <c r="GC233" t="s">
        <v>2235</v>
      </c>
      <c r="GD233" t="s">
        <v>2237</v>
      </c>
      <c r="GG233" t="s">
        <v>2237</v>
      </c>
      <c r="GI233" t="s">
        <v>2301</v>
      </c>
      <c r="GJ233">
        <v>1</v>
      </c>
      <c r="GK233">
        <v>0</v>
      </c>
      <c r="GL233">
        <v>0</v>
      </c>
      <c r="GM233">
        <v>0</v>
      </c>
      <c r="GN233">
        <v>0</v>
      </c>
      <c r="GO233">
        <v>1</v>
      </c>
      <c r="GP233">
        <v>0</v>
      </c>
      <c r="GQ233">
        <v>0</v>
      </c>
      <c r="GR233">
        <v>0</v>
      </c>
      <c r="GS233">
        <v>1</v>
      </c>
      <c r="GT233">
        <v>0</v>
      </c>
      <c r="GU233">
        <v>0</v>
      </c>
      <c r="GV233">
        <v>0</v>
      </c>
      <c r="GW233">
        <v>0</v>
      </c>
      <c r="GX233">
        <v>0</v>
      </c>
      <c r="GY233">
        <v>0</v>
      </c>
      <c r="GZ233">
        <v>0</v>
      </c>
      <c r="HB233" t="s">
        <v>2235</v>
      </c>
      <c r="JN233">
        <v>479725157</v>
      </c>
      <c r="JO233" t="s">
        <v>2302</v>
      </c>
      <c r="JP233" s="151">
        <v>45792.582268518519</v>
      </c>
      <c r="JS233" t="s">
        <v>2253</v>
      </c>
      <c r="JU233" t="s">
        <v>2254</v>
      </c>
      <c r="JW233">
        <v>268</v>
      </c>
    </row>
    <row r="234" spans="1:283" x14ac:dyDescent="0.35">
      <c r="A234" t="s">
        <v>2303</v>
      </c>
      <c r="B234" s="151">
        <v>45792.661059317128</v>
      </c>
      <c r="C234" t="s">
        <v>2304</v>
      </c>
      <c r="D234" t="s">
        <v>2305</v>
      </c>
      <c r="E234" t="s">
        <v>2271</v>
      </c>
      <c r="F234" t="s">
        <v>2306</v>
      </c>
      <c r="H234" t="s">
        <v>2235</v>
      </c>
      <c r="I234" t="s">
        <v>2274</v>
      </c>
      <c r="K234" t="s">
        <v>839</v>
      </c>
      <c r="L234" t="s">
        <v>897</v>
      </c>
      <c r="O234">
        <v>269</v>
      </c>
      <c r="P234">
        <v>317</v>
      </c>
      <c r="Q234">
        <v>586</v>
      </c>
      <c r="T234" t="s">
        <v>841</v>
      </c>
      <c r="U234" t="s">
        <v>841</v>
      </c>
      <c r="V234" t="s">
        <v>841</v>
      </c>
      <c r="W234" t="s">
        <v>841</v>
      </c>
      <c r="X234" t="s">
        <v>841</v>
      </c>
      <c r="Y234" t="s">
        <v>841</v>
      </c>
      <c r="Z234" t="s">
        <v>841</v>
      </c>
      <c r="AA234" t="s">
        <v>841</v>
      </c>
      <c r="AB234" t="s">
        <v>841</v>
      </c>
      <c r="AC234" t="s">
        <v>841</v>
      </c>
      <c r="AD234" t="s">
        <v>841</v>
      </c>
      <c r="AE234" t="s">
        <v>841</v>
      </c>
      <c r="AF234" t="s">
        <v>841</v>
      </c>
      <c r="AI234" t="s">
        <v>1894</v>
      </c>
      <c r="AJ234" t="s">
        <v>1894</v>
      </c>
      <c r="AK234" t="s">
        <v>1894</v>
      </c>
      <c r="AL234" t="s">
        <v>1895</v>
      </c>
      <c r="AM234" t="s">
        <v>1894</v>
      </c>
      <c r="AN234" t="s">
        <v>1895</v>
      </c>
      <c r="AO234" t="s">
        <v>1894</v>
      </c>
      <c r="AP234" t="s">
        <v>1895</v>
      </c>
      <c r="AQ234" t="s">
        <v>1895</v>
      </c>
      <c r="AR234" t="s">
        <v>1895</v>
      </c>
      <c r="AS234" t="s">
        <v>1952</v>
      </c>
      <c r="AT234" t="s">
        <v>1952</v>
      </c>
      <c r="AU234" t="s">
        <v>1952</v>
      </c>
      <c r="AW234" t="s">
        <v>1933</v>
      </c>
      <c r="AX234" t="s">
        <v>1932</v>
      </c>
      <c r="AY234" t="s">
        <v>1934</v>
      </c>
      <c r="BB234" t="s">
        <v>1964</v>
      </c>
      <c r="BC234" t="s">
        <v>1895</v>
      </c>
      <c r="BD234" t="s">
        <v>1895</v>
      </c>
      <c r="BF234" t="s">
        <v>1895</v>
      </c>
      <c r="BG234" t="s">
        <v>1894</v>
      </c>
      <c r="BH234" t="s">
        <v>1896</v>
      </c>
      <c r="BJ234">
        <v>14</v>
      </c>
      <c r="BK234">
        <v>20</v>
      </c>
      <c r="BL234">
        <v>34</v>
      </c>
      <c r="BP234">
        <v>10</v>
      </c>
      <c r="BQ234">
        <v>5</v>
      </c>
      <c r="BR234">
        <v>15</v>
      </c>
      <c r="BV234" t="s">
        <v>2235</v>
      </c>
      <c r="BW234" t="s">
        <v>2261</v>
      </c>
      <c r="BX234" t="s">
        <v>2235</v>
      </c>
      <c r="BY234" t="s">
        <v>2238</v>
      </c>
      <c r="BZ234" t="s">
        <v>2235</v>
      </c>
      <c r="CA234" t="s">
        <v>2235</v>
      </c>
      <c r="CC234" t="s">
        <v>2235</v>
      </c>
      <c r="CD234" t="s">
        <v>2239</v>
      </c>
      <c r="CG234" t="s">
        <v>1935</v>
      </c>
      <c r="CH234" t="s">
        <v>1896</v>
      </c>
      <c r="CI234" t="s">
        <v>1896</v>
      </c>
      <c r="CK234" t="s">
        <v>2240</v>
      </c>
      <c r="CM234" t="s">
        <v>2307</v>
      </c>
      <c r="CN234">
        <v>0</v>
      </c>
      <c r="CO234">
        <v>1</v>
      </c>
      <c r="CP234">
        <v>0</v>
      </c>
      <c r="CQ234">
        <v>0</v>
      </c>
      <c r="CR234">
        <v>0</v>
      </c>
      <c r="CS234">
        <v>0</v>
      </c>
      <c r="CU234" t="s">
        <v>2308</v>
      </c>
      <c r="CV234">
        <v>1</v>
      </c>
      <c r="CW234">
        <v>0</v>
      </c>
      <c r="CX234">
        <v>1</v>
      </c>
      <c r="CY234">
        <v>1</v>
      </c>
      <c r="CZ234">
        <v>0</v>
      </c>
      <c r="DA234">
        <v>1</v>
      </c>
      <c r="DB234">
        <v>1</v>
      </c>
      <c r="DC234">
        <v>0</v>
      </c>
      <c r="DD234">
        <v>1</v>
      </c>
      <c r="DE234">
        <v>0</v>
      </c>
      <c r="DF234">
        <v>0</v>
      </c>
      <c r="DJ234" t="s">
        <v>1896</v>
      </c>
      <c r="DK234" t="s">
        <v>2309</v>
      </c>
      <c r="DL234" t="s">
        <v>2310</v>
      </c>
      <c r="DN234">
        <v>460</v>
      </c>
      <c r="DP234">
        <v>1100</v>
      </c>
      <c r="DR234" t="s">
        <v>2311</v>
      </c>
      <c r="DS234">
        <v>1</v>
      </c>
      <c r="DT234">
        <v>1</v>
      </c>
      <c r="DU234">
        <v>1</v>
      </c>
      <c r="DV234">
        <v>0</v>
      </c>
      <c r="DW234">
        <v>1</v>
      </c>
      <c r="DX234">
        <v>0</v>
      </c>
      <c r="DY234">
        <v>0</v>
      </c>
      <c r="DZ234">
        <v>0</v>
      </c>
      <c r="EA234">
        <v>0</v>
      </c>
      <c r="EC234" t="s">
        <v>2237</v>
      </c>
      <c r="ED234" t="s">
        <v>2279</v>
      </c>
      <c r="EE234" t="s">
        <v>2264</v>
      </c>
      <c r="EI234" t="s">
        <v>1933</v>
      </c>
      <c r="EJ234" t="s">
        <v>841</v>
      </c>
      <c r="EO234" t="s">
        <v>1943</v>
      </c>
      <c r="EP234" t="s">
        <v>841</v>
      </c>
      <c r="EU234" t="s">
        <v>2312</v>
      </c>
      <c r="EV234" t="s">
        <v>841</v>
      </c>
      <c r="FA234" t="s">
        <v>2313</v>
      </c>
      <c r="FB234" t="s">
        <v>841</v>
      </c>
      <c r="FG234" t="s">
        <v>1894</v>
      </c>
      <c r="FH234" t="s">
        <v>841</v>
      </c>
      <c r="FM234">
        <v>0</v>
      </c>
      <c r="FO234" t="s">
        <v>1896</v>
      </c>
      <c r="FP234" t="s">
        <v>1943</v>
      </c>
      <c r="FQ234" t="s">
        <v>2248</v>
      </c>
      <c r="FS234" t="s">
        <v>2237</v>
      </c>
      <c r="FT234" t="s">
        <v>2237</v>
      </c>
      <c r="FU234" t="s">
        <v>2235</v>
      </c>
      <c r="FV234" t="s">
        <v>2235</v>
      </c>
      <c r="FW234" t="s">
        <v>2235</v>
      </c>
      <c r="FX234" t="s">
        <v>880</v>
      </c>
      <c r="FY234" t="s">
        <v>2237</v>
      </c>
      <c r="FZ234" t="s">
        <v>2235</v>
      </c>
      <c r="GA234" t="s">
        <v>2237</v>
      </c>
      <c r="GB234" t="s">
        <v>2237</v>
      </c>
      <c r="GC234" t="s">
        <v>2235</v>
      </c>
      <c r="GD234" t="s">
        <v>2235</v>
      </c>
      <c r="GE234" t="s">
        <v>2314</v>
      </c>
      <c r="GG234" t="s">
        <v>2235</v>
      </c>
      <c r="GI234" t="s">
        <v>2315</v>
      </c>
      <c r="GJ234">
        <v>0</v>
      </c>
      <c r="GK234">
        <v>1</v>
      </c>
      <c r="GL234">
        <v>0</v>
      </c>
      <c r="GM234">
        <v>1</v>
      </c>
      <c r="GN234">
        <v>0</v>
      </c>
      <c r="GO234">
        <v>1</v>
      </c>
      <c r="GP234">
        <v>0</v>
      </c>
      <c r="GQ234">
        <v>1</v>
      </c>
      <c r="GR234">
        <v>0</v>
      </c>
      <c r="GS234">
        <v>0</v>
      </c>
      <c r="GT234">
        <v>0</v>
      </c>
      <c r="GU234">
        <v>0</v>
      </c>
      <c r="GV234">
        <v>0</v>
      </c>
      <c r="GW234">
        <v>1</v>
      </c>
      <c r="GX234">
        <v>0</v>
      </c>
      <c r="GY234">
        <v>0</v>
      </c>
      <c r="GZ234">
        <v>0</v>
      </c>
      <c r="HB234" t="s">
        <v>2235</v>
      </c>
      <c r="JN234">
        <v>479805339</v>
      </c>
      <c r="JO234" t="s">
        <v>2316</v>
      </c>
      <c r="JP234" s="151">
        <v>45792.661099537043</v>
      </c>
      <c r="JS234" t="s">
        <v>2253</v>
      </c>
      <c r="JU234" t="s">
        <v>2254</v>
      </c>
      <c r="JW234">
        <v>272</v>
      </c>
    </row>
    <row r="235" spans="1:283" x14ac:dyDescent="0.35">
      <c r="A235" t="s">
        <v>2317</v>
      </c>
      <c r="B235" s="151">
        <v>45792.558051805558</v>
      </c>
      <c r="C235" t="s">
        <v>2318</v>
      </c>
      <c r="D235" t="s">
        <v>2319</v>
      </c>
      <c r="E235" t="s">
        <v>2232</v>
      </c>
      <c r="F235" t="s">
        <v>2320</v>
      </c>
      <c r="H235" t="s">
        <v>2235</v>
      </c>
      <c r="I235" t="s">
        <v>2236</v>
      </c>
      <c r="K235" t="s">
        <v>839</v>
      </c>
      <c r="L235" t="s">
        <v>887</v>
      </c>
      <c r="O235">
        <v>110</v>
      </c>
      <c r="P235">
        <v>74</v>
      </c>
      <c r="Q235">
        <v>184</v>
      </c>
      <c r="S235" t="s">
        <v>841</v>
      </c>
      <c r="T235" t="s">
        <v>841</v>
      </c>
      <c r="U235" t="s">
        <v>841</v>
      </c>
      <c r="V235" t="s">
        <v>841</v>
      </c>
      <c r="W235" t="s">
        <v>841</v>
      </c>
      <c r="X235" t="s">
        <v>841</v>
      </c>
      <c r="Y235" t="s">
        <v>841</v>
      </c>
      <c r="Z235" t="s">
        <v>841</v>
      </c>
      <c r="AA235" t="s">
        <v>841</v>
      </c>
      <c r="AB235" t="s">
        <v>841</v>
      </c>
      <c r="AH235" t="s">
        <v>1952</v>
      </c>
      <c r="AI235" t="s">
        <v>1895</v>
      </c>
      <c r="AJ235" t="s">
        <v>1952</v>
      </c>
      <c r="AK235" t="s">
        <v>1952</v>
      </c>
      <c r="AL235" t="s">
        <v>1895</v>
      </c>
      <c r="AM235" t="s">
        <v>1952</v>
      </c>
      <c r="AN235" t="s">
        <v>1952</v>
      </c>
      <c r="AO235" t="s">
        <v>1952</v>
      </c>
      <c r="AP235" t="s">
        <v>1952</v>
      </c>
      <c r="AQ235" t="s">
        <v>1952</v>
      </c>
      <c r="AZ235" t="s">
        <v>841</v>
      </c>
      <c r="BM235" t="s">
        <v>841</v>
      </c>
      <c r="BS235" t="s">
        <v>841</v>
      </c>
      <c r="BV235" t="s">
        <v>2237</v>
      </c>
      <c r="BX235" t="s">
        <v>2235</v>
      </c>
      <c r="BY235" t="s">
        <v>2238</v>
      </c>
      <c r="BZ235" t="s">
        <v>2235</v>
      </c>
      <c r="CA235" t="s">
        <v>2235</v>
      </c>
      <c r="CC235" t="s">
        <v>2235</v>
      </c>
      <c r="CD235" t="s">
        <v>2239</v>
      </c>
      <c r="CG235" t="s">
        <v>1933</v>
      </c>
      <c r="CH235" t="s">
        <v>1894</v>
      </c>
      <c r="CI235" t="s">
        <v>1894</v>
      </c>
      <c r="CK235" t="s">
        <v>2240</v>
      </c>
      <c r="CM235" t="s">
        <v>2321</v>
      </c>
      <c r="CN235">
        <v>1</v>
      </c>
      <c r="CO235">
        <v>1</v>
      </c>
      <c r="CP235">
        <v>0</v>
      </c>
      <c r="CQ235">
        <v>0</v>
      </c>
      <c r="CR235">
        <v>0</v>
      </c>
      <c r="CS235">
        <v>0</v>
      </c>
      <c r="CU235" t="s">
        <v>2322</v>
      </c>
      <c r="CV235">
        <v>1</v>
      </c>
      <c r="CW235">
        <v>0</v>
      </c>
      <c r="CX235">
        <v>1</v>
      </c>
      <c r="CY235">
        <v>0</v>
      </c>
      <c r="CZ235">
        <v>0</v>
      </c>
      <c r="DA235">
        <v>1</v>
      </c>
      <c r="DB235">
        <v>0</v>
      </c>
      <c r="DC235">
        <v>0</v>
      </c>
      <c r="DD235">
        <v>1</v>
      </c>
      <c r="DE235">
        <v>1</v>
      </c>
      <c r="DF235">
        <v>0</v>
      </c>
      <c r="DJ235" t="s">
        <v>1894</v>
      </c>
      <c r="DK235" t="s">
        <v>2323</v>
      </c>
      <c r="DL235" t="s">
        <v>2248</v>
      </c>
      <c r="DN235">
        <v>500</v>
      </c>
      <c r="DP235">
        <v>1200</v>
      </c>
      <c r="DR235" t="s">
        <v>2324</v>
      </c>
      <c r="DS235">
        <v>0</v>
      </c>
      <c r="DT235">
        <v>0</v>
      </c>
      <c r="DU235">
        <v>1</v>
      </c>
      <c r="DV235">
        <v>0</v>
      </c>
      <c r="DW235">
        <v>0</v>
      </c>
      <c r="DX235">
        <v>0</v>
      </c>
      <c r="DY235">
        <v>0</v>
      </c>
      <c r="DZ235">
        <v>0</v>
      </c>
      <c r="EA235">
        <v>0</v>
      </c>
      <c r="EC235" t="s">
        <v>2235</v>
      </c>
      <c r="ED235" t="s">
        <v>2279</v>
      </c>
      <c r="EE235" t="s">
        <v>2264</v>
      </c>
      <c r="EI235" t="s">
        <v>2325</v>
      </c>
      <c r="EM235" t="s">
        <v>841</v>
      </c>
      <c r="EO235" t="s">
        <v>2325</v>
      </c>
      <c r="ES235" t="s">
        <v>841</v>
      </c>
      <c r="EZ235" t="s">
        <v>841</v>
      </c>
      <c r="FA235" t="s">
        <v>1932</v>
      </c>
      <c r="FB235" t="s">
        <v>841</v>
      </c>
      <c r="FG235" t="s">
        <v>1935</v>
      </c>
      <c r="FH235" t="s">
        <v>841</v>
      </c>
      <c r="FM235" t="s">
        <v>2326</v>
      </c>
      <c r="FO235" t="s">
        <v>1953</v>
      </c>
      <c r="FP235" t="s">
        <v>1895</v>
      </c>
      <c r="FQ235" t="s">
        <v>1933</v>
      </c>
      <c r="FS235" t="s">
        <v>2237</v>
      </c>
      <c r="FT235" t="s">
        <v>2237</v>
      </c>
      <c r="FU235" t="s">
        <v>2235</v>
      </c>
      <c r="FV235" t="s">
        <v>2235</v>
      </c>
      <c r="FW235" t="s">
        <v>2237</v>
      </c>
      <c r="FY235" t="s">
        <v>2237</v>
      </c>
      <c r="FZ235" t="s">
        <v>2237</v>
      </c>
      <c r="GA235" t="s">
        <v>2237</v>
      </c>
      <c r="GB235" t="s">
        <v>2237</v>
      </c>
      <c r="GC235" t="s">
        <v>2237</v>
      </c>
      <c r="GD235" t="s">
        <v>2235</v>
      </c>
      <c r="GE235" t="s">
        <v>2249</v>
      </c>
      <c r="GG235" t="s">
        <v>2250</v>
      </c>
      <c r="GI235" t="s">
        <v>2291</v>
      </c>
      <c r="GJ235">
        <v>1</v>
      </c>
      <c r="GK235">
        <v>0</v>
      </c>
      <c r="GL235">
        <v>0</v>
      </c>
      <c r="GM235">
        <v>0</v>
      </c>
      <c r="GN235">
        <v>0</v>
      </c>
      <c r="GO235">
        <v>0</v>
      </c>
      <c r="GP235">
        <v>0</v>
      </c>
      <c r="GQ235">
        <v>0</v>
      </c>
      <c r="GR235">
        <v>0</v>
      </c>
      <c r="GS235">
        <v>0</v>
      </c>
      <c r="GT235">
        <v>0</v>
      </c>
      <c r="GU235">
        <v>0</v>
      </c>
      <c r="GV235">
        <v>0</v>
      </c>
      <c r="GW235">
        <v>0</v>
      </c>
      <c r="GX235">
        <v>0</v>
      </c>
      <c r="GY235">
        <v>0</v>
      </c>
      <c r="GZ235">
        <v>0</v>
      </c>
      <c r="HB235" t="s">
        <v>2237</v>
      </c>
      <c r="HC235" t="s">
        <v>2327</v>
      </c>
      <c r="JN235">
        <v>479697244</v>
      </c>
      <c r="JO235" t="s">
        <v>2328</v>
      </c>
      <c r="JP235" s="151">
        <v>45792.55809027778</v>
      </c>
      <c r="JS235" t="s">
        <v>2253</v>
      </c>
      <c r="JU235" t="s">
        <v>2254</v>
      </c>
      <c r="JW235">
        <v>267</v>
      </c>
    </row>
    <row r="236" spans="1:283" x14ac:dyDescent="0.35">
      <c r="A236" t="s">
        <v>2329</v>
      </c>
      <c r="B236" s="151">
        <v>45792.67019996528</v>
      </c>
      <c r="C236" t="s">
        <v>2330</v>
      </c>
      <c r="D236" t="s">
        <v>2331</v>
      </c>
      <c r="E236" t="s">
        <v>2271</v>
      </c>
      <c r="F236" t="s">
        <v>2332</v>
      </c>
      <c r="G236" t="s">
        <v>2333</v>
      </c>
      <c r="H236" t="s">
        <v>2235</v>
      </c>
      <c r="I236" t="s">
        <v>2236</v>
      </c>
      <c r="K236" t="s">
        <v>839</v>
      </c>
      <c r="L236" t="s">
        <v>887</v>
      </c>
      <c r="O236">
        <v>76</v>
      </c>
      <c r="P236">
        <v>63</v>
      </c>
      <c r="Q236">
        <v>139</v>
      </c>
      <c r="T236" t="s">
        <v>841</v>
      </c>
      <c r="U236" t="s">
        <v>841</v>
      </c>
      <c r="V236" t="s">
        <v>841</v>
      </c>
      <c r="W236" t="s">
        <v>841</v>
      </c>
      <c r="X236" t="s">
        <v>841</v>
      </c>
      <c r="Y236" t="s">
        <v>841</v>
      </c>
      <c r="Z236" t="s">
        <v>841</v>
      </c>
      <c r="AA236" t="s">
        <v>841</v>
      </c>
      <c r="AB236" t="s">
        <v>841</v>
      </c>
      <c r="AC236" t="s">
        <v>841</v>
      </c>
      <c r="AD236" t="s">
        <v>841</v>
      </c>
      <c r="AI236" t="s">
        <v>1952</v>
      </c>
      <c r="AJ236" t="s">
        <v>1952</v>
      </c>
      <c r="AK236" t="s">
        <v>1952</v>
      </c>
      <c r="AL236" t="s">
        <v>1952</v>
      </c>
      <c r="AM236" t="s">
        <v>1952</v>
      </c>
      <c r="AN236" t="s">
        <v>1952</v>
      </c>
      <c r="AO236" t="s">
        <v>1952</v>
      </c>
      <c r="AP236" t="s">
        <v>1952</v>
      </c>
      <c r="AQ236" t="s">
        <v>1952</v>
      </c>
      <c r="AR236" t="s">
        <v>1952</v>
      </c>
      <c r="AS236" t="s">
        <v>1952</v>
      </c>
      <c r="AZ236" t="s">
        <v>841</v>
      </c>
      <c r="BM236" t="s">
        <v>841</v>
      </c>
      <c r="BS236" t="s">
        <v>841</v>
      </c>
      <c r="BV236" t="s">
        <v>2235</v>
      </c>
      <c r="BW236" t="s">
        <v>2261</v>
      </c>
      <c r="BX236" t="s">
        <v>2235</v>
      </c>
      <c r="BY236" t="s">
        <v>2261</v>
      </c>
      <c r="BZ236" t="s">
        <v>2235</v>
      </c>
      <c r="CA236" t="s">
        <v>2235</v>
      </c>
      <c r="CC236" t="s">
        <v>2237</v>
      </c>
      <c r="CD236" t="s">
        <v>2239</v>
      </c>
      <c r="CG236" t="s">
        <v>1895</v>
      </c>
      <c r="CH236" t="s">
        <v>1952</v>
      </c>
      <c r="CI236" t="s">
        <v>1952</v>
      </c>
      <c r="CK236" t="s">
        <v>2262</v>
      </c>
      <c r="CM236" t="s">
        <v>2307</v>
      </c>
      <c r="CN236">
        <v>0</v>
      </c>
      <c r="CO236">
        <v>1</v>
      </c>
      <c r="CP236">
        <v>0</v>
      </c>
      <c r="CQ236">
        <v>0</v>
      </c>
      <c r="CR236">
        <v>0</v>
      </c>
      <c r="CS236">
        <v>0</v>
      </c>
      <c r="CU236" t="s">
        <v>2334</v>
      </c>
      <c r="CV236">
        <v>1</v>
      </c>
      <c r="CW236">
        <v>0</v>
      </c>
      <c r="CX236">
        <v>1</v>
      </c>
      <c r="CY236">
        <v>0</v>
      </c>
      <c r="CZ236">
        <v>0</v>
      </c>
      <c r="DA236">
        <v>0</v>
      </c>
      <c r="DB236">
        <v>0</v>
      </c>
      <c r="DC236">
        <v>0</v>
      </c>
      <c r="DD236">
        <v>0</v>
      </c>
      <c r="DE236">
        <v>1</v>
      </c>
      <c r="DF236">
        <v>0</v>
      </c>
      <c r="DJ236" t="s">
        <v>1896</v>
      </c>
      <c r="DK236" t="s">
        <v>1933</v>
      </c>
      <c r="DL236" t="s">
        <v>1951</v>
      </c>
      <c r="DN236">
        <v>350</v>
      </c>
      <c r="DP236">
        <v>640</v>
      </c>
      <c r="DR236" t="s">
        <v>2278</v>
      </c>
      <c r="DS236">
        <v>1</v>
      </c>
      <c r="DT236">
        <v>0</v>
      </c>
      <c r="DU236">
        <v>1</v>
      </c>
      <c r="DV236">
        <v>0</v>
      </c>
      <c r="DW236">
        <v>0</v>
      </c>
      <c r="DX236">
        <v>1</v>
      </c>
      <c r="DY236">
        <v>0</v>
      </c>
      <c r="DZ236">
        <v>0</v>
      </c>
      <c r="EA236">
        <v>0</v>
      </c>
      <c r="EC236" t="s">
        <v>2237</v>
      </c>
      <c r="ED236" t="s">
        <v>2335</v>
      </c>
      <c r="EE236" t="s">
        <v>2280</v>
      </c>
      <c r="EI236" t="s">
        <v>1944</v>
      </c>
      <c r="EJ236" t="s">
        <v>841</v>
      </c>
      <c r="EO236" t="s">
        <v>1896</v>
      </c>
      <c r="EP236" t="s">
        <v>841</v>
      </c>
      <c r="EU236" t="s">
        <v>1896</v>
      </c>
      <c r="EV236" t="s">
        <v>841</v>
      </c>
      <c r="FA236" t="s">
        <v>1896</v>
      </c>
      <c r="FB236" t="s">
        <v>841</v>
      </c>
      <c r="FG236" t="s">
        <v>1896</v>
      </c>
      <c r="FH236" t="s">
        <v>841</v>
      </c>
      <c r="FM236">
        <v>0</v>
      </c>
      <c r="FO236" t="s">
        <v>1964</v>
      </c>
      <c r="FP236" t="s">
        <v>1964</v>
      </c>
      <c r="FQ236" t="s">
        <v>1964</v>
      </c>
      <c r="FS236" t="s">
        <v>2237</v>
      </c>
      <c r="FT236" t="s">
        <v>2235</v>
      </c>
      <c r="FU236" t="s">
        <v>2235</v>
      </c>
      <c r="FV236" t="s">
        <v>2235</v>
      </c>
      <c r="FW236" t="s">
        <v>2235</v>
      </c>
      <c r="FX236" t="s">
        <v>890</v>
      </c>
      <c r="FY236" t="s">
        <v>2235</v>
      </c>
      <c r="FZ236" t="s">
        <v>2235</v>
      </c>
      <c r="GA236" t="s">
        <v>2237</v>
      </c>
      <c r="GB236" t="s">
        <v>2235</v>
      </c>
      <c r="GC236" t="s">
        <v>2237</v>
      </c>
      <c r="GD236" t="s">
        <v>2237</v>
      </c>
      <c r="GG236" t="s">
        <v>2235</v>
      </c>
      <c r="GI236" t="s">
        <v>2336</v>
      </c>
      <c r="GJ236">
        <v>1</v>
      </c>
      <c r="GK236">
        <v>0</v>
      </c>
      <c r="GL236">
        <v>0</v>
      </c>
      <c r="GM236">
        <v>0</v>
      </c>
      <c r="GN236">
        <v>0</v>
      </c>
      <c r="GO236">
        <v>1</v>
      </c>
      <c r="GP236">
        <v>0</v>
      </c>
      <c r="GQ236">
        <v>0</v>
      </c>
      <c r="GR236">
        <v>0</v>
      </c>
      <c r="GS236">
        <v>0</v>
      </c>
      <c r="GT236">
        <v>0</v>
      </c>
      <c r="GU236">
        <v>0</v>
      </c>
      <c r="GV236">
        <v>0</v>
      </c>
      <c r="GW236">
        <v>0</v>
      </c>
      <c r="GX236">
        <v>0</v>
      </c>
      <c r="GY236">
        <v>0</v>
      </c>
      <c r="GZ236">
        <v>0</v>
      </c>
      <c r="HB236" t="s">
        <v>2235</v>
      </c>
      <c r="JN236">
        <v>479813545</v>
      </c>
      <c r="JO236" t="s">
        <v>2337</v>
      </c>
      <c r="JP236" s="151">
        <v>45792.670243055552</v>
      </c>
      <c r="JS236" t="s">
        <v>2253</v>
      </c>
      <c r="JU236" t="s">
        <v>2254</v>
      </c>
      <c r="JW236">
        <v>273</v>
      </c>
    </row>
    <row r="237" spans="1:283" x14ac:dyDescent="0.35">
      <c r="A237" t="s">
        <v>2338</v>
      </c>
      <c r="B237" s="151">
        <v>45792.40239328704</v>
      </c>
      <c r="C237" t="s">
        <v>2339</v>
      </c>
      <c r="D237" t="s">
        <v>2340</v>
      </c>
      <c r="E237" t="s">
        <v>2271</v>
      </c>
      <c r="F237" t="s">
        <v>2341</v>
      </c>
      <c r="G237" t="s">
        <v>2342</v>
      </c>
      <c r="H237" t="s">
        <v>2235</v>
      </c>
      <c r="I237" t="s">
        <v>2236</v>
      </c>
      <c r="K237" t="s">
        <v>842</v>
      </c>
      <c r="O237">
        <v>14</v>
      </c>
      <c r="P237">
        <v>11</v>
      </c>
      <c r="Q237">
        <v>25</v>
      </c>
      <c r="S237" t="s">
        <v>841</v>
      </c>
      <c r="T237" t="s">
        <v>841</v>
      </c>
      <c r="AH237" t="s">
        <v>1952</v>
      </c>
      <c r="AI237" t="s">
        <v>1952</v>
      </c>
      <c r="AZ237" t="s">
        <v>841</v>
      </c>
      <c r="BM237" t="s">
        <v>841</v>
      </c>
      <c r="BS237" t="s">
        <v>841</v>
      </c>
      <c r="BV237" t="s">
        <v>2237</v>
      </c>
      <c r="BX237" t="s">
        <v>2237</v>
      </c>
      <c r="BZ237" t="s">
        <v>2235</v>
      </c>
      <c r="CA237" t="s">
        <v>2237</v>
      </c>
      <c r="CC237" t="s">
        <v>2235</v>
      </c>
      <c r="CD237" t="s">
        <v>2239</v>
      </c>
      <c r="CG237" t="s">
        <v>1896</v>
      </c>
      <c r="CH237" t="s">
        <v>1895</v>
      </c>
      <c r="CI237" t="s">
        <v>1894</v>
      </c>
      <c r="CK237" t="s">
        <v>2343</v>
      </c>
      <c r="CM237" t="s">
        <v>2241</v>
      </c>
      <c r="CN237">
        <v>1</v>
      </c>
      <c r="CO237">
        <v>0</v>
      </c>
      <c r="CP237">
        <v>0</v>
      </c>
      <c r="CQ237">
        <v>0</v>
      </c>
      <c r="CR237">
        <v>0</v>
      </c>
      <c r="CS237">
        <v>0</v>
      </c>
      <c r="CU237" t="s">
        <v>2334</v>
      </c>
      <c r="CV237">
        <v>1</v>
      </c>
      <c r="CW237">
        <v>0</v>
      </c>
      <c r="CX237">
        <v>1</v>
      </c>
      <c r="CY237">
        <v>0</v>
      </c>
      <c r="CZ237">
        <v>0</v>
      </c>
      <c r="DA237">
        <v>0</v>
      </c>
      <c r="DB237">
        <v>0</v>
      </c>
      <c r="DC237">
        <v>0</v>
      </c>
      <c r="DD237">
        <v>0</v>
      </c>
      <c r="DE237">
        <v>1</v>
      </c>
      <c r="DF237">
        <v>0</v>
      </c>
      <c r="DJ237" t="s">
        <v>1964</v>
      </c>
      <c r="DK237" t="s">
        <v>1894</v>
      </c>
      <c r="DL237" t="s">
        <v>1894</v>
      </c>
      <c r="DN237">
        <v>400</v>
      </c>
      <c r="DP237">
        <v>700</v>
      </c>
      <c r="DR237" t="s">
        <v>2262</v>
      </c>
      <c r="DS237">
        <v>0</v>
      </c>
      <c r="DT237">
        <v>0</v>
      </c>
      <c r="DU237">
        <v>0</v>
      </c>
      <c r="DV237">
        <v>0</v>
      </c>
      <c r="DW237">
        <v>0</v>
      </c>
      <c r="DX237">
        <v>0</v>
      </c>
      <c r="DY237">
        <v>0</v>
      </c>
      <c r="DZ237">
        <v>0</v>
      </c>
      <c r="EA237">
        <v>1</v>
      </c>
      <c r="EC237" t="s">
        <v>2237</v>
      </c>
      <c r="ED237" t="s">
        <v>2279</v>
      </c>
      <c r="EE237" t="s">
        <v>2275</v>
      </c>
      <c r="EF237" t="s">
        <v>2344</v>
      </c>
      <c r="EN237" t="s">
        <v>841</v>
      </c>
      <c r="ET237" t="s">
        <v>841</v>
      </c>
      <c r="EZ237" t="s">
        <v>841</v>
      </c>
      <c r="FA237" t="s">
        <v>2345</v>
      </c>
      <c r="FD237" t="s">
        <v>841</v>
      </c>
      <c r="FL237" t="s">
        <v>841</v>
      </c>
      <c r="FM237">
        <v>0</v>
      </c>
      <c r="FO237" t="s">
        <v>1964</v>
      </c>
      <c r="FP237" t="s">
        <v>1964</v>
      </c>
      <c r="FQ237" t="s">
        <v>1964</v>
      </c>
      <c r="FS237" t="s">
        <v>2237</v>
      </c>
      <c r="FT237" t="s">
        <v>2237</v>
      </c>
      <c r="FU237" t="s">
        <v>2235</v>
      </c>
      <c r="FV237" t="s">
        <v>2237</v>
      </c>
      <c r="FW237" t="s">
        <v>2237</v>
      </c>
      <c r="FY237" t="s">
        <v>2237</v>
      </c>
      <c r="FZ237" t="s">
        <v>2237</v>
      </c>
      <c r="GA237" t="s">
        <v>2237</v>
      </c>
      <c r="GB237" t="s">
        <v>2237</v>
      </c>
      <c r="GC237" t="s">
        <v>2237</v>
      </c>
      <c r="GD237" t="s">
        <v>2237</v>
      </c>
      <c r="GG237" t="s">
        <v>2237</v>
      </c>
      <c r="GI237" t="s">
        <v>2346</v>
      </c>
      <c r="GJ237">
        <v>0</v>
      </c>
      <c r="GK237">
        <v>0</v>
      </c>
      <c r="GL237">
        <v>0</v>
      </c>
      <c r="GM237">
        <v>0</v>
      </c>
      <c r="GN237">
        <v>0</v>
      </c>
      <c r="GO237">
        <v>0</v>
      </c>
      <c r="GP237">
        <v>0</v>
      </c>
      <c r="GQ237">
        <v>0</v>
      </c>
      <c r="GR237">
        <v>0</v>
      </c>
      <c r="GS237">
        <v>0</v>
      </c>
      <c r="GT237">
        <v>0</v>
      </c>
      <c r="GU237">
        <v>0</v>
      </c>
      <c r="GV237">
        <v>0</v>
      </c>
      <c r="GW237">
        <v>0</v>
      </c>
      <c r="GX237">
        <v>0</v>
      </c>
      <c r="GY237">
        <v>0</v>
      </c>
      <c r="GZ237">
        <v>1</v>
      </c>
      <c r="HB237" t="s">
        <v>2235</v>
      </c>
      <c r="JN237">
        <v>479547435</v>
      </c>
      <c r="JO237" t="s">
        <v>2347</v>
      </c>
      <c r="JP237" s="151">
        <v>45792.402430555558</v>
      </c>
      <c r="JS237" t="s">
        <v>2253</v>
      </c>
      <c r="JU237" t="s">
        <v>2254</v>
      </c>
      <c r="JW237">
        <v>265</v>
      </c>
    </row>
    <row r="238" spans="1:283" x14ac:dyDescent="0.35">
      <c r="A238" t="s">
        <v>2348</v>
      </c>
      <c r="B238" s="151">
        <v>45792.683529050933</v>
      </c>
      <c r="C238" t="s">
        <v>2349</v>
      </c>
      <c r="D238" t="s">
        <v>2350</v>
      </c>
      <c r="E238" t="s">
        <v>2232</v>
      </c>
      <c r="F238" t="s">
        <v>2351</v>
      </c>
      <c r="H238" t="s">
        <v>2235</v>
      </c>
      <c r="I238" t="s">
        <v>2236</v>
      </c>
      <c r="K238" t="s">
        <v>839</v>
      </c>
      <c r="L238" t="s">
        <v>897</v>
      </c>
      <c r="O238">
        <v>140</v>
      </c>
      <c r="P238">
        <v>160</v>
      </c>
      <c r="Q238">
        <v>300</v>
      </c>
      <c r="S238" t="s">
        <v>841</v>
      </c>
      <c r="T238" t="s">
        <v>841</v>
      </c>
      <c r="U238" t="s">
        <v>841</v>
      </c>
      <c r="V238" t="s">
        <v>841</v>
      </c>
      <c r="W238" t="s">
        <v>841</v>
      </c>
      <c r="X238" t="s">
        <v>841</v>
      </c>
      <c r="Y238" t="s">
        <v>841</v>
      </c>
      <c r="Z238" t="s">
        <v>841</v>
      </c>
      <c r="AA238" t="s">
        <v>841</v>
      </c>
      <c r="AB238" t="s">
        <v>841</v>
      </c>
      <c r="AH238" t="s">
        <v>1952</v>
      </c>
      <c r="AI238" t="s">
        <v>1952</v>
      </c>
      <c r="AJ238" t="s">
        <v>1952</v>
      </c>
      <c r="AK238" t="s">
        <v>1952</v>
      </c>
      <c r="AL238" t="s">
        <v>1895</v>
      </c>
      <c r="AM238" t="s">
        <v>1895</v>
      </c>
      <c r="AN238" t="s">
        <v>1895</v>
      </c>
      <c r="AO238" t="s">
        <v>1952</v>
      </c>
      <c r="AP238" t="s">
        <v>1952</v>
      </c>
      <c r="AQ238" t="s">
        <v>1952</v>
      </c>
      <c r="AZ238" t="s">
        <v>841</v>
      </c>
      <c r="BM238" t="s">
        <v>841</v>
      </c>
      <c r="BS238" t="s">
        <v>841</v>
      </c>
      <c r="BV238" t="s">
        <v>2235</v>
      </c>
      <c r="BW238" t="s">
        <v>2261</v>
      </c>
      <c r="BX238" t="s">
        <v>2235</v>
      </c>
      <c r="BY238" t="s">
        <v>2261</v>
      </c>
      <c r="BZ238" t="s">
        <v>2235</v>
      </c>
      <c r="CA238" t="s">
        <v>2235</v>
      </c>
      <c r="CC238" t="s">
        <v>2235</v>
      </c>
      <c r="CD238" t="s">
        <v>2239</v>
      </c>
      <c r="CG238" t="s">
        <v>1894</v>
      </c>
      <c r="CH238" t="s">
        <v>1952</v>
      </c>
      <c r="CI238" t="s">
        <v>1952</v>
      </c>
      <c r="CJ238" t="s">
        <v>1952</v>
      </c>
      <c r="CK238" t="s">
        <v>2240</v>
      </c>
      <c r="CM238" t="s">
        <v>2352</v>
      </c>
      <c r="CN238">
        <v>0</v>
      </c>
      <c r="CO238">
        <v>0</v>
      </c>
      <c r="CP238">
        <v>1</v>
      </c>
      <c r="CQ238">
        <v>0</v>
      </c>
      <c r="CR238">
        <v>0</v>
      </c>
      <c r="CS238">
        <v>1</v>
      </c>
      <c r="CT238" t="s">
        <v>2353</v>
      </c>
      <c r="CU238" t="s">
        <v>2277</v>
      </c>
      <c r="CV238">
        <v>1</v>
      </c>
      <c r="CW238">
        <v>0</v>
      </c>
      <c r="CX238">
        <v>1</v>
      </c>
      <c r="CY238">
        <v>0</v>
      </c>
      <c r="CZ238">
        <v>0</v>
      </c>
      <c r="DA238">
        <v>0</v>
      </c>
      <c r="DB238">
        <v>0</v>
      </c>
      <c r="DC238">
        <v>0</v>
      </c>
      <c r="DD238">
        <v>1</v>
      </c>
      <c r="DE238">
        <v>0</v>
      </c>
      <c r="DF238">
        <v>0</v>
      </c>
      <c r="DJ238" t="s">
        <v>1953</v>
      </c>
      <c r="DK238" t="s">
        <v>1926</v>
      </c>
      <c r="DL238" t="s">
        <v>2247</v>
      </c>
      <c r="DN238">
        <v>700</v>
      </c>
      <c r="DP238">
        <v>1200</v>
      </c>
      <c r="DR238" t="s">
        <v>2311</v>
      </c>
      <c r="DS238">
        <v>1</v>
      </c>
      <c r="DT238">
        <v>1</v>
      </c>
      <c r="DU238">
        <v>1</v>
      </c>
      <c r="DV238">
        <v>0</v>
      </c>
      <c r="DW238">
        <v>1</v>
      </c>
      <c r="DX238">
        <v>0</v>
      </c>
      <c r="DY238">
        <v>0</v>
      </c>
      <c r="DZ238">
        <v>0</v>
      </c>
      <c r="EA238">
        <v>0</v>
      </c>
      <c r="EC238" t="s">
        <v>2235</v>
      </c>
      <c r="ED238" t="s">
        <v>2279</v>
      </c>
      <c r="EE238" t="s">
        <v>2264</v>
      </c>
      <c r="EI238" t="s">
        <v>2354</v>
      </c>
      <c r="EM238" t="s">
        <v>841</v>
      </c>
      <c r="EO238" t="s">
        <v>2355</v>
      </c>
      <c r="ES238" t="s">
        <v>841</v>
      </c>
      <c r="EZ238" t="s">
        <v>841</v>
      </c>
      <c r="FA238" t="s">
        <v>1932</v>
      </c>
      <c r="FB238" t="s">
        <v>841</v>
      </c>
      <c r="FL238" t="s">
        <v>841</v>
      </c>
      <c r="FM238">
        <v>0</v>
      </c>
      <c r="FO238" t="s">
        <v>1895</v>
      </c>
      <c r="FP238" t="s">
        <v>1895</v>
      </c>
      <c r="FQ238" t="s">
        <v>1953</v>
      </c>
      <c r="FS238" t="s">
        <v>2237</v>
      </c>
      <c r="FT238" t="s">
        <v>2237</v>
      </c>
      <c r="FU238" t="s">
        <v>2235</v>
      </c>
      <c r="FV238" t="s">
        <v>2235</v>
      </c>
      <c r="FW238" t="s">
        <v>2235</v>
      </c>
      <c r="FX238" t="s">
        <v>880</v>
      </c>
      <c r="FY238" t="s">
        <v>2237</v>
      </c>
      <c r="FZ238" t="s">
        <v>2237</v>
      </c>
      <c r="GA238" t="s">
        <v>2237</v>
      </c>
      <c r="GB238" t="s">
        <v>2235</v>
      </c>
      <c r="GC238" t="s">
        <v>2237</v>
      </c>
      <c r="GD238" t="s">
        <v>2237</v>
      </c>
      <c r="GG238" t="s">
        <v>2235</v>
      </c>
      <c r="GI238" t="s">
        <v>2356</v>
      </c>
      <c r="GJ238">
        <v>1</v>
      </c>
      <c r="GK238">
        <v>0</v>
      </c>
      <c r="GL238">
        <v>0</v>
      </c>
      <c r="GM238">
        <v>0</v>
      </c>
      <c r="GN238">
        <v>0</v>
      </c>
      <c r="GO238">
        <v>0</v>
      </c>
      <c r="GP238">
        <v>0</v>
      </c>
      <c r="GQ238">
        <v>0</v>
      </c>
      <c r="GR238">
        <v>0</v>
      </c>
      <c r="GS238">
        <v>0</v>
      </c>
      <c r="GT238">
        <v>0</v>
      </c>
      <c r="GU238">
        <v>0</v>
      </c>
      <c r="GV238">
        <v>0</v>
      </c>
      <c r="GW238">
        <v>0</v>
      </c>
      <c r="GX238">
        <v>0</v>
      </c>
      <c r="GY238">
        <v>0</v>
      </c>
      <c r="GZ238">
        <v>1</v>
      </c>
      <c r="HB238" t="s">
        <v>2237</v>
      </c>
      <c r="HC238" t="s">
        <v>2357</v>
      </c>
      <c r="JN238">
        <v>479824479</v>
      </c>
      <c r="JO238" t="s">
        <v>2358</v>
      </c>
      <c r="JP238" s="151">
        <v>45792.683576388888</v>
      </c>
      <c r="JS238" t="s">
        <v>2253</v>
      </c>
      <c r="JU238" t="s">
        <v>2254</v>
      </c>
      <c r="JW238">
        <v>274</v>
      </c>
    </row>
    <row r="239" spans="1:283" x14ac:dyDescent="0.35">
      <c r="A239" t="s">
        <v>2359</v>
      </c>
      <c r="B239" s="151">
        <v>45792.604305300927</v>
      </c>
      <c r="C239" t="s">
        <v>2360</v>
      </c>
      <c r="D239" t="s">
        <v>2361</v>
      </c>
      <c r="E239" t="s">
        <v>2232</v>
      </c>
      <c r="F239" t="s">
        <v>2362</v>
      </c>
      <c r="H239" t="s">
        <v>2235</v>
      </c>
      <c r="I239" t="s">
        <v>2236</v>
      </c>
      <c r="K239" t="s">
        <v>839</v>
      </c>
      <c r="L239" t="s">
        <v>887</v>
      </c>
      <c r="O239">
        <v>39</v>
      </c>
      <c r="P239">
        <v>37</v>
      </c>
      <c r="Q239">
        <v>76</v>
      </c>
      <c r="S239" t="s">
        <v>841</v>
      </c>
      <c r="T239" t="s">
        <v>841</v>
      </c>
      <c r="U239" t="s">
        <v>841</v>
      </c>
      <c r="V239" t="s">
        <v>841</v>
      </c>
      <c r="W239" t="s">
        <v>841</v>
      </c>
      <c r="X239" t="s">
        <v>841</v>
      </c>
      <c r="Y239" t="s">
        <v>841</v>
      </c>
      <c r="Z239" t="s">
        <v>841</v>
      </c>
      <c r="AA239" t="s">
        <v>841</v>
      </c>
      <c r="AB239" t="s">
        <v>841</v>
      </c>
      <c r="AC239" t="s">
        <v>841</v>
      </c>
      <c r="AH239" t="s">
        <v>1952</v>
      </c>
      <c r="AI239" t="s">
        <v>1952</v>
      </c>
      <c r="AJ239" t="s">
        <v>1952</v>
      </c>
      <c r="AK239" t="s">
        <v>1952</v>
      </c>
      <c r="AL239" t="s">
        <v>1952</v>
      </c>
      <c r="AM239" t="s">
        <v>1952</v>
      </c>
      <c r="AN239" t="s">
        <v>1952</v>
      </c>
      <c r="AO239" t="s">
        <v>1952</v>
      </c>
      <c r="AP239" t="s">
        <v>1952</v>
      </c>
      <c r="AQ239" t="s">
        <v>1952</v>
      </c>
      <c r="AR239" t="s">
        <v>1952</v>
      </c>
      <c r="AZ239" t="s">
        <v>841</v>
      </c>
      <c r="BM239" t="s">
        <v>841</v>
      </c>
      <c r="BS239" t="s">
        <v>841</v>
      </c>
      <c r="BV239" t="s">
        <v>2235</v>
      </c>
      <c r="BW239" t="s">
        <v>2238</v>
      </c>
      <c r="BX239" t="s">
        <v>2235</v>
      </c>
      <c r="BY239" t="s">
        <v>2238</v>
      </c>
      <c r="BZ239" t="s">
        <v>2235</v>
      </c>
      <c r="CA239" t="s">
        <v>2235</v>
      </c>
      <c r="CC239" t="s">
        <v>2237</v>
      </c>
      <c r="CD239" t="s">
        <v>2239</v>
      </c>
      <c r="CG239" t="s">
        <v>1952</v>
      </c>
      <c r="CH239" t="s">
        <v>1964</v>
      </c>
      <c r="CI239" t="s">
        <v>1964</v>
      </c>
      <c r="CJ239" t="s">
        <v>1952</v>
      </c>
      <c r="CK239" t="s">
        <v>2343</v>
      </c>
      <c r="CM239" t="s">
        <v>2241</v>
      </c>
      <c r="CN239">
        <v>1</v>
      </c>
      <c r="CO239">
        <v>0</v>
      </c>
      <c r="CP239">
        <v>0</v>
      </c>
      <c r="CQ239">
        <v>0</v>
      </c>
      <c r="CR239">
        <v>0</v>
      </c>
      <c r="CS239">
        <v>0</v>
      </c>
      <c r="CU239" t="s">
        <v>2363</v>
      </c>
      <c r="CV239">
        <v>1</v>
      </c>
      <c r="CW239">
        <v>0</v>
      </c>
      <c r="CX239">
        <v>0</v>
      </c>
      <c r="CY239">
        <v>0</v>
      </c>
      <c r="CZ239">
        <v>0</v>
      </c>
      <c r="DA239">
        <v>0</v>
      </c>
      <c r="DB239">
        <v>0</v>
      </c>
      <c r="DC239">
        <v>1</v>
      </c>
      <c r="DD239">
        <v>0</v>
      </c>
      <c r="DE239">
        <v>0</v>
      </c>
      <c r="DF239">
        <v>0</v>
      </c>
      <c r="DJ239" t="s">
        <v>1952</v>
      </c>
      <c r="DK239" t="s">
        <v>1896</v>
      </c>
      <c r="DL239" t="s">
        <v>1933</v>
      </c>
      <c r="DN239">
        <v>500</v>
      </c>
      <c r="DP239">
        <v>700</v>
      </c>
      <c r="DR239" t="s">
        <v>2299</v>
      </c>
      <c r="DS239">
        <v>1</v>
      </c>
      <c r="DT239">
        <v>0</v>
      </c>
      <c r="DU239">
        <v>0</v>
      </c>
      <c r="DV239">
        <v>0</v>
      </c>
      <c r="DW239">
        <v>0</v>
      </c>
      <c r="DX239">
        <v>0</v>
      </c>
      <c r="DY239">
        <v>0</v>
      </c>
      <c r="DZ239">
        <v>0</v>
      </c>
      <c r="EA239">
        <v>0</v>
      </c>
      <c r="EC239" t="s">
        <v>2237</v>
      </c>
      <c r="ED239" t="s">
        <v>2335</v>
      </c>
      <c r="EE239" t="s">
        <v>2264</v>
      </c>
      <c r="EI239" t="s">
        <v>2364</v>
      </c>
      <c r="EM239" t="s">
        <v>841</v>
      </c>
      <c r="EO239" t="s">
        <v>2364</v>
      </c>
      <c r="ES239" t="s">
        <v>841</v>
      </c>
      <c r="EZ239" t="s">
        <v>841</v>
      </c>
      <c r="FA239" t="s">
        <v>2323</v>
      </c>
      <c r="FB239" t="s">
        <v>841</v>
      </c>
      <c r="FG239" t="s">
        <v>1895</v>
      </c>
      <c r="FH239" t="s">
        <v>841</v>
      </c>
      <c r="FL239" t="s">
        <v>841</v>
      </c>
      <c r="FM239" t="s">
        <v>1964</v>
      </c>
      <c r="FO239" t="s">
        <v>1964</v>
      </c>
      <c r="FP239" t="s">
        <v>1964</v>
      </c>
      <c r="FQ239" t="s">
        <v>1964</v>
      </c>
      <c r="FS239" t="s">
        <v>2237</v>
      </c>
      <c r="FT239" t="s">
        <v>2237</v>
      </c>
      <c r="FU239" t="s">
        <v>2235</v>
      </c>
      <c r="FV239" t="s">
        <v>2235</v>
      </c>
      <c r="FW239" t="s">
        <v>2237</v>
      </c>
      <c r="FY239" t="s">
        <v>2237</v>
      </c>
      <c r="FZ239" t="s">
        <v>2237</v>
      </c>
      <c r="GA239" t="s">
        <v>2235</v>
      </c>
      <c r="GB239" t="s">
        <v>2235</v>
      </c>
      <c r="GC239" t="s">
        <v>2237</v>
      </c>
      <c r="GD239" t="s">
        <v>2237</v>
      </c>
      <c r="GG239" t="s">
        <v>2250</v>
      </c>
      <c r="GI239" t="s">
        <v>2365</v>
      </c>
      <c r="GJ239">
        <v>1</v>
      </c>
      <c r="GK239">
        <v>1</v>
      </c>
      <c r="GL239">
        <v>0</v>
      </c>
      <c r="GM239">
        <v>0</v>
      </c>
      <c r="GN239">
        <v>0</v>
      </c>
      <c r="GO239">
        <v>0</v>
      </c>
      <c r="GP239">
        <v>0</v>
      </c>
      <c r="GQ239">
        <v>0</v>
      </c>
      <c r="GR239">
        <v>0</v>
      </c>
      <c r="GS239">
        <v>0</v>
      </c>
      <c r="GT239">
        <v>0</v>
      </c>
      <c r="GU239">
        <v>0</v>
      </c>
      <c r="GV239">
        <v>0</v>
      </c>
      <c r="GW239">
        <v>1</v>
      </c>
      <c r="GX239">
        <v>1</v>
      </c>
      <c r="GY239">
        <v>0</v>
      </c>
      <c r="GZ239">
        <v>0</v>
      </c>
      <c r="HB239" t="s">
        <v>2235</v>
      </c>
      <c r="JN239">
        <v>479750007</v>
      </c>
      <c r="JO239" t="s">
        <v>2366</v>
      </c>
      <c r="JP239" s="151">
        <v>45792.60434027778</v>
      </c>
      <c r="JS239" t="s">
        <v>2253</v>
      </c>
      <c r="JU239" t="s">
        <v>2254</v>
      </c>
      <c r="JW239">
        <v>269</v>
      </c>
    </row>
    <row r="240" spans="1:283" x14ac:dyDescent="0.35">
      <c r="A240" t="s">
        <v>2367</v>
      </c>
      <c r="B240" s="151">
        <v>45792.541335092603</v>
      </c>
      <c r="C240" t="s">
        <v>2368</v>
      </c>
      <c r="D240" t="s">
        <v>2369</v>
      </c>
      <c r="E240" t="s">
        <v>2232</v>
      </c>
      <c r="F240" t="s">
        <v>2370</v>
      </c>
      <c r="G240" t="s">
        <v>2371</v>
      </c>
      <c r="H240" t="s">
        <v>2235</v>
      </c>
      <c r="I240" t="s">
        <v>2236</v>
      </c>
      <c r="K240" t="s">
        <v>839</v>
      </c>
      <c r="L240" t="s">
        <v>897</v>
      </c>
      <c r="O240">
        <v>173</v>
      </c>
      <c r="P240">
        <v>200</v>
      </c>
      <c r="Q240">
        <v>373</v>
      </c>
      <c r="S240" t="s">
        <v>841</v>
      </c>
      <c r="T240" t="s">
        <v>841</v>
      </c>
      <c r="U240" t="s">
        <v>841</v>
      </c>
      <c r="V240" t="s">
        <v>841</v>
      </c>
      <c r="W240" t="s">
        <v>841</v>
      </c>
      <c r="X240" t="s">
        <v>841</v>
      </c>
      <c r="Y240" t="s">
        <v>841</v>
      </c>
      <c r="Z240" t="s">
        <v>841</v>
      </c>
      <c r="AA240" t="s">
        <v>841</v>
      </c>
      <c r="AB240" t="s">
        <v>841</v>
      </c>
      <c r="AC240" t="s">
        <v>841</v>
      </c>
      <c r="AD240" t="s">
        <v>841</v>
      </c>
      <c r="AE240" t="s">
        <v>841</v>
      </c>
      <c r="AF240" t="s">
        <v>841</v>
      </c>
      <c r="AH240" t="s">
        <v>1952</v>
      </c>
      <c r="AI240" t="s">
        <v>1952</v>
      </c>
      <c r="AJ240" t="s">
        <v>1952</v>
      </c>
      <c r="AK240" t="s">
        <v>1952</v>
      </c>
      <c r="AL240" t="s">
        <v>1952</v>
      </c>
      <c r="AM240" t="s">
        <v>1952</v>
      </c>
      <c r="AN240" t="s">
        <v>1952</v>
      </c>
      <c r="AO240" t="s">
        <v>1952</v>
      </c>
      <c r="AP240" t="s">
        <v>1952</v>
      </c>
      <c r="AQ240" t="s">
        <v>1952</v>
      </c>
      <c r="AR240" t="s">
        <v>1952</v>
      </c>
      <c r="AS240" t="s">
        <v>1952</v>
      </c>
      <c r="AT240" t="s">
        <v>1952</v>
      </c>
      <c r="AU240" t="s">
        <v>1952</v>
      </c>
      <c r="AW240" t="s">
        <v>1943</v>
      </c>
      <c r="AX240" t="s">
        <v>1935</v>
      </c>
      <c r="AY240" t="s">
        <v>2243</v>
      </c>
      <c r="BB240" t="s">
        <v>1953</v>
      </c>
      <c r="BC240" t="s">
        <v>1894</v>
      </c>
      <c r="BD240" t="s">
        <v>1943</v>
      </c>
      <c r="BF240" t="s">
        <v>1894</v>
      </c>
      <c r="BG240" t="s">
        <v>1933</v>
      </c>
      <c r="BH240" t="s">
        <v>2323</v>
      </c>
      <c r="BJ240">
        <v>16</v>
      </c>
      <c r="BK240">
        <v>14</v>
      </c>
      <c r="BL240">
        <v>30</v>
      </c>
      <c r="BP240">
        <v>7</v>
      </c>
      <c r="BQ240">
        <v>10</v>
      </c>
      <c r="BR240">
        <v>17</v>
      </c>
      <c r="BV240" t="s">
        <v>2235</v>
      </c>
      <c r="BW240" t="s">
        <v>2261</v>
      </c>
      <c r="BX240" t="s">
        <v>2235</v>
      </c>
      <c r="BY240" t="s">
        <v>2261</v>
      </c>
      <c r="BZ240" t="s">
        <v>2235</v>
      </c>
      <c r="CA240" t="s">
        <v>2235</v>
      </c>
      <c r="CC240" t="s">
        <v>2235</v>
      </c>
      <c r="CD240" t="s">
        <v>2239</v>
      </c>
      <c r="CG240" t="s">
        <v>1933</v>
      </c>
      <c r="CH240" t="s">
        <v>1895</v>
      </c>
      <c r="CI240" t="s">
        <v>1895</v>
      </c>
      <c r="CJ240" t="s">
        <v>1895</v>
      </c>
      <c r="CK240" t="s">
        <v>2240</v>
      </c>
      <c r="CM240" t="s">
        <v>2321</v>
      </c>
      <c r="CN240">
        <v>1</v>
      </c>
      <c r="CO240">
        <v>1</v>
      </c>
      <c r="CP240">
        <v>0</v>
      </c>
      <c r="CQ240">
        <v>0</v>
      </c>
      <c r="CR240">
        <v>0</v>
      </c>
      <c r="CS240">
        <v>0</v>
      </c>
      <c r="CU240" t="s">
        <v>2372</v>
      </c>
      <c r="CV240">
        <v>1</v>
      </c>
      <c r="CW240">
        <v>0</v>
      </c>
      <c r="CX240">
        <v>1</v>
      </c>
      <c r="CY240">
        <v>0</v>
      </c>
      <c r="CZ240">
        <v>1</v>
      </c>
      <c r="DA240">
        <v>0</v>
      </c>
      <c r="DB240">
        <v>1</v>
      </c>
      <c r="DC240">
        <v>1</v>
      </c>
      <c r="DD240">
        <v>1</v>
      </c>
      <c r="DE240">
        <v>1</v>
      </c>
      <c r="DF240">
        <v>0</v>
      </c>
      <c r="DJ240" t="s">
        <v>1896</v>
      </c>
      <c r="DK240" t="s">
        <v>2323</v>
      </c>
      <c r="DL240" t="s">
        <v>1934</v>
      </c>
      <c r="DN240">
        <v>500</v>
      </c>
      <c r="DP240">
        <v>1000</v>
      </c>
      <c r="DR240" t="s">
        <v>2373</v>
      </c>
      <c r="DS240">
        <v>1</v>
      </c>
      <c r="DT240">
        <v>1</v>
      </c>
      <c r="DU240">
        <v>1</v>
      </c>
      <c r="DV240">
        <v>0</v>
      </c>
      <c r="DW240">
        <v>0</v>
      </c>
      <c r="DX240">
        <v>0</v>
      </c>
      <c r="DY240">
        <v>1</v>
      </c>
      <c r="DZ240">
        <v>0</v>
      </c>
      <c r="EA240">
        <v>0</v>
      </c>
      <c r="EC240" t="s">
        <v>2235</v>
      </c>
      <c r="ED240" t="s">
        <v>2374</v>
      </c>
      <c r="EE240" t="s">
        <v>2264</v>
      </c>
      <c r="EI240" t="s">
        <v>2248</v>
      </c>
      <c r="EJ240" t="s">
        <v>841</v>
      </c>
      <c r="EO240" t="s">
        <v>2248</v>
      </c>
      <c r="EP240" t="s">
        <v>841</v>
      </c>
      <c r="EU240" t="s">
        <v>2248</v>
      </c>
      <c r="EV240" t="s">
        <v>841</v>
      </c>
      <c r="FA240" t="s">
        <v>2248</v>
      </c>
      <c r="FB240" t="s">
        <v>841</v>
      </c>
      <c r="FL240" t="s">
        <v>841</v>
      </c>
      <c r="FM240">
        <v>0</v>
      </c>
      <c r="FO240" t="s">
        <v>2248</v>
      </c>
      <c r="FP240" t="s">
        <v>1935</v>
      </c>
      <c r="FQ240" t="s">
        <v>2375</v>
      </c>
      <c r="FS240" t="s">
        <v>2235</v>
      </c>
      <c r="FT240" t="s">
        <v>2235</v>
      </c>
      <c r="FU240" t="s">
        <v>2235</v>
      </c>
      <c r="FV240" t="s">
        <v>2235</v>
      </c>
      <c r="FW240" t="s">
        <v>2235</v>
      </c>
      <c r="FX240" t="s">
        <v>965</v>
      </c>
      <c r="FY240" t="s">
        <v>2235</v>
      </c>
      <c r="FZ240" t="s">
        <v>2235</v>
      </c>
      <c r="GA240" t="s">
        <v>2235</v>
      </c>
      <c r="GB240" t="s">
        <v>2235</v>
      </c>
      <c r="GC240" t="s">
        <v>2235</v>
      </c>
      <c r="GD240" t="s">
        <v>2235</v>
      </c>
      <c r="GE240" t="s">
        <v>2314</v>
      </c>
      <c r="GG240" t="s">
        <v>2237</v>
      </c>
      <c r="GI240" t="s">
        <v>2376</v>
      </c>
      <c r="GJ240">
        <v>0</v>
      </c>
      <c r="GK240">
        <v>1</v>
      </c>
      <c r="GL240">
        <v>0</v>
      </c>
      <c r="GM240">
        <v>0</v>
      </c>
      <c r="GN240">
        <v>1</v>
      </c>
      <c r="GO240">
        <v>1</v>
      </c>
      <c r="GP240">
        <v>0</v>
      </c>
      <c r="GQ240">
        <v>0</v>
      </c>
      <c r="GR240">
        <v>1</v>
      </c>
      <c r="GS240">
        <v>0</v>
      </c>
      <c r="GT240">
        <v>0</v>
      </c>
      <c r="GU240">
        <v>1</v>
      </c>
      <c r="GV240">
        <v>0</v>
      </c>
      <c r="GW240">
        <v>1</v>
      </c>
      <c r="GX240">
        <v>0</v>
      </c>
      <c r="GY240">
        <v>0</v>
      </c>
      <c r="GZ240">
        <v>0</v>
      </c>
      <c r="HB240" t="s">
        <v>2235</v>
      </c>
      <c r="JN240">
        <v>479678918</v>
      </c>
      <c r="JO240" t="s">
        <v>2377</v>
      </c>
      <c r="JP240" s="151">
        <v>45792.541365740741</v>
      </c>
      <c r="JS240" t="s">
        <v>2253</v>
      </c>
      <c r="JU240" t="s">
        <v>2254</v>
      </c>
      <c r="JW240">
        <v>266</v>
      </c>
    </row>
  </sheetData>
  <autoFilter ref="A1:JW1" xr:uid="{0E41EDC1-A4FE-479A-ABDE-BB799697C4F2}">
    <sortState xmlns:xlrd2="http://schemas.microsoft.com/office/spreadsheetml/2017/richdata2" ref="A2:JW240">
      <sortCondition ref="A1"/>
    </sortState>
  </autoFilter>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CD37-EB0D-4784-AF81-D32719D36DD4}">
  <dimension ref="A1:L1082"/>
  <sheetViews>
    <sheetView tabSelected="1" zoomScale="90" zoomScaleNormal="90" workbookViewId="0">
      <pane xSplit="5" ySplit="1" topLeftCell="F301" activePane="bottomRight" state="frozen"/>
      <selection pane="topRight" activeCell="H23" sqref="H23"/>
      <selection pane="bottomLeft" activeCell="H23" sqref="H23"/>
      <selection pane="bottomRight" activeCell="B18" sqref="B18"/>
    </sheetView>
  </sheetViews>
  <sheetFormatPr defaultColWidth="9.7265625" defaultRowHeight="13" x14ac:dyDescent="0.3"/>
  <cols>
    <col min="1" max="1" width="7.26953125" style="160" customWidth="1"/>
    <col min="2" max="2" width="15.54296875" style="160" customWidth="1"/>
    <col min="3" max="3" width="19.81640625" style="160" customWidth="1"/>
    <col min="4" max="4" width="20.90625" style="160" customWidth="1"/>
    <col min="5" max="5" width="28.7265625" style="160" customWidth="1"/>
    <col min="6" max="6" width="33.26953125" style="160" customWidth="1"/>
    <col min="7" max="7" width="10.1796875" style="163" customWidth="1"/>
    <col min="8" max="8" width="15.54296875" style="160" customWidth="1"/>
    <col min="9" max="9" width="12.1796875" style="160" customWidth="1"/>
    <col min="10" max="10" width="14.7265625" style="160" customWidth="1"/>
    <col min="11" max="11" width="13" style="160" customWidth="1"/>
    <col min="12" max="16384" width="9.7265625" style="160"/>
  </cols>
  <sheetData>
    <row r="1" spans="1:11" x14ac:dyDescent="0.3">
      <c r="A1" s="160" t="s">
        <v>842</v>
      </c>
      <c r="B1" s="161" t="s">
        <v>2378</v>
      </c>
      <c r="C1" s="161" t="s">
        <v>2379</v>
      </c>
      <c r="D1" s="161" t="s">
        <v>1</v>
      </c>
      <c r="E1" s="161" t="s">
        <v>2380</v>
      </c>
      <c r="F1" s="161" t="s">
        <v>2381</v>
      </c>
      <c r="G1" s="162" t="s">
        <v>2382</v>
      </c>
      <c r="H1" s="161" t="s">
        <v>6</v>
      </c>
      <c r="I1" s="161" t="s">
        <v>2383</v>
      </c>
      <c r="J1" s="161" t="s">
        <v>2384</v>
      </c>
      <c r="K1" s="160" t="s">
        <v>2385</v>
      </c>
    </row>
    <row r="2" spans="1:11" x14ac:dyDescent="0.3">
      <c r="A2" s="160">
        <v>1</v>
      </c>
      <c r="B2" s="160">
        <v>4930180002</v>
      </c>
      <c r="C2" s="160" t="s">
        <v>2386</v>
      </c>
      <c r="D2" s="160" t="s">
        <v>2387</v>
      </c>
      <c r="F2" s="160" t="s">
        <v>2388</v>
      </c>
      <c r="G2" s="163">
        <v>1</v>
      </c>
      <c r="H2" s="160" t="s">
        <v>2389</v>
      </c>
      <c r="I2" s="164">
        <v>45588</v>
      </c>
      <c r="J2" s="165">
        <v>60000</v>
      </c>
      <c r="K2" s="160" t="s">
        <v>13</v>
      </c>
    </row>
    <row r="3" spans="1:11" x14ac:dyDescent="0.3">
      <c r="A3" s="160">
        <v>1</v>
      </c>
      <c r="B3" s="160">
        <v>5224090001</v>
      </c>
      <c r="C3" s="160" t="s">
        <v>2386</v>
      </c>
      <c r="D3" s="160" t="s">
        <v>2387</v>
      </c>
      <c r="F3" s="160" t="s">
        <v>2390</v>
      </c>
      <c r="G3" s="163">
        <v>1</v>
      </c>
      <c r="H3" s="160" t="s">
        <v>2391</v>
      </c>
      <c r="I3" s="164">
        <v>45432</v>
      </c>
      <c r="J3" s="165">
        <v>300000</v>
      </c>
      <c r="K3" s="160" t="s">
        <v>13</v>
      </c>
    </row>
    <row r="4" spans="1:11" x14ac:dyDescent="0.3">
      <c r="A4" s="160">
        <v>1</v>
      </c>
      <c r="B4" s="160" t="s">
        <v>2392</v>
      </c>
      <c r="C4" s="160" t="s">
        <v>2386</v>
      </c>
      <c r="D4" s="160" t="s">
        <v>2387</v>
      </c>
      <c r="E4" s="160" t="s">
        <v>2393</v>
      </c>
      <c r="F4" s="160" t="s">
        <v>2394</v>
      </c>
      <c r="G4" s="163">
        <v>1</v>
      </c>
      <c r="H4" s="160" t="s">
        <v>2395</v>
      </c>
      <c r="I4" s="164">
        <v>42555</v>
      </c>
      <c r="J4" s="166">
        <v>15000</v>
      </c>
      <c r="K4" s="167" t="s">
        <v>70</v>
      </c>
    </row>
    <row r="5" spans="1:11" x14ac:dyDescent="0.3">
      <c r="A5" s="160">
        <v>1</v>
      </c>
      <c r="B5" s="160" t="s">
        <v>2396</v>
      </c>
      <c r="C5" s="160" t="s">
        <v>2386</v>
      </c>
      <c r="D5" s="160" t="s">
        <v>2387</v>
      </c>
      <c r="E5" s="160" t="s">
        <v>2397</v>
      </c>
      <c r="F5" s="160" t="s">
        <v>2398</v>
      </c>
      <c r="G5" s="163">
        <v>1</v>
      </c>
      <c r="H5" s="160" t="s">
        <v>2399</v>
      </c>
      <c r="I5" s="164">
        <v>41893</v>
      </c>
      <c r="J5" s="166">
        <v>20000</v>
      </c>
      <c r="K5" s="168" t="s">
        <v>13</v>
      </c>
    </row>
    <row r="6" spans="1:11" x14ac:dyDescent="0.3">
      <c r="A6" s="160">
        <v>1</v>
      </c>
      <c r="B6" s="160" t="s">
        <v>2400</v>
      </c>
      <c r="C6" s="160" t="s">
        <v>2386</v>
      </c>
      <c r="D6" s="160" t="s">
        <v>2387</v>
      </c>
      <c r="E6" s="160" t="s">
        <v>2397</v>
      </c>
      <c r="F6" s="160" t="s">
        <v>2401</v>
      </c>
      <c r="G6" s="163">
        <v>2</v>
      </c>
      <c r="H6" s="160" t="s">
        <v>2399</v>
      </c>
      <c r="I6" s="164">
        <v>42438</v>
      </c>
      <c r="J6" s="166">
        <v>30000</v>
      </c>
      <c r="K6" s="168" t="s">
        <v>13</v>
      </c>
    </row>
    <row r="7" spans="1:11" x14ac:dyDescent="0.3">
      <c r="A7" s="160">
        <v>1</v>
      </c>
      <c r="B7" s="160" t="s">
        <v>2402</v>
      </c>
      <c r="C7" s="160" t="s">
        <v>2386</v>
      </c>
      <c r="D7" s="160" t="s">
        <v>2387</v>
      </c>
      <c r="E7" s="160" t="s">
        <v>2397</v>
      </c>
      <c r="F7" s="160" t="s">
        <v>2403</v>
      </c>
      <c r="G7" s="163">
        <v>3</v>
      </c>
      <c r="H7" s="160" t="s">
        <v>2399</v>
      </c>
      <c r="I7" s="164">
        <v>42977</v>
      </c>
      <c r="J7" s="169">
        <v>30000</v>
      </c>
      <c r="K7" s="160" t="s">
        <v>13</v>
      </c>
    </row>
    <row r="8" spans="1:11" x14ac:dyDescent="0.3">
      <c r="A8" s="160">
        <v>1</v>
      </c>
      <c r="B8" s="160" t="s">
        <v>2404</v>
      </c>
      <c r="C8" s="160" t="s">
        <v>2386</v>
      </c>
      <c r="D8" s="160" t="s">
        <v>2387</v>
      </c>
      <c r="E8" s="160" t="s">
        <v>2405</v>
      </c>
      <c r="F8" s="160" t="s">
        <v>2406</v>
      </c>
      <c r="G8" s="163">
        <v>1</v>
      </c>
      <c r="H8" s="160" t="s">
        <v>2407</v>
      </c>
      <c r="I8" s="164">
        <v>42024</v>
      </c>
      <c r="J8" s="166">
        <v>3000</v>
      </c>
      <c r="K8" s="168" t="s">
        <v>13</v>
      </c>
    </row>
    <row r="9" spans="1:11" x14ac:dyDescent="0.3">
      <c r="A9" s="160">
        <v>1</v>
      </c>
      <c r="B9" s="160" t="s">
        <v>2408</v>
      </c>
      <c r="C9" s="160" t="s">
        <v>2386</v>
      </c>
      <c r="D9" s="160" t="s">
        <v>2387</v>
      </c>
      <c r="E9" s="160" t="s">
        <v>2405</v>
      </c>
      <c r="F9" s="160" t="s">
        <v>2409</v>
      </c>
      <c r="G9" s="163">
        <v>2</v>
      </c>
      <c r="H9" s="160" t="s">
        <v>2407</v>
      </c>
      <c r="I9" s="164">
        <v>42355</v>
      </c>
      <c r="J9" s="166">
        <v>2000</v>
      </c>
      <c r="K9" s="170" t="s">
        <v>2410</v>
      </c>
    </row>
    <row r="10" spans="1:11" x14ac:dyDescent="0.3">
      <c r="A10" s="160">
        <v>1</v>
      </c>
      <c r="B10" s="160" t="s">
        <v>2411</v>
      </c>
      <c r="C10" s="160" t="s">
        <v>2386</v>
      </c>
      <c r="D10" s="160" t="s">
        <v>2387</v>
      </c>
      <c r="E10" s="160" t="s">
        <v>2412</v>
      </c>
      <c r="F10" s="160" t="s">
        <v>2413</v>
      </c>
      <c r="G10" s="163">
        <v>1</v>
      </c>
      <c r="H10" s="160" t="s">
        <v>2414</v>
      </c>
      <c r="I10" s="164">
        <v>42838</v>
      </c>
      <c r="J10" s="169">
        <v>40000</v>
      </c>
      <c r="K10" s="160" t="s">
        <v>13</v>
      </c>
    </row>
    <row r="11" spans="1:11" x14ac:dyDescent="0.3">
      <c r="A11" s="160">
        <v>1</v>
      </c>
      <c r="B11" s="160">
        <v>33333</v>
      </c>
      <c r="C11" s="160" t="s">
        <v>2386</v>
      </c>
      <c r="D11" s="160" t="s">
        <v>2387</v>
      </c>
      <c r="E11" s="160" t="s">
        <v>2412</v>
      </c>
      <c r="F11" s="160" t="s">
        <v>2415</v>
      </c>
      <c r="G11" s="163">
        <v>2</v>
      </c>
      <c r="H11" s="160" t="s">
        <v>2416</v>
      </c>
      <c r="I11" s="164">
        <v>43543</v>
      </c>
      <c r="J11" s="169">
        <v>70000</v>
      </c>
      <c r="K11" s="160" t="s">
        <v>13</v>
      </c>
    </row>
    <row r="12" spans="1:11" x14ac:dyDescent="0.3">
      <c r="A12" s="160">
        <v>1</v>
      </c>
      <c r="B12" s="160" t="s">
        <v>2417</v>
      </c>
      <c r="C12" s="160" t="s">
        <v>2386</v>
      </c>
      <c r="D12" s="160" t="s">
        <v>2387</v>
      </c>
      <c r="E12" s="160" t="s">
        <v>2418</v>
      </c>
      <c r="F12" s="160" t="s">
        <v>2419</v>
      </c>
      <c r="G12" s="163">
        <v>1</v>
      </c>
      <c r="H12" s="160" t="s">
        <v>2420</v>
      </c>
      <c r="I12" s="164">
        <v>42822</v>
      </c>
      <c r="J12" s="169">
        <v>30000</v>
      </c>
      <c r="K12" s="160" t="s">
        <v>13</v>
      </c>
    </row>
    <row r="13" spans="1:11" x14ac:dyDescent="0.3">
      <c r="A13" s="160">
        <v>1</v>
      </c>
      <c r="B13" s="160" t="s">
        <v>2421</v>
      </c>
      <c r="C13" s="160" t="s">
        <v>2386</v>
      </c>
      <c r="D13" s="160" t="s">
        <v>2387</v>
      </c>
      <c r="E13" s="160" t="s">
        <v>2422</v>
      </c>
      <c r="F13" s="160" t="s">
        <v>2423</v>
      </c>
      <c r="G13" s="163">
        <v>1</v>
      </c>
      <c r="H13" s="160" t="s">
        <v>2424</v>
      </c>
      <c r="I13" s="164">
        <v>42907</v>
      </c>
      <c r="J13" s="169">
        <v>25000</v>
      </c>
      <c r="K13" s="160" t="s">
        <v>70</v>
      </c>
    </row>
    <row r="14" spans="1:11" x14ac:dyDescent="0.3">
      <c r="A14" s="160">
        <v>1</v>
      </c>
      <c r="B14" s="160">
        <v>301843</v>
      </c>
      <c r="C14" s="160" t="s">
        <v>2386</v>
      </c>
      <c r="D14" s="160" t="s">
        <v>2387</v>
      </c>
      <c r="F14" s="160" t="s">
        <v>2425</v>
      </c>
      <c r="G14" s="163">
        <v>1</v>
      </c>
      <c r="H14" s="160" t="s">
        <v>2426</v>
      </c>
      <c r="I14" s="164">
        <v>43865</v>
      </c>
      <c r="J14" s="165">
        <v>15000</v>
      </c>
      <c r="K14" s="160" t="s">
        <v>13</v>
      </c>
    </row>
    <row r="15" spans="1:11" x14ac:dyDescent="0.3">
      <c r="A15" s="160">
        <v>1</v>
      </c>
      <c r="B15" s="160">
        <v>111181</v>
      </c>
      <c r="C15" s="160" t="s">
        <v>2386</v>
      </c>
      <c r="D15" s="160" t="s">
        <v>2387</v>
      </c>
      <c r="F15" s="160" t="s">
        <v>2427</v>
      </c>
      <c r="G15" s="163">
        <v>2</v>
      </c>
      <c r="H15" s="160" t="s">
        <v>2426</v>
      </c>
      <c r="I15" s="164">
        <v>44447</v>
      </c>
      <c r="J15" s="165">
        <v>50000</v>
      </c>
      <c r="K15" s="160" t="s">
        <v>13</v>
      </c>
    </row>
    <row r="16" spans="1:11" x14ac:dyDescent="0.3">
      <c r="A16" s="160">
        <v>1</v>
      </c>
      <c r="B16" s="160">
        <v>10904166</v>
      </c>
      <c r="C16" s="160" t="s">
        <v>2386</v>
      </c>
      <c r="D16" s="160" t="s">
        <v>2387</v>
      </c>
      <c r="F16" s="160" t="s">
        <v>2428</v>
      </c>
      <c r="G16" s="163">
        <v>3</v>
      </c>
      <c r="H16" s="160" t="s">
        <v>2426</v>
      </c>
      <c r="I16" s="164">
        <v>44888</v>
      </c>
      <c r="J16" s="165">
        <v>30000</v>
      </c>
      <c r="K16" s="160" t="s">
        <v>13</v>
      </c>
    </row>
    <row r="17" spans="1:11" x14ac:dyDescent="0.3">
      <c r="A17" s="160">
        <v>1</v>
      </c>
      <c r="B17" s="160">
        <v>5041410001</v>
      </c>
      <c r="C17" s="160" t="s">
        <v>2386</v>
      </c>
      <c r="D17" s="160" t="s">
        <v>2387</v>
      </c>
      <c r="F17" s="160" t="s">
        <v>2429</v>
      </c>
      <c r="G17" s="163">
        <v>4</v>
      </c>
      <c r="H17" s="160" t="s">
        <v>2426</v>
      </c>
      <c r="I17" s="164">
        <v>45896</v>
      </c>
      <c r="J17" s="165">
        <v>400000</v>
      </c>
      <c r="K17" s="160" t="s">
        <v>70</v>
      </c>
    </row>
    <row r="18" spans="1:11" x14ac:dyDescent="0.3">
      <c r="A18" s="160">
        <v>1</v>
      </c>
      <c r="B18" s="160">
        <v>10907436</v>
      </c>
      <c r="C18" s="160" t="s">
        <v>2386</v>
      </c>
      <c r="D18" s="160" t="s">
        <v>2387</v>
      </c>
      <c r="F18" s="160" t="s">
        <v>2430</v>
      </c>
      <c r="G18" s="163">
        <v>1</v>
      </c>
      <c r="H18" s="160" t="s">
        <v>2431</v>
      </c>
      <c r="I18" s="164">
        <v>44907</v>
      </c>
      <c r="J18" s="169">
        <v>100000</v>
      </c>
      <c r="K18" s="160" t="s">
        <v>13</v>
      </c>
    </row>
    <row r="19" spans="1:11" x14ac:dyDescent="0.3">
      <c r="A19" s="160">
        <v>1</v>
      </c>
      <c r="B19" s="160">
        <v>4116680001</v>
      </c>
      <c r="C19" s="160" t="s">
        <v>2386</v>
      </c>
      <c r="D19" s="160" t="s">
        <v>2387</v>
      </c>
      <c r="F19" s="160" t="s">
        <v>2432</v>
      </c>
      <c r="G19" s="163">
        <v>2</v>
      </c>
      <c r="H19" s="160" t="s">
        <v>2431</v>
      </c>
      <c r="I19" s="164">
        <v>45457</v>
      </c>
      <c r="J19" s="169">
        <v>200000</v>
      </c>
      <c r="K19" s="160" t="s">
        <v>13</v>
      </c>
    </row>
    <row r="20" spans="1:11" x14ac:dyDescent="0.3">
      <c r="A20" s="160">
        <v>1</v>
      </c>
      <c r="B20" s="160">
        <v>4116680002</v>
      </c>
      <c r="C20" s="160" t="s">
        <v>2386</v>
      </c>
      <c r="D20" s="160" t="s">
        <v>2387</v>
      </c>
      <c r="F20" s="160" t="s">
        <v>2433</v>
      </c>
      <c r="G20" s="163">
        <v>3</v>
      </c>
      <c r="H20" s="160" t="s">
        <v>2431</v>
      </c>
      <c r="I20" s="164">
        <v>45695</v>
      </c>
      <c r="J20" s="169">
        <v>400000</v>
      </c>
      <c r="K20" s="160" t="s">
        <v>13</v>
      </c>
    </row>
    <row r="21" spans="1:11" x14ac:dyDescent="0.3">
      <c r="A21" s="160">
        <v>1</v>
      </c>
      <c r="B21" s="160" t="s">
        <v>2434</v>
      </c>
      <c r="C21" s="160" t="s">
        <v>2386</v>
      </c>
      <c r="D21" s="160" t="s">
        <v>2387</v>
      </c>
      <c r="E21" s="160" t="s">
        <v>2435</v>
      </c>
      <c r="F21" s="160" t="s">
        <v>2436</v>
      </c>
      <c r="G21" s="163">
        <v>1</v>
      </c>
      <c r="H21" s="160" t="s">
        <v>2437</v>
      </c>
      <c r="I21" s="164">
        <v>42458</v>
      </c>
      <c r="J21" s="166">
        <v>20000</v>
      </c>
      <c r="K21" s="167" t="s">
        <v>70</v>
      </c>
    </row>
    <row r="22" spans="1:11" ht="13" customHeight="1" x14ac:dyDescent="0.3">
      <c r="A22" s="160">
        <v>1</v>
      </c>
      <c r="B22" s="160">
        <v>6339740001</v>
      </c>
      <c r="C22" s="160" t="s">
        <v>2438</v>
      </c>
      <c r="D22" s="160" t="s">
        <v>2387</v>
      </c>
      <c r="F22" s="160" t="s">
        <v>2439</v>
      </c>
      <c r="G22" s="163">
        <v>1</v>
      </c>
      <c r="H22" s="160" t="s">
        <v>1265</v>
      </c>
      <c r="I22" s="164">
        <v>45635</v>
      </c>
      <c r="J22" s="165">
        <v>500000</v>
      </c>
      <c r="K22" s="160" t="s">
        <v>70</v>
      </c>
    </row>
    <row r="23" spans="1:11" x14ac:dyDescent="0.3">
      <c r="A23" s="160">
        <v>1</v>
      </c>
      <c r="B23" s="160">
        <v>6140030001</v>
      </c>
      <c r="C23" s="160" t="s">
        <v>2386</v>
      </c>
      <c r="D23" s="160" t="s">
        <v>2387</v>
      </c>
      <c r="F23" s="160" t="s">
        <v>2440</v>
      </c>
      <c r="G23" s="163">
        <v>1</v>
      </c>
      <c r="H23" s="160" t="s">
        <v>2441</v>
      </c>
      <c r="I23" s="164">
        <v>45306</v>
      </c>
      <c r="J23" s="165">
        <v>60000</v>
      </c>
      <c r="K23" s="160" t="s">
        <v>13</v>
      </c>
    </row>
    <row r="24" spans="1:11" x14ac:dyDescent="0.3">
      <c r="A24" s="160">
        <v>1</v>
      </c>
      <c r="B24" s="160">
        <v>6140030003</v>
      </c>
      <c r="C24" s="160" t="s">
        <v>2386</v>
      </c>
      <c r="D24" s="160" t="s">
        <v>2387</v>
      </c>
      <c r="F24" s="160" t="s">
        <v>2442</v>
      </c>
      <c r="G24" s="163">
        <v>2</v>
      </c>
      <c r="H24" s="160" t="s">
        <v>2441</v>
      </c>
      <c r="I24" s="164">
        <v>45498</v>
      </c>
      <c r="J24" s="165">
        <v>150000</v>
      </c>
      <c r="K24" s="160" t="s">
        <v>13</v>
      </c>
    </row>
    <row r="25" spans="1:11" x14ac:dyDescent="0.3">
      <c r="A25" s="160">
        <v>1</v>
      </c>
      <c r="B25" s="160">
        <v>6140030004</v>
      </c>
      <c r="C25" s="160" t="s">
        <v>2386</v>
      </c>
      <c r="D25" s="160" t="s">
        <v>2387</v>
      </c>
      <c r="F25" s="160" t="s">
        <v>2443</v>
      </c>
      <c r="G25" s="163">
        <v>3</v>
      </c>
      <c r="H25" s="160" t="s">
        <v>2441</v>
      </c>
      <c r="I25" s="164">
        <v>45715</v>
      </c>
      <c r="J25" s="165">
        <v>300000</v>
      </c>
      <c r="K25" s="160" t="s">
        <v>13</v>
      </c>
    </row>
    <row r="26" spans="1:11" x14ac:dyDescent="0.3">
      <c r="A26" s="160">
        <v>1</v>
      </c>
      <c r="B26" s="160">
        <v>6581890001</v>
      </c>
      <c r="C26" s="160" t="s">
        <v>2386</v>
      </c>
      <c r="D26" s="160" t="s">
        <v>2387</v>
      </c>
      <c r="F26" s="160" t="s">
        <v>2444</v>
      </c>
      <c r="G26" s="163">
        <v>1</v>
      </c>
      <c r="H26" s="160" t="s">
        <v>2445</v>
      </c>
      <c r="I26" s="164">
        <v>45616</v>
      </c>
      <c r="J26" s="165">
        <v>40000</v>
      </c>
      <c r="K26" s="160" t="s">
        <v>13</v>
      </c>
    </row>
    <row r="27" spans="1:11" x14ac:dyDescent="0.3">
      <c r="A27" s="160">
        <v>1</v>
      </c>
      <c r="B27" s="160">
        <v>6581890002</v>
      </c>
      <c r="C27" s="160" t="s">
        <v>2386</v>
      </c>
      <c r="D27" s="160" t="s">
        <v>2387</v>
      </c>
      <c r="F27" s="160" t="s">
        <v>2446</v>
      </c>
      <c r="G27" s="163">
        <v>2</v>
      </c>
      <c r="H27" s="160" t="s">
        <v>2445</v>
      </c>
      <c r="I27" s="164">
        <v>45877</v>
      </c>
      <c r="J27" s="165">
        <v>300000</v>
      </c>
      <c r="K27" s="160" t="s">
        <v>55</v>
      </c>
    </row>
    <row r="28" spans="1:11" x14ac:dyDescent="0.3">
      <c r="A28" s="160">
        <v>1</v>
      </c>
      <c r="B28" s="160" t="s">
        <v>2447</v>
      </c>
      <c r="C28" s="160" t="s">
        <v>2386</v>
      </c>
      <c r="D28" s="160" t="s">
        <v>2387</v>
      </c>
      <c r="E28" s="160" t="s">
        <v>2448</v>
      </c>
      <c r="F28" s="160" t="s">
        <v>2449</v>
      </c>
      <c r="G28" s="163">
        <v>1</v>
      </c>
      <c r="H28" s="160" t="s">
        <v>2450</v>
      </c>
      <c r="I28" s="164">
        <v>41893</v>
      </c>
      <c r="J28" s="166">
        <v>30000</v>
      </c>
      <c r="K28" s="168" t="s">
        <v>13</v>
      </c>
    </row>
    <row r="29" spans="1:11" x14ac:dyDescent="0.3">
      <c r="A29" s="160">
        <v>1</v>
      </c>
      <c r="B29" s="160">
        <v>111522</v>
      </c>
      <c r="C29" s="160" t="s">
        <v>2386</v>
      </c>
      <c r="D29" s="160" t="s">
        <v>2387</v>
      </c>
      <c r="E29" s="160" t="s">
        <v>2448</v>
      </c>
      <c r="F29" s="160" t="s">
        <v>2451</v>
      </c>
      <c r="G29" s="163">
        <v>2</v>
      </c>
      <c r="H29" s="160" t="s">
        <v>2450</v>
      </c>
      <c r="I29" s="164">
        <v>44449</v>
      </c>
      <c r="J29" s="165">
        <v>50000</v>
      </c>
      <c r="K29" s="160" t="s">
        <v>13</v>
      </c>
    </row>
    <row r="30" spans="1:11" x14ac:dyDescent="0.3">
      <c r="A30" s="160">
        <v>1</v>
      </c>
      <c r="B30" s="160">
        <v>5036510001</v>
      </c>
      <c r="C30" s="160" t="s">
        <v>2386</v>
      </c>
      <c r="D30" s="160" t="s">
        <v>2387</v>
      </c>
      <c r="E30" s="160" t="s">
        <v>2448</v>
      </c>
      <c r="F30" s="160" t="s">
        <v>2452</v>
      </c>
      <c r="G30" s="163">
        <v>3</v>
      </c>
      <c r="H30" s="160" t="s">
        <v>2450</v>
      </c>
      <c r="I30" s="164">
        <v>45708</v>
      </c>
      <c r="J30" s="165">
        <v>50000</v>
      </c>
      <c r="K30" s="160" t="s">
        <v>13</v>
      </c>
    </row>
    <row r="31" spans="1:11" x14ac:dyDescent="0.3">
      <c r="A31" s="160">
        <v>1</v>
      </c>
      <c r="B31" s="160">
        <v>6575850001</v>
      </c>
      <c r="C31" s="160" t="s">
        <v>2386</v>
      </c>
      <c r="D31" s="160" t="s">
        <v>2387</v>
      </c>
      <c r="F31" s="160" t="s">
        <v>2453</v>
      </c>
      <c r="G31" s="163">
        <v>1</v>
      </c>
      <c r="H31" s="160" t="s">
        <v>2092</v>
      </c>
      <c r="I31" s="164">
        <v>45826</v>
      </c>
      <c r="J31" s="165">
        <v>150000</v>
      </c>
      <c r="K31" s="160" t="s">
        <v>13</v>
      </c>
    </row>
    <row r="32" spans="1:11" x14ac:dyDescent="0.3">
      <c r="A32" s="160">
        <v>1</v>
      </c>
      <c r="B32" s="160" t="s">
        <v>2454</v>
      </c>
      <c r="C32" s="160" t="s">
        <v>2386</v>
      </c>
      <c r="D32" s="160" t="s">
        <v>2387</v>
      </c>
      <c r="E32" s="160" t="s">
        <v>2455</v>
      </c>
      <c r="F32" s="160" t="s">
        <v>2456</v>
      </c>
      <c r="G32" s="163">
        <v>1</v>
      </c>
      <c r="H32" s="160" t="s">
        <v>2457</v>
      </c>
      <c r="I32" s="164">
        <v>42523</v>
      </c>
      <c r="J32" s="166">
        <v>15000</v>
      </c>
      <c r="K32" s="168" t="s">
        <v>13</v>
      </c>
    </row>
    <row r="33" spans="1:11" x14ac:dyDescent="0.3">
      <c r="A33" s="160">
        <v>1</v>
      </c>
      <c r="B33" s="160">
        <v>127381</v>
      </c>
      <c r="C33" s="160" t="s">
        <v>2386</v>
      </c>
      <c r="D33" s="160" t="s">
        <v>2387</v>
      </c>
      <c r="E33" s="160" t="s">
        <v>2458</v>
      </c>
      <c r="F33" s="160" t="s">
        <v>2459</v>
      </c>
      <c r="G33" s="163">
        <v>1</v>
      </c>
      <c r="H33" s="160" t="s">
        <v>2460</v>
      </c>
      <c r="I33" s="164">
        <v>44594</v>
      </c>
      <c r="J33" s="165">
        <v>70000</v>
      </c>
      <c r="K33" s="160" t="s">
        <v>13</v>
      </c>
    </row>
    <row r="34" spans="1:11" x14ac:dyDescent="0.3">
      <c r="A34" s="160">
        <v>1</v>
      </c>
      <c r="B34" s="160">
        <v>1554840001</v>
      </c>
      <c r="C34" s="160" t="s">
        <v>2386</v>
      </c>
      <c r="D34" s="160" t="s">
        <v>2387</v>
      </c>
      <c r="E34" s="160" t="s">
        <v>2458</v>
      </c>
      <c r="F34" s="160" t="s">
        <v>2461</v>
      </c>
      <c r="G34" s="163">
        <v>2</v>
      </c>
      <c r="H34" s="160" t="s">
        <v>2460</v>
      </c>
      <c r="I34" s="164">
        <v>45198</v>
      </c>
      <c r="J34" s="165">
        <v>100000</v>
      </c>
      <c r="K34" s="160" t="s">
        <v>13</v>
      </c>
    </row>
    <row r="35" spans="1:11" x14ac:dyDescent="0.3">
      <c r="A35" s="160">
        <v>1</v>
      </c>
      <c r="B35" s="160" t="s">
        <v>2462</v>
      </c>
      <c r="C35" s="160" t="s">
        <v>2386</v>
      </c>
      <c r="D35" s="160" t="s">
        <v>2387</v>
      </c>
      <c r="E35" s="160" t="s">
        <v>2463</v>
      </c>
      <c r="F35" s="160" t="s">
        <v>2464</v>
      </c>
      <c r="G35" s="163">
        <v>1</v>
      </c>
      <c r="H35" s="160" t="s">
        <v>2465</v>
      </c>
      <c r="I35" s="164">
        <v>42529</v>
      </c>
      <c r="J35" s="166">
        <v>30000</v>
      </c>
      <c r="K35" s="168" t="s">
        <v>13</v>
      </c>
    </row>
    <row r="36" spans="1:11" x14ac:dyDescent="0.3">
      <c r="A36" s="160">
        <v>1</v>
      </c>
      <c r="B36" s="160" t="s">
        <v>2466</v>
      </c>
      <c r="C36" s="160" t="s">
        <v>2386</v>
      </c>
      <c r="D36" s="160" t="s">
        <v>2387</v>
      </c>
      <c r="E36" s="160" t="s">
        <v>2467</v>
      </c>
      <c r="F36" s="160" t="s">
        <v>2468</v>
      </c>
      <c r="G36" s="163">
        <v>1</v>
      </c>
      <c r="H36" s="160" t="s">
        <v>2469</v>
      </c>
      <c r="I36" s="164">
        <v>42507</v>
      </c>
      <c r="J36" s="166">
        <v>15000</v>
      </c>
      <c r="K36" s="168" t="s">
        <v>13</v>
      </c>
    </row>
    <row r="37" spans="1:11" x14ac:dyDescent="0.3">
      <c r="A37" s="160">
        <v>1</v>
      </c>
      <c r="B37" s="160">
        <v>150122</v>
      </c>
      <c r="C37" s="160" t="s">
        <v>2386</v>
      </c>
      <c r="D37" s="160" t="s">
        <v>2387</v>
      </c>
      <c r="E37" s="160" t="s">
        <v>2467</v>
      </c>
      <c r="F37" s="160" t="s">
        <v>2470</v>
      </c>
      <c r="G37" s="163">
        <v>2</v>
      </c>
      <c r="H37" s="160" t="s">
        <v>2469</v>
      </c>
      <c r="I37" s="164">
        <v>44783</v>
      </c>
      <c r="J37" s="165">
        <v>8000</v>
      </c>
      <c r="K37" s="160" t="s">
        <v>13</v>
      </c>
    </row>
    <row r="38" spans="1:11" x14ac:dyDescent="0.3">
      <c r="A38" s="160">
        <v>1</v>
      </c>
      <c r="B38" s="160">
        <v>6044550001</v>
      </c>
      <c r="C38" s="160" t="s">
        <v>2386</v>
      </c>
      <c r="D38" s="160" t="s">
        <v>2387</v>
      </c>
      <c r="E38" s="160" t="s">
        <v>2467</v>
      </c>
      <c r="F38" s="160" t="s">
        <v>2471</v>
      </c>
      <c r="G38" s="163">
        <v>3</v>
      </c>
      <c r="H38" s="160" t="s">
        <v>2469</v>
      </c>
      <c r="I38" s="164">
        <v>45155</v>
      </c>
      <c r="J38" s="165">
        <v>8000</v>
      </c>
      <c r="K38" s="160" t="s">
        <v>13</v>
      </c>
    </row>
    <row r="39" spans="1:11" x14ac:dyDescent="0.3">
      <c r="A39" s="160">
        <v>1</v>
      </c>
      <c r="B39" s="160" t="s">
        <v>2472</v>
      </c>
      <c r="C39" s="160" t="s">
        <v>2386</v>
      </c>
      <c r="D39" s="160" t="s">
        <v>2387</v>
      </c>
      <c r="E39" s="160" t="s">
        <v>2473</v>
      </c>
      <c r="F39" s="160" t="s">
        <v>2474</v>
      </c>
      <c r="G39" s="163">
        <v>1</v>
      </c>
      <c r="H39" s="160" t="s">
        <v>2475</v>
      </c>
      <c r="I39" s="164">
        <v>42503</v>
      </c>
      <c r="J39" s="166">
        <v>1000</v>
      </c>
      <c r="K39" s="170" t="s">
        <v>2410</v>
      </c>
    </row>
    <row r="40" spans="1:11" ht="13" customHeight="1" x14ac:dyDescent="0.3">
      <c r="A40" s="160">
        <v>1</v>
      </c>
      <c r="B40" s="160">
        <v>95082</v>
      </c>
      <c r="C40" s="160" t="s">
        <v>2386</v>
      </c>
      <c r="D40" s="160" t="s">
        <v>2387</v>
      </c>
      <c r="F40" s="160" t="s">
        <v>2476</v>
      </c>
      <c r="G40" s="163">
        <v>1</v>
      </c>
      <c r="H40" s="160" t="s">
        <v>2477</v>
      </c>
      <c r="I40" s="164">
        <v>44324</v>
      </c>
      <c r="J40" s="165">
        <v>20000</v>
      </c>
      <c r="K40" s="160" t="s">
        <v>13</v>
      </c>
    </row>
    <row r="41" spans="1:11" ht="13" customHeight="1" x14ac:dyDescent="0.3">
      <c r="A41" s="160">
        <v>1</v>
      </c>
      <c r="B41" s="160">
        <v>4921520001</v>
      </c>
      <c r="C41" s="160" t="s">
        <v>2386</v>
      </c>
      <c r="D41" s="160" t="s">
        <v>2387</v>
      </c>
      <c r="F41" s="160" t="s">
        <v>2478</v>
      </c>
      <c r="G41" s="163">
        <v>2</v>
      </c>
      <c r="H41" s="160" t="s">
        <v>2477</v>
      </c>
      <c r="I41" s="164">
        <v>45091</v>
      </c>
      <c r="J41" s="165">
        <v>40000</v>
      </c>
      <c r="K41" s="160" t="s">
        <v>13</v>
      </c>
    </row>
    <row r="42" spans="1:11" ht="13" customHeight="1" x14ac:dyDescent="0.3">
      <c r="A42" s="160">
        <v>1</v>
      </c>
      <c r="B42" s="160">
        <v>4921520002</v>
      </c>
      <c r="C42" s="160" t="s">
        <v>2386</v>
      </c>
      <c r="D42" s="160" t="s">
        <v>2387</v>
      </c>
      <c r="F42" s="160" t="s">
        <v>2479</v>
      </c>
      <c r="G42" s="163">
        <v>3</v>
      </c>
      <c r="H42" s="160" t="s">
        <v>2477</v>
      </c>
      <c r="I42" s="164">
        <v>45701</v>
      </c>
      <c r="J42" s="165">
        <v>50000</v>
      </c>
      <c r="K42" s="160" t="s">
        <v>70</v>
      </c>
    </row>
    <row r="43" spans="1:11" ht="13" customHeight="1" x14ac:dyDescent="0.3">
      <c r="A43" s="160">
        <v>1</v>
      </c>
      <c r="B43" s="160">
        <v>5229640001</v>
      </c>
      <c r="C43" s="160" t="s">
        <v>2386</v>
      </c>
      <c r="D43" s="160" t="s">
        <v>2387</v>
      </c>
      <c r="F43" s="160" t="s">
        <v>2480</v>
      </c>
      <c r="G43" s="163">
        <v>1</v>
      </c>
      <c r="H43" s="160" t="s">
        <v>2161</v>
      </c>
      <c r="I43" s="164">
        <v>45635</v>
      </c>
      <c r="J43" s="165">
        <v>200000</v>
      </c>
      <c r="K43" s="160" t="s">
        <v>70</v>
      </c>
    </row>
    <row r="44" spans="1:11" ht="13" customHeight="1" x14ac:dyDescent="0.3">
      <c r="A44" s="160">
        <v>1</v>
      </c>
      <c r="B44" s="160" t="s">
        <v>2481</v>
      </c>
      <c r="C44" s="160" t="s">
        <v>2386</v>
      </c>
      <c r="D44" s="160" t="s">
        <v>2387</v>
      </c>
      <c r="E44" s="160" t="s">
        <v>2482</v>
      </c>
      <c r="F44" s="160" t="s">
        <v>2483</v>
      </c>
      <c r="G44" s="163">
        <v>1</v>
      </c>
      <c r="H44" s="160" t="s">
        <v>2484</v>
      </c>
      <c r="I44" s="164">
        <v>41936</v>
      </c>
      <c r="J44" s="166">
        <v>20000</v>
      </c>
      <c r="K44" s="167" t="s">
        <v>70</v>
      </c>
    </row>
    <row r="45" spans="1:11" x14ac:dyDescent="0.3">
      <c r="A45" s="160">
        <v>1</v>
      </c>
      <c r="B45" s="160" t="s">
        <v>2485</v>
      </c>
      <c r="C45" s="160" t="s">
        <v>2386</v>
      </c>
      <c r="D45" s="160" t="s">
        <v>2387</v>
      </c>
      <c r="E45" s="160" t="s">
        <v>2482</v>
      </c>
      <c r="F45" s="160" t="s">
        <v>2486</v>
      </c>
      <c r="G45" s="163">
        <v>2</v>
      </c>
      <c r="H45" s="160" t="s">
        <v>2484</v>
      </c>
      <c r="I45" s="164">
        <v>42947</v>
      </c>
      <c r="J45" s="169">
        <v>7000</v>
      </c>
      <c r="K45" s="160" t="s">
        <v>70</v>
      </c>
    </row>
    <row r="46" spans="1:11" x14ac:dyDescent="0.3">
      <c r="A46" s="160">
        <v>1</v>
      </c>
      <c r="B46" s="160" t="s">
        <v>2487</v>
      </c>
      <c r="C46" s="160" t="s">
        <v>2386</v>
      </c>
      <c r="D46" s="160" t="s">
        <v>2387</v>
      </c>
      <c r="E46" s="160" t="s">
        <v>2488</v>
      </c>
      <c r="F46" s="160" t="s">
        <v>2489</v>
      </c>
      <c r="G46" s="163">
        <v>1</v>
      </c>
      <c r="H46" s="160" t="s">
        <v>2490</v>
      </c>
      <c r="I46" s="164">
        <v>41863</v>
      </c>
      <c r="J46" s="166">
        <v>4000</v>
      </c>
      <c r="K46" s="168" t="s">
        <v>13</v>
      </c>
    </row>
    <row r="47" spans="1:11" x14ac:dyDescent="0.3">
      <c r="A47" s="160">
        <v>1</v>
      </c>
      <c r="B47" s="160">
        <v>6584880001</v>
      </c>
      <c r="C47" s="160" t="s">
        <v>2386</v>
      </c>
      <c r="D47" s="160" t="s">
        <v>2387</v>
      </c>
      <c r="F47" s="160" t="s">
        <v>2491</v>
      </c>
      <c r="G47" s="163">
        <v>1</v>
      </c>
      <c r="H47" s="160" t="s">
        <v>2492</v>
      </c>
      <c r="I47" s="164">
        <v>45800</v>
      </c>
      <c r="J47" s="165">
        <v>300000</v>
      </c>
      <c r="K47" s="160" t="s">
        <v>13</v>
      </c>
    </row>
    <row r="48" spans="1:11" x14ac:dyDescent="0.3">
      <c r="A48" s="160">
        <v>1</v>
      </c>
      <c r="B48" s="160">
        <v>100601</v>
      </c>
      <c r="C48" s="160" t="s">
        <v>2386</v>
      </c>
      <c r="D48" s="160" t="s">
        <v>2387</v>
      </c>
      <c r="F48" s="160" t="s">
        <v>2493</v>
      </c>
      <c r="G48" s="163">
        <v>1</v>
      </c>
      <c r="H48" s="160" t="s">
        <v>2494</v>
      </c>
      <c r="I48" s="164">
        <v>44377</v>
      </c>
      <c r="J48" s="169">
        <v>50000</v>
      </c>
      <c r="K48" s="160" t="s">
        <v>13</v>
      </c>
    </row>
    <row r="49" spans="1:11" x14ac:dyDescent="0.3">
      <c r="A49" s="160">
        <v>1</v>
      </c>
      <c r="B49" s="160">
        <v>152188</v>
      </c>
      <c r="C49" s="160" t="s">
        <v>2386</v>
      </c>
      <c r="D49" s="160" t="s">
        <v>2387</v>
      </c>
      <c r="F49" s="160" t="s">
        <v>2495</v>
      </c>
      <c r="G49" s="163">
        <v>2</v>
      </c>
      <c r="H49" s="160" t="s">
        <v>2494</v>
      </c>
      <c r="I49" s="164">
        <v>44798</v>
      </c>
      <c r="J49" s="169">
        <v>150000</v>
      </c>
      <c r="K49" s="160" t="s">
        <v>13</v>
      </c>
    </row>
    <row r="50" spans="1:11" x14ac:dyDescent="0.3">
      <c r="A50" s="160">
        <v>1</v>
      </c>
      <c r="B50" s="160">
        <v>3921010001</v>
      </c>
      <c r="C50" s="160" t="s">
        <v>2386</v>
      </c>
      <c r="D50" s="160" t="s">
        <v>2387</v>
      </c>
      <c r="F50" s="160" t="s">
        <v>2496</v>
      </c>
      <c r="G50" s="163">
        <v>3</v>
      </c>
      <c r="H50" s="160" t="s">
        <v>2494</v>
      </c>
      <c r="I50" s="164">
        <v>45510</v>
      </c>
      <c r="J50" s="169">
        <v>300000</v>
      </c>
      <c r="K50" s="160" t="s">
        <v>13</v>
      </c>
    </row>
    <row r="51" spans="1:11" x14ac:dyDescent="0.3">
      <c r="A51" s="160">
        <v>1</v>
      </c>
      <c r="B51" s="160">
        <v>3921010003</v>
      </c>
      <c r="C51" s="160" t="s">
        <v>2386</v>
      </c>
      <c r="D51" s="160" t="s">
        <v>2387</v>
      </c>
      <c r="F51" s="160" t="s">
        <v>2497</v>
      </c>
      <c r="G51" s="163">
        <v>4</v>
      </c>
      <c r="H51" s="160" t="s">
        <v>2494</v>
      </c>
      <c r="I51" s="164">
        <v>45721</v>
      </c>
      <c r="J51" s="169">
        <v>500000</v>
      </c>
      <c r="K51" s="160" t="s">
        <v>13</v>
      </c>
    </row>
    <row r="52" spans="1:11" x14ac:dyDescent="0.3">
      <c r="A52" s="160">
        <v>1</v>
      </c>
      <c r="B52" s="160">
        <v>6584730001</v>
      </c>
      <c r="C52" s="160" t="s">
        <v>2386</v>
      </c>
      <c r="D52" s="160" t="s">
        <v>2387</v>
      </c>
      <c r="F52" s="160" t="s">
        <v>2498</v>
      </c>
      <c r="G52" s="163">
        <v>1</v>
      </c>
      <c r="H52" s="160" t="s">
        <v>2147</v>
      </c>
      <c r="I52" s="164">
        <v>45643</v>
      </c>
      <c r="J52" s="169">
        <v>400000</v>
      </c>
      <c r="K52" s="160" t="s">
        <v>70</v>
      </c>
    </row>
    <row r="53" spans="1:11" x14ac:dyDescent="0.3">
      <c r="A53" s="160">
        <v>1</v>
      </c>
      <c r="B53" s="160">
        <v>37570</v>
      </c>
      <c r="C53" s="160" t="s">
        <v>2386</v>
      </c>
      <c r="D53" s="160" t="s">
        <v>2387</v>
      </c>
      <c r="F53" s="160" t="s">
        <v>2499</v>
      </c>
      <c r="G53" s="163">
        <v>1</v>
      </c>
      <c r="H53" s="160" t="s">
        <v>2500</v>
      </c>
      <c r="I53" s="164">
        <v>43883</v>
      </c>
      <c r="J53" s="165">
        <v>2000</v>
      </c>
      <c r="K53" s="160" t="s">
        <v>13</v>
      </c>
    </row>
    <row r="54" spans="1:11" x14ac:dyDescent="0.3">
      <c r="A54" s="160">
        <v>1</v>
      </c>
      <c r="B54" s="160">
        <v>6114740001</v>
      </c>
      <c r="C54" s="160" t="s">
        <v>2386</v>
      </c>
      <c r="D54" s="160" t="s">
        <v>2387</v>
      </c>
      <c r="F54" s="160" t="s">
        <v>2501</v>
      </c>
      <c r="G54" s="163">
        <v>1</v>
      </c>
      <c r="H54" s="160" t="s">
        <v>1841</v>
      </c>
      <c r="I54" s="164">
        <v>45252</v>
      </c>
      <c r="J54" s="165">
        <v>80000</v>
      </c>
      <c r="K54" s="160" t="s">
        <v>13</v>
      </c>
    </row>
    <row r="55" spans="1:11" x14ac:dyDescent="0.3">
      <c r="A55" s="160">
        <v>1</v>
      </c>
      <c r="B55" s="160">
        <v>6114740002</v>
      </c>
      <c r="C55" s="160" t="s">
        <v>2386</v>
      </c>
      <c r="D55" s="160" t="s">
        <v>2387</v>
      </c>
      <c r="F55" s="160" t="s">
        <v>2502</v>
      </c>
      <c r="G55" s="163">
        <v>2</v>
      </c>
      <c r="H55" s="160" t="s">
        <v>1841</v>
      </c>
      <c r="I55" s="164">
        <v>45716</v>
      </c>
      <c r="J55" s="165">
        <v>150000</v>
      </c>
      <c r="K55" s="160" t="s">
        <v>13</v>
      </c>
    </row>
    <row r="56" spans="1:11" x14ac:dyDescent="0.3">
      <c r="A56" s="160">
        <v>1</v>
      </c>
      <c r="B56" s="160" t="s">
        <v>2503</v>
      </c>
      <c r="C56" s="160" t="s">
        <v>2386</v>
      </c>
      <c r="D56" s="160" t="s">
        <v>2387</v>
      </c>
      <c r="E56" s="160" t="s">
        <v>2504</v>
      </c>
      <c r="F56" s="160" t="s">
        <v>2505</v>
      </c>
      <c r="G56" s="163">
        <v>1</v>
      </c>
      <c r="H56" s="160" t="s">
        <v>2506</v>
      </c>
      <c r="I56" s="164">
        <v>41751</v>
      </c>
      <c r="J56" s="166">
        <v>5000</v>
      </c>
      <c r="K56" s="168" t="s">
        <v>13</v>
      </c>
    </row>
    <row r="57" spans="1:11" x14ac:dyDescent="0.3">
      <c r="A57" s="160">
        <v>1</v>
      </c>
      <c r="B57" s="160" t="s">
        <v>2507</v>
      </c>
      <c r="C57" s="160" t="s">
        <v>2386</v>
      </c>
      <c r="D57" s="160" t="s">
        <v>2387</v>
      </c>
      <c r="E57" s="160" t="s">
        <v>2504</v>
      </c>
      <c r="F57" s="160" t="s">
        <v>2508</v>
      </c>
      <c r="G57" s="163">
        <v>2</v>
      </c>
      <c r="H57" s="160" t="s">
        <v>2506</v>
      </c>
      <c r="I57" s="164">
        <v>42346</v>
      </c>
      <c r="J57" s="166">
        <v>10000</v>
      </c>
      <c r="K57" s="167" t="s">
        <v>70</v>
      </c>
    </row>
    <row r="58" spans="1:11" x14ac:dyDescent="0.3">
      <c r="A58" s="160">
        <v>1</v>
      </c>
      <c r="B58" s="160" t="s">
        <v>2509</v>
      </c>
      <c r="C58" s="160" t="s">
        <v>2386</v>
      </c>
      <c r="D58" s="160" t="s">
        <v>2387</v>
      </c>
      <c r="E58" s="160" t="s">
        <v>2504</v>
      </c>
      <c r="F58" s="160" t="s">
        <v>2510</v>
      </c>
      <c r="G58" s="163">
        <v>3</v>
      </c>
      <c r="H58" s="160" t="s">
        <v>2506</v>
      </c>
      <c r="I58" s="164">
        <v>42545</v>
      </c>
      <c r="J58" s="166">
        <v>3000</v>
      </c>
      <c r="K58" s="168" t="s">
        <v>13</v>
      </c>
    </row>
    <row r="59" spans="1:11" x14ac:dyDescent="0.3">
      <c r="A59" s="160">
        <v>1</v>
      </c>
      <c r="B59" s="160" t="s">
        <v>2511</v>
      </c>
      <c r="C59" s="160" t="s">
        <v>2386</v>
      </c>
      <c r="D59" s="160" t="s">
        <v>2387</v>
      </c>
      <c r="E59" s="160" t="s">
        <v>2504</v>
      </c>
      <c r="F59" s="160" t="s">
        <v>2512</v>
      </c>
      <c r="G59" s="163">
        <v>4</v>
      </c>
      <c r="H59" s="160" t="s">
        <v>2506</v>
      </c>
      <c r="I59" s="164">
        <v>42832</v>
      </c>
      <c r="J59" s="169">
        <v>20000</v>
      </c>
      <c r="K59" s="160" t="s">
        <v>13</v>
      </c>
    </row>
    <row r="60" spans="1:11" x14ac:dyDescent="0.3">
      <c r="A60" s="160">
        <v>1</v>
      </c>
      <c r="B60" s="160">
        <v>126699</v>
      </c>
      <c r="C60" s="160" t="s">
        <v>2386</v>
      </c>
      <c r="D60" s="160" t="s">
        <v>2387</v>
      </c>
      <c r="F60" s="160" t="s">
        <v>2513</v>
      </c>
      <c r="G60" s="163">
        <v>1</v>
      </c>
      <c r="H60" s="160" t="s">
        <v>2514</v>
      </c>
      <c r="I60" s="164">
        <v>44587</v>
      </c>
      <c r="J60" s="169">
        <v>80000</v>
      </c>
      <c r="K60" s="160" t="s">
        <v>13</v>
      </c>
    </row>
    <row r="61" spans="1:11" x14ac:dyDescent="0.3">
      <c r="A61" s="160">
        <v>1</v>
      </c>
      <c r="B61" s="160">
        <v>10912379</v>
      </c>
      <c r="C61" s="160" t="s">
        <v>2386</v>
      </c>
      <c r="D61" s="160" t="s">
        <v>2387</v>
      </c>
      <c r="F61" s="160" t="s">
        <v>2515</v>
      </c>
      <c r="G61" s="163">
        <v>2</v>
      </c>
      <c r="H61" s="160" t="s">
        <v>2514</v>
      </c>
      <c r="I61" s="164">
        <v>44946</v>
      </c>
      <c r="J61" s="169">
        <v>150000</v>
      </c>
      <c r="K61" s="160" t="s">
        <v>13</v>
      </c>
    </row>
    <row r="62" spans="1:11" x14ac:dyDescent="0.3">
      <c r="A62" s="160">
        <v>1</v>
      </c>
      <c r="B62" s="160">
        <v>3820750001</v>
      </c>
      <c r="C62" s="160" t="s">
        <v>2386</v>
      </c>
      <c r="D62" s="160" t="s">
        <v>2387</v>
      </c>
      <c r="F62" s="160" t="s">
        <v>2516</v>
      </c>
      <c r="G62" s="163">
        <v>3</v>
      </c>
      <c r="H62" s="160" t="s">
        <v>2514</v>
      </c>
      <c r="I62" s="164">
        <v>45306</v>
      </c>
      <c r="J62" s="169">
        <v>120000</v>
      </c>
      <c r="K62" s="160" t="s">
        <v>13</v>
      </c>
    </row>
    <row r="63" spans="1:11" x14ac:dyDescent="0.3">
      <c r="A63" s="160">
        <v>1</v>
      </c>
      <c r="B63" s="160">
        <v>3820750002</v>
      </c>
      <c r="C63" s="160" t="s">
        <v>2386</v>
      </c>
      <c r="D63" s="160" t="s">
        <v>2387</v>
      </c>
      <c r="F63" s="160" t="s">
        <v>2517</v>
      </c>
      <c r="G63" s="163">
        <v>4</v>
      </c>
      <c r="H63" s="160" t="s">
        <v>2514</v>
      </c>
      <c r="I63" s="164">
        <v>45740</v>
      </c>
      <c r="J63" s="169">
        <v>60000</v>
      </c>
      <c r="K63" s="160" t="s">
        <v>13</v>
      </c>
    </row>
    <row r="64" spans="1:11" x14ac:dyDescent="0.3">
      <c r="A64" s="160">
        <v>1</v>
      </c>
      <c r="B64" s="160">
        <v>3820750003</v>
      </c>
      <c r="C64" s="160" t="s">
        <v>2386</v>
      </c>
      <c r="D64" s="160" t="s">
        <v>2387</v>
      </c>
      <c r="F64" s="160" t="s">
        <v>2518</v>
      </c>
      <c r="G64" s="163">
        <v>5</v>
      </c>
      <c r="H64" s="160" t="s">
        <v>2514</v>
      </c>
      <c r="I64" s="164">
        <v>45924</v>
      </c>
      <c r="J64" s="169">
        <v>150000</v>
      </c>
      <c r="K64" s="160" t="s">
        <v>13</v>
      </c>
    </row>
    <row r="65" spans="1:11" x14ac:dyDescent="0.3">
      <c r="A65" s="160">
        <v>1</v>
      </c>
      <c r="B65" s="160">
        <v>127892</v>
      </c>
      <c r="C65" s="160" t="s">
        <v>2386</v>
      </c>
      <c r="D65" s="160" t="s">
        <v>2387</v>
      </c>
      <c r="F65" s="160" t="s">
        <v>2519</v>
      </c>
      <c r="G65" s="163">
        <v>1</v>
      </c>
      <c r="H65" s="160" t="s">
        <v>2520</v>
      </c>
      <c r="I65" s="164">
        <v>44704</v>
      </c>
      <c r="J65" s="165">
        <v>35000</v>
      </c>
      <c r="K65" s="160" t="s">
        <v>13</v>
      </c>
    </row>
    <row r="66" spans="1:11" x14ac:dyDescent="0.3">
      <c r="A66" s="160">
        <v>1</v>
      </c>
      <c r="B66" s="160">
        <v>5096370002</v>
      </c>
      <c r="C66" s="160" t="s">
        <v>2386</v>
      </c>
      <c r="D66" s="160" t="s">
        <v>2387</v>
      </c>
      <c r="F66" s="160" t="s">
        <v>2521</v>
      </c>
      <c r="G66" s="163">
        <v>2</v>
      </c>
      <c r="H66" s="160" t="s">
        <v>2520</v>
      </c>
      <c r="I66" s="164">
        <v>45195</v>
      </c>
      <c r="J66" s="165">
        <v>60000</v>
      </c>
      <c r="K66" s="160" t="s">
        <v>55</v>
      </c>
    </row>
    <row r="67" spans="1:11" x14ac:dyDescent="0.3">
      <c r="A67" s="160">
        <v>1</v>
      </c>
      <c r="B67" s="160">
        <v>5096370004</v>
      </c>
      <c r="C67" s="160" t="s">
        <v>2386</v>
      </c>
      <c r="D67" s="160" t="s">
        <v>2387</v>
      </c>
      <c r="F67" s="160" t="s">
        <v>2522</v>
      </c>
      <c r="G67" s="163">
        <v>3</v>
      </c>
      <c r="H67" s="160" t="s">
        <v>2520</v>
      </c>
      <c r="I67" s="164">
        <v>45833</v>
      </c>
      <c r="J67" s="165">
        <v>100000</v>
      </c>
      <c r="K67" s="160" t="s">
        <v>13</v>
      </c>
    </row>
    <row r="68" spans="1:11" x14ac:dyDescent="0.3">
      <c r="A68" s="160">
        <v>1</v>
      </c>
      <c r="B68" s="160">
        <v>155785</v>
      </c>
      <c r="C68" s="160" t="s">
        <v>2386</v>
      </c>
      <c r="D68" s="160" t="s">
        <v>2387</v>
      </c>
      <c r="F68" s="160" t="s">
        <v>2523</v>
      </c>
      <c r="G68" s="163">
        <v>1</v>
      </c>
      <c r="H68" s="160" t="s">
        <v>2524</v>
      </c>
      <c r="I68" s="164">
        <v>44827</v>
      </c>
      <c r="J68" s="169">
        <v>50000</v>
      </c>
      <c r="K68" s="160" t="s">
        <v>13</v>
      </c>
    </row>
    <row r="69" spans="1:11" x14ac:dyDescent="0.3">
      <c r="A69" s="160">
        <v>1</v>
      </c>
      <c r="B69" s="160">
        <v>11500276</v>
      </c>
      <c r="C69" s="160" t="s">
        <v>2386</v>
      </c>
      <c r="D69" s="160" t="s">
        <v>2387</v>
      </c>
      <c r="F69" s="160" t="s">
        <v>2525</v>
      </c>
      <c r="G69" s="163">
        <v>2</v>
      </c>
      <c r="H69" s="160" t="s">
        <v>2524</v>
      </c>
      <c r="I69" s="164">
        <v>45072</v>
      </c>
      <c r="J69" s="169">
        <v>50000</v>
      </c>
      <c r="K69" s="160" t="s">
        <v>13</v>
      </c>
    </row>
    <row r="70" spans="1:11" x14ac:dyDescent="0.3">
      <c r="A70" s="160">
        <v>1</v>
      </c>
      <c r="B70" s="160">
        <v>3947600001</v>
      </c>
      <c r="C70" s="160" t="s">
        <v>2386</v>
      </c>
      <c r="D70" s="160" t="s">
        <v>2387</v>
      </c>
      <c r="F70" s="160" t="s">
        <v>2526</v>
      </c>
      <c r="G70" s="163">
        <v>3</v>
      </c>
      <c r="H70" s="160" t="s">
        <v>2524</v>
      </c>
      <c r="I70" s="164">
        <v>45604</v>
      </c>
      <c r="J70" s="169">
        <v>80000</v>
      </c>
      <c r="K70" s="160" t="s">
        <v>13</v>
      </c>
    </row>
    <row r="71" spans="1:11" x14ac:dyDescent="0.3">
      <c r="A71" s="160">
        <v>1</v>
      </c>
      <c r="B71" s="160" t="s">
        <v>2527</v>
      </c>
      <c r="C71" s="160" t="s">
        <v>2386</v>
      </c>
      <c r="D71" s="160" t="s">
        <v>2387</v>
      </c>
      <c r="E71" s="160" t="s">
        <v>2528</v>
      </c>
      <c r="F71" s="160" t="s">
        <v>2529</v>
      </c>
      <c r="G71" s="163">
        <v>1</v>
      </c>
      <c r="H71" s="160" t="s">
        <v>2530</v>
      </c>
      <c r="I71" s="164">
        <v>41521</v>
      </c>
      <c r="J71" s="166">
        <v>8500</v>
      </c>
      <c r="K71" s="168" t="s">
        <v>13</v>
      </c>
    </row>
    <row r="72" spans="1:11" x14ac:dyDescent="0.3">
      <c r="A72" s="171">
        <v>1</v>
      </c>
      <c r="B72" s="171" t="s">
        <v>2531</v>
      </c>
      <c r="C72" s="171" t="s">
        <v>2386</v>
      </c>
      <c r="D72" s="171" t="s">
        <v>2387</v>
      </c>
      <c r="E72" s="171" t="s">
        <v>2528</v>
      </c>
      <c r="F72" s="171" t="s">
        <v>2532</v>
      </c>
      <c r="G72" s="172">
        <v>2</v>
      </c>
      <c r="H72" s="160" t="s">
        <v>2530</v>
      </c>
      <c r="I72" s="173">
        <v>41659</v>
      </c>
      <c r="J72" s="174">
        <v>5000</v>
      </c>
      <c r="K72" s="167" t="s">
        <v>70</v>
      </c>
    </row>
    <row r="73" spans="1:11" x14ac:dyDescent="0.3">
      <c r="A73" s="160">
        <v>1</v>
      </c>
      <c r="B73" s="160" t="s">
        <v>2533</v>
      </c>
      <c r="C73" s="160" t="s">
        <v>2386</v>
      </c>
      <c r="D73" s="160" t="s">
        <v>2387</v>
      </c>
      <c r="E73" s="160" t="s">
        <v>2528</v>
      </c>
      <c r="F73" s="160" t="s">
        <v>2534</v>
      </c>
      <c r="G73" s="163">
        <v>3</v>
      </c>
      <c r="H73" s="160" t="s">
        <v>2530</v>
      </c>
      <c r="I73" s="164">
        <v>41823</v>
      </c>
      <c r="J73" s="166">
        <v>20000</v>
      </c>
      <c r="K73" s="168" t="s">
        <v>13</v>
      </c>
    </row>
    <row r="74" spans="1:11" x14ac:dyDescent="0.3">
      <c r="A74" s="160">
        <v>1</v>
      </c>
      <c r="B74" s="160" t="s">
        <v>2535</v>
      </c>
      <c r="C74" s="160" t="s">
        <v>2386</v>
      </c>
      <c r="D74" s="160" t="s">
        <v>2387</v>
      </c>
      <c r="E74" s="160" t="s">
        <v>2528</v>
      </c>
      <c r="F74" s="160" t="s">
        <v>2536</v>
      </c>
      <c r="G74" s="163">
        <v>4</v>
      </c>
      <c r="H74" s="160" t="s">
        <v>2530</v>
      </c>
      <c r="I74" s="164">
        <v>42328</v>
      </c>
      <c r="J74" s="166">
        <v>30000</v>
      </c>
      <c r="K74" s="168" t="s">
        <v>13</v>
      </c>
    </row>
    <row r="75" spans="1:11" x14ac:dyDescent="0.3">
      <c r="A75" s="160">
        <v>1</v>
      </c>
      <c r="B75" s="160" t="s">
        <v>2537</v>
      </c>
      <c r="C75" s="160" t="s">
        <v>2386</v>
      </c>
      <c r="D75" s="160" t="s">
        <v>2387</v>
      </c>
      <c r="E75" s="160" t="s">
        <v>2528</v>
      </c>
      <c r="F75" s="160" t="s">
        <v>2538</v>
      </c>
      <c r="G75" s="163">
        <v>5</v>
      </c>
      <c r="H75" s="160" t="s">
        <v>2530</v>
      </c>
      <c r="I75" s="164">
        <v>42594</v>
      </c>
      <c r="J75" s="166">
        <v>5000</v>
      </c>
      <c r="K75" s="168" t="s">
        <v>13</v>
      </c>
    </row>
    <row r="76" spans="1:11" x14ac:dyDescent="0.3">
      <c r="A76" s="160">
        <v>1</v>
      </c>
      <c r="B76" s="160" t="s">
        <v>2539</v>
      </c>
      <c r="C76" s="160" t="s">
        <v>2386</v>
      </c>
      <c r="D76" s="160" t="s">
        <v>2387</v>
      </c>
      <c r="E76" s="160" t="s">
        <v>2528</v>
      </c>
      <c r="F76" s="160" t="s">
        <v>2540</v>
      </c>
      <c r="G76" s="163">
        <v>6</v>
      </c>
      <c r="H76" s="160" t="s">
        <v>2530</v>
      </c>
      <c r="I76" s="164">
        <v>42958</v>
      </c>
      <c r="J76" s="169">
        <v>70000</v>
      </c>
      <c r="K76" s="160" t="s">
        <v>13</v>
      </c>
    </row>
    <row r="77" spans="1:11" x14ac:dyDescent="0.3">
      <c r="A77" s="160">
        <v>1</v>
      </c>
      <c r="B77" s="160">
        <v>101907</v>
      </c>
      <c r="C77" s="160" t="s">
        <v>2386</v>
      </c>
      <c r="D77" s="160" t="s">
        <v>2387</v>
      </c>
      <c r="E77" s="160" t="s">
        <v>2528</v>
      </c>
      <c r="F77" s="160" t="s">
        <v>2541</v>
      </c>
      <c r="G77" s="163">
        <v>7</v>
      </c>
      <c r="H77" s="160" t="s">
        <v>2530</v>
      </c>
      <c r="I77" s="164">
        <v>44391</v>
      </c>
      <c r="J77" s="169">
        <v>100000</v>
      </c>
      <c r="K77" s="160" t="s">
        <v>70</v>
      </c>
    </row>
    <row r="78" spans="1:11" x14ac:dyDescent="0.3">
      <c r="A78" s="160">
        <v>1</v>
      </c>
      <c r="B78" s="160">
        <v>114217</v>
      </c>
      <c r="C78" s="160" t="s">
        <v>2386</v>
      </c>
      <c r="D78" s="160" t="s">
        <v>2387</v>
      </c>
      <c r="E78" s="160" t="s">
        <v>2528</v>
      </c>
      <c r="F78" s="160" t="s">
        <v>2542</v>
      </c>
      <c r="G78" s="163">
        <v>8</v>
      </c>
      <c r="H78" s="160" t="s">
        <v>2530</v>
      </c>
      <c r="I78" s="164">
        <v>44474</v>
      </c>
      <c r="J78" s="169">
        <v>80000</v>
      </c>
      <c r="K78" s="160" t="s">
        <v>70</v>
      </c>
    </row>
    <row r="79" spans="1:11" x14ac:dyDescent="0.3">
      <c r="A79" s="171">
        <v>1</v>
      </c>
      <c r="B79" s="171" t="s">
        <v>2543</v>
      </c>
      <c r="C79" s="171" t="s">
        <v>2386</v>
      </c>
      <c r="D79" s="171" t="s">
        <v>2387</v>
      </c>
      <c r="E79" s="171" t="s">
        <v>2544</v>
      </c>
      <c r="F79" s="171" t="s">
        <v>2545</v>
      </c>
      <c r="G79" s="172">
        <v>1</v>
      </c>
      <c r="H79" s="160" t="s">
        <v>2546</v>
      </c>
      <c r="I79" s="173">
        <v>41624</v>
      </c>
      <c r="J79" s="174">
        <v>10000</v>
      </c>
      <c r="K79" s="168" t="s">
        <v>13</v>
      </c>
    </row>
    <row r="80" spans="1:11" x14ac:dyDescent="0.3">
      <c r="A80" s="160">
        <v>1</v>
      </c>
      <c r="B80" s="160" t="s">
        <v>2547</v>
      </c>
      <c r="C80" s="160" t="s">
        <v>2386</v>
      </c>
      <c r="D80" s="160" t="s">
        <v>2387</v>
      </c>
      <c r="E80" s="160" t="s">
        <v>2544</v>
      </c>
      <c r="F80" s="160" t="s">
        <v>2548</v>
      </c>
      <c r="G80" s="163">
        <v>2</v>
      </c>
      <c r="H80" s="160" t="s">
        <v>2546</v>
      </c>
      <c r="I80" s="164">
        <v>42117</v>
      </c>
      <c r="J80" s="166">
        <v>30000</v>
      </c>
      <c r="K80" s="168" t="s">
        <v>13</v>
      </c>
    </row>
    <row r="81" spans="1:11" x14ac:dyDescent="0.3">
      <c r="A81" s="160">
        <v>1</v>
      </c>
      <c r="B81" s="160" t="s">
        <v>2549</v>
      </c>
      <c r="C81" s="160" t="s">
        <v>2386</v>
      </c>
      <c r="D81" s="160" t="s">
        <v>2387</v>
      </c>
      <c r="E81" s="160" t="s">
        <v>2544</v>
      </c>
      <c r="F81" s="160" t="s">
        <v>2550</v>
      </c>
      <c r="G81" s="163">
        <v>3</v>
      </c>
      <c r="H81" s="160" t="s">
        <v>2546</v>
      </c>
      <c r="I81" s="164">
        <v>42466</v>
      </c>
      <c r="J81" s="166">
        <v>40000</v>
      </c>
      <c r="K81" s="167" t="s">
        <v>70</v>
      </c>
    </row>
    <row r="82" spans="1:11" x14ac:dyDescent="0.3">
      <c r="A82" s="160">
        <v>1</v>
      </c>
      <c r="B82" s="160" t="s">
        <v>2551</v>
      </c>
      <c r="C82" s="160" t="s">
        <v>2386</v>
      </c>
      <c r="D82" s="160" t="s">
        <v>2387</v>
      </c>
      <c r="E82" s="160" t="s">
        <v>2544</v>
      </c>
      <c r="F82" s="160" t="s">
        <v>2552</v>
      </c>
      <c r="G82" s="163">
        <v>4</v>
      </c>
      <c r="H82" s="160" t="s">
        <v>2546</v>
      </c>
      <c r="I82" s="164">
        <v>43300</v>
      </c>
      <c r="J82" s="169">
        <v>30000</v>
      </c>
      <c r="K82" s="160" t="s">
        <v>13</v>
      </c>
    </row>
    <row r="83" spans="1:11" x14ac:dyDescent="0.3">
      <c r="A83" s="160">
        <v>1</v>
      </c>
      <c r="B83" s="160">
        <v>51330</v>
      </c>
      <c r="C83" s="160" t="s">
        <v>2386</v>
      </c>
      <c r="D83" s="160" t="s">
        <v>2387</v>
      </c>
      <c r="E83" s="160" t="s">
        <v>2544</v>
      </c>
      <c r="F83" s="160" t="s">
        <v>2553</v>
      </c>
      <c r="G83" s="163">
        <v>5</v>
      </c>
      <c r="H83" s="160" t="s">
        <v>2546</v>
      </c>
      <c r="I83" s="164">
        <v>43787</v>
      </c>
      <c r="J83" s="169">
        <v>50000</v>
      </c>
      <c r="K83" s="160" t="s">
        <v>13</v>
      </c>
    </row>
    <row r="84" spans="1:11" x14ac:dyDescent="0.3">
      <c r="A84" s="160">
        <v>1</v>
      </c>
      <c r="B84" s="160">
        <v>147988</v>
      </c>
      <c r="C84" s="160" t="s">
        <v>2386</v>
      </c>
      <c r="D84" s="160" t="s">
        <v>2387</v>
      </c>
      <c r="E84" s="160" t="s">
        <v>2544</v>
      </c>
      <c r="F84" s="160" t="s">
        <v>2554</v>
      </c>
      <c r="G84" s="163">
        <v>6</v>
      </c>
      <c r="H84" s="160" t="s">
        <v>2546</v>
      </c>
      <c r="I84" s="164">
        <v>44764</v>
      </c>
      <c r="J84" s="169">
        <v>20000</v>
      </c>
      <c r="K84" s="160" t="s">
        <v>13</v>
      </c>
    </row>
    <row r="85" spans="1:11" x14ac:dyDescent="0.3">
      <c r="A85" s="160">
        <v>1</v>
      </c>
      <c r="B85" s="160">
        <v>1434070001</v>
      </c>
      <c r="C85" s="160" t="s">
        <v>2386</v>
      </c>
      <c r="D85" s="160" t="s">
        <v>2387</v>
      </c>
      <c r="E85" s="160" t="s">
        <v>2544</v>
      </c>
      <c r="F85" s="160" t="s">
        <v>2555</v>
      </c>
      <c r="G85" s="163">
        <v>7</v>
      </c>
      <c r="H85" s="160" t="s">
        <v>2546</v>
      </c>
      <c r="I85" s="164">
        <v>45453</v>
      </c>
      <c r="J85" s="169">
        <v>30000</v>
      </c>
      <c r="K85" s="160" t="s">
        <v>13</v>
      </c>
    </row>
    <row r="86" spans="1:11" x14ac:dyDescent="0.3">
      <c r="A86" s="160">
        <v>1</v>
      </c>
      <c r="B86" s="160">
        <v>1434070002</v>
      </c>
      <c r="C86" s="160" t="s">
        <v>2386</v>
      </c>
      <c r="D86" s="160" t="s">
        <v>2387</v>
      </c>
      <c r="E86" s="160" t="s">
        <v>2544</v>
      </c>
      <c r="F86" s="160" t="s">
        <v>2556</v>
      </c>
      <c r="G86" s="163">
        <v>8</v>
      </c>
      <c r="H86" s="160" t="s">
        <v>2546</v>
      </c>
      <c r="I86" s="164">
        <v>45742</v>
      </c>
      <c r="J86" s="169">
        <v>60000</v>
      </c>
      <c r="K86" s="160" t="s">
        <v>13</v>
      </c>
    </row>
    <row r="87" spans="1:11" x14ac:dyDescent="0.3">
      <c r="A87" s="160">
        <v>1</v>
      </c>
      <c r="B87" s="160">
        <v>127729</v>
      </c>
      <c r="C87" s="160" t="s">
        <v>2386</v>
      </c>
      <c r="D87" s="160" t="s">
        <v>2387</v>
      </c>
      <c r="F87" s="160" t="s">
        <v>2557</v>
      </c>
      <c r="G87" s="163">
        <v>1</v>
      </c>
      <c r="H87" s="160" t="s">
        <v>2558</v>
      </c>
      <c r="I87" s="164">
        <v>44708</v>
      </c>
      <c r="J87" s="165">
        <v>30000</v>
      </c>
      <c r="K87" s="160" t="s">
        <v>13</v>
      </c>
    </row>
    <row r="88" spans="1:11" x14ac:dyDescent="0.3">
      <c r="A88" s="160">
        <v>1</v>
      </c>
      <c r="B88" s="160">
        <v>11236156</v>
      </c>
      <c r="C88" s="160" t="s">
        <v>2386</v>
      </c>
      <c r="D88" s="160" t="s">
        <v>2387</v>
      </c>
      <c r="F88" s="160" t="s">
        <v>2559</v>
      </c>
      <c r="G88" s="163">
        <v>2</v>
      </c>
      <c r="H88" s="160" t="s">
        <v>2558</v>
      </c>
      <c r="I88" s="164">
        <v>45009</v>
      </c>
      <c r="J88" s="165">
        <v>30000</v>
      </c>
      <c r="K88" s="160" t="s">
        <v>13</v>
      </c>
    </row>
    <row r="89" spans="1:11" x14ac:dyDescent="0.3">
      <c r="A89" s="160">
        <v>1</v>
      </c>
      <c r="B89" s="160">
        <v>4270780001</v>
      </c>
      <c r="C89" s="160" t="s">
        <v>2386</v>
      </c>
      <c r="D89" s="160" t="s">
        <v>2387</v>
      </c>
      <c r="F89" s="160" t="s">
        <v>2560</v>
      </c>
      <c r="G89" s="163">
        <v>3</v>
      </c>
      <c r="H89" s="160" t="s">
        <v>2558</v>
      </c>
      <c r="I89" s="164">
        <v>45497</v>
      </c>
      <c r="J89" s="165">
        <v>100000</v>
      </c>
      <c r="K89" s="160" t="s">
        <v>13</v>
      </c>
    </row>
    <row r="90" spans="1:11" x14ac:dyDescent="0.3">
      <c r="A90" s="160">
        <v>1</v>
      </c>
      <c r="B90" s="160">
        <v>4270780002</v>
      </c>
      <c r="C90" s="160" t="s">
        <v>2386</v>
      </c>
      <c r="D90" s="160" t="s">
        <v>2387</v>
      </c>
      <c r="F90" s="160" t="s">
        <v>2561</v>
      </c>
      <c r="G90" s="163">
        <v>4</v>
      </c>
      <c r="H90" s="160" t="s">
        <v>2558</v>
      </c>
      <c r="I90" s="164">
        <v>45859</v>
      </c>
      <c r="J90" s="165">
        <v>300000</v>
      </c>
      <c r="K90" s="160" t="s">
        <v>13</v>
      </c>
    </row>
    <row r="91" spans="1:11" x14ac:dyDescent="0.3">
      <c r="A91" s="160">
        <v>1</v>
      </c>
      <c r="B91" s="160">
        <v>10902490</v>
      </c>
      <c r="C91" s="160" t="s">
        <v>2386</v>
      </c>
      <c r="D91" s="160" t="s">
        <v>2387</v>
      </c>
      <c r="F91" s="160" t="s">
        <v>2562</v>
      </c>
      <c r="G91" s="163">
        <v>1</v>
      </c>
      <c r="H91" s="160" t="s">
        <v>2563</v>
      </c>
      <c r="I91" s="164">
        <v>44881</v>
      </c>
      <c r="J91" s="165">
        <v>50000</v>
      </c>
      <c r="K91" s="160" t="s">
        <v>55</v>
      </c>
    </row>
    <row r="92" spans="1:11" x14ac:dyDescent="0.3">
      <c r="A92" s="160">
        <v>1</v>
      </c>
      <c r="B92" s="160" t="s">
        <v>2564</v>
      </c>
      <c r="C92" s="160" t="s">
        <v>2386</v>
      </c>
      <c r="D92" s="160" t="s">
        <v>2387</v>
      </c>
      <c r="E92" s="160" t="s">
        <v>2565</v>
      </c>
      <c r="F92" s="160" t="s">
        <v>2566</v>
      </c>
      <c r="G92" s="163">
        <v>1</v>
      </c>
      <c r="H92" s="160" t="s">
        <v>2567</v>
      </c>
      <c r="I92" s="164">
        <v>41591</v>
      </c>
      <c r="J92" s="166">
        <v>15000</v>
      </c>
      <c r="K92" s="168" t="s">
        <v>13</v>
      </c>
    </row>
    <row r="93" spans="1:11" x14ac:dyDescent="0.3">
      <c r="A93" s="160">
        <v>1</v>
      </c>
      <c r="B93" s="160" t="s">
        <v>2568</v>
      </c>
      <c r="C93" s="160" t="s">
        <v>2386</v>
      </c>
      <c r="D93" s="160" t="s">
        <v>2387</v>
      </c>
      <c r="E93" s="160" t="s">
        <v>2565</v>
      </c>
      <c r="F93" s="160" t="s">
        <v>2569</v>
      </c>
      <c r="G93" s="163">
        <v>2</v>
      </c>
      <c r="H93" s="160" t="s">
        <v>2567</v>
      </c>
      <c r="I93" s="164">
        <v>41996</v>
      </c>
      <c r="J93" s="166">
        <v>25000</v>
      </c>
      <c r="K93" s="168" t="s">
        <v>13</v>
      </c>
    </row>
    <row r="94" spans="1:11" x14ac:dyDescent="0.3">
      <c r="A94" s="160">
        <v>1</v>
      </c>
      <c r="B94" s="160" t="s">
        <v>2570</v>
      </c>
      <c r="C94" s="160" t="s">
        <v>2386</v>
      </c>
      <c r="D94" s="160" t="s">
        <v>2387</v>
      </c>
      <c r="E94" s="160" t="s">
        <v>2565</v>
      </c>
      <c r="F94" s="160" t="s">
        <v>2571</v>
      </c>
      <c r="G94" s="163">
        <v>3</v>
      </c>
      <c r="H94" s="160" t="s">
        <v>2567</v>
      </c>
      <c r="I94" s="164">
        <v>42599</v>
      </c>
      <c r="J94" s="166">
        <v>30000</v>
      </c>
      <c r="K94" s="168" t="s">
        <v>13</v>
      </c>
    </row>
    <row r="95" spans="1:11" x14ac:dyDescent="0.3">
      <c r="A95" s="160">
        <v>1</v>
      </c>
      <c r="B95" s="160">
        <v>2276269999</v>
      </c>
      <c r="C95" s="160" t="s">
        <v>2386</v>
      </c>
      <c r="D95" s="160" t="s">
        <v>2387</v>
      </c>
      <c r="E95" s="160" t="s">
        <v>2565</v>
      </c>
      <c r="F95" s="160" t="s">
        <v>2572</v>
      </c>
      <c r="G95" s="163">
        <v>4</v>
      </c>
      <c r="H95" s="160" t="s">
        <v>2567</v>
      </c>
      <c r="I95" s="164">
        <v>45205</v>
      </c>
      <c r="J95" s="165">
        <v>80000</v>
      </c>
      <c r="K95" s="160" t="s">
        <v>13</v>
      </c>
    </row>
    <row r="96" spans="1:11" x14ac:dyDescent="0.3">
      <c r="A96" s="160">
        <v>1</v>
      </c>
      <c r="B96" s="160">
        <v>103865</v>
      </c>
      <c r="C96" s="160" t="s">
        <v>2573</v>
      </c>
      <c r="D96" s="160" t="s">
        <v>2574</v>
      </c>
      <c r="F96" s="160" t="s">
        <v>2575</v>
      </c>
      <c r="G96" s="163">
        <v>1</v>
      </c>
      <c r="H96" s="160" t="s">
        <v>2576</v>
      </c>
      <c r="I96" s="164">
        <v>44407</v>
      </c>
      <c r="J96" s="165">
        <v>60000</v>
      </c>
      <c r="K96" s="160" t="s">
        <v>13</v>
      </c>
    </row>
    <row r="97" spans="1:11" x14ac:dyDescent="0.3">
      <c r="A97" s="160">
        <v>1</v>
      </c>
      <c r="B97" s="160">
        <v>150998</v>
      </c>
      <c r="C97" s="160" t="s">
        <v>2573</v>
      </c>
      <c r="D97" s="160" t="s">
        <v>2574</v>
      </c>
      <c r="F97" s="160" t="s">
        <v>2577</v>
      </c>
      <c r="G97" s="163">
        <v>1</v>
      </c>
      <c r="H97" s="160" t="s">
        <v>2578</v>
      </c>
      <c r="I97" s="164">
        <v>44790</v>
      </c>
      <c r="J97" s="165">
        <v>50000</v>
      </c>
      <c r="K97" s="160" t="s">
        <v>13</v>
      </c>
    </row>
    <row r="98" spans="1:11" x14ac:dyDescent="0.3">
      <c r="A98" s="160">
        <v>1</v>
      </c>
      <c r="B98" s="160">
        <v>11387019</v>
      </c>
      <c r="C98" s="160" t="s">
        <v>2573</v>
      </c>
      <c r="D98" s="160" t="s">
        <v>2574</v>
      </c>
      <c r="F98" s="160" t="s">
        <v>2579</v>
      </c>
      <c r="G98" s="163">
        <v>2</v>
      </c>
      <c r="H98" s="160" t="s">
        <v>2578</v>
      </c>
      <c r="I98" s="164">
        <v>45044</v>
      </c>
      <c r="J98" s="165">
        <v>300000</v>
      </c>
      <c r="K98" s="160" t="s">
        <v>13</v>
      </c>
    </row>
    <row r="99" spans="1:11" x14ac:dyDescent="0.3">
      <c r="A99" s="160">
        <v>1</v>
      </c>
      <c r="B99" s="160">
        <v>5514390001</v>
      </c>
      <c r="C99" s="160" t="s">
        <v>2573</v>
      </c>
      <c r="D99" s="160" t="s">
        <v>2574</v>
      </c>
      <c r="F99" s="160" t="s">
        <v>2580</v>
      </c>
      <c r="G99" s="163">
        <v>3</v>
      </c>
      <c r="H99" s="160" t="s">
        <v>2578</v>
      </c>
      <c r="I99" s="164">
        <v>45868</v>
      </c>
      <c r="J99" s="165">
        <v>100000</v>
      </c>
      <c r="K99" s="160" t="s">
        <v>13</v>
      </c>
    </row>
    <row r="100" spans="1:11" x14ac:dyDescent="0.3">
      <c r="A100" s="160">
        <v>1</v>
      </c>
      <c r="B100" s="160">
        <v>6530420001</v>
      </c>
      <c r="C100" s="160" t="s">
        <v>2573</v>
      </c>
      <c r="D100" s="160" t="s">
        <v>2574</v>
      </c>
      <c r="F100" s="160" t="s">
        <v>2581</v>
      </c>
      <c r="G100" s="163">
        <v>1</v>
      </c>
      <c r="H100" s="160" t="s">
        <v>1702</v>
      </c>
      <c r="I100" s="164">
        <v>45555</v>
      </c>
      <c r="J100" s="165">
        <v>100000</v>
      </c>
      <c r="K100" s="160" t="s">
        <v>13</v>
      </c>
    </row>
    <row r="101" spans="1:11" x14ac:dyDescent="0.3">
      <c r="A101" s="171">
        <v>1</v>
      </c>
      <c r="B101" s="171" t="s">
        <v>2582</v>
      </c>
      <c r="C101" s="171" t="s">
        <v>2573</v>
      </c>
      <c r="D101" s="171" t="s">
        <v>2574</v>
      </c>
      <c r="E101" s="171" t="s">
        <v>2583</v>
      </c>
      <c r="F101" s="171" t="s">
        <v>2584</v>
      </c>
      <c r="G101" s="172">
        <v>1</v>
      </c>
      <c r="H101" s="171" t="s">
        <v>2585</v>
      </c>
      <c r="I101" s="173">
        <v>42640</v>
      </c>
      <c r="J101" s="166">
        <v>3000</v>
      </c>
      <c r="K101" s="168" t="s">
        <v>13</v>
      </c>
    </row>
    <row r="102" spans="1:11" x14ac:dyDescent="0.3">
      <c r="A102" s="160">
        <v>1</v>
      </c>
      <c r="B102" s="160" t="s">
        <v>2586</v>
      </c>
      <c r="C102" s="160" t="s">
        <v>2573</v>
      </c>
      <c r="D102" s="160" t="s">
        <v>2574</v>
      </c>
      <c r="E102" s="160" t="s">
        <v>2587</v>
      </c>
      <c r="F102" s="160" t="s">
        <v>2588</v>
      </c>
      <c r="G102" s="163">
        <v>1</v>
      </c>
      <c r="H102" s="160" t="s">
        <v>2589</v>
      </c>
      <c r="I102" s="164">
        <v>41935</v>
      </c>
      <c r="J102" s="166">
        <v>5000</v>
      </c>
      <c r="K102" s="168" t="s">
        <v>13</v>
      </c>
    </row>
    <row r="103" spans="1:11" x14ac:dyDescent="0.3">
      <c r="A103" s="160">
        <v>1</v>
      </c>
      <c r="C103" s="160" t="s">
        <v>2573</v>
      </c>
      <c r="D103" s="160" t="s">
        <v>2574</v>
      </c>
      <c r="F103" s="160" t="s">
        <v>2590</v>
      </c>
      <c r="G103" s="163">
        <v>1</v>
      </c>
      <c r="H103" s="160" t="s">
        <v>2591</v>
      </c>
      <c r="I103" s="164">
        <v>40456</v>
      </c>
      <c r="J103" s="166">
        <v>8000</v>
      </c>
      <c r="K103" s="175" t="s">
        <v>55</v>
      </c>
    </row>
    <row r="104" spans="1:11" x14ac:dyDescent="0.3">
      <c r="A104" s="160">
        <v>1</v>
      </c>
      <c r="C104" s="160" t="s">
        <v>2573</v>
      </c>
      <c r="D104" s="160" t="s">
        <v>2574</v>
      </c>
      <c r="F104" s="160" t="s">
        <v>2592</v>
      </c>
      <c r="G104" s="163">
        <v>2</v>
      </c>
      <c r="H104" s="160" t="s">
        <v>2591</v>
      </c>
      <c r="I104" s="164">
        <v>41085</v>
      </c>
      <c r="J104" s="166">
        <v>15000</v>
      </c>
      <c r="K104" s="168" t="s">
        <v>13</v>
      </c>
    </row>
    <row r="105" spans="1:11" ht="13" customHeight="1" x14ac:dyDescent="0.3">
      <c r="A105" s="160">
        <v>1</v>
      </c>
      <c r="B105" s="160">
        <v>113111</v>
      </c>
      <c r="C105" s="160" t="s">
        <v>2573</v>
      </c>
      <c r="D105" s="160" t="s">
        <v>2574</v>
      </c>
      <c r="F105" s="160" t="s">
        <v>2593</v>
      </c>
      <c r="G105" s="163">
        <v>1</v>
      </c>
      <c r="H105" s="160" t="s">
        <v>2594</v>
      </c>
      <c r="I105" s="164">
        <v>44466</v>
      </c>
      <c r="J105" s="165">
        <v>80000</v>
      </c>
      <c r="K105" s="160" t="s">
        <v>13</v>
      </c>
    </row>
    <row r="106" spans="1:11" ht="13" customHeight="1" x14ac:dyDescent="0.3">
      <c r="A106" s="160">
        <v>1</v>
      </c>
      <c r="B106" s="160">
        <v>5014190002</v>
      </c>
      <c r="C106" s="160" t="s">
        <v>2573</v>
      </c>
      <c r="D106" s="160" t="s">
        <v>2574</v>
      </c>
      <c r="F106" s="160" t="s">
        <v>2595</v>
      </c>
      <c r="G106" s="163">
        <v>2</v>
      </c>
      <c r="H106" s="160" t="s">
        <v>2594</v>
      </c>
      <c r="I106" s="164">
        <v>45197</v>
      </c>
      <c r="J106" s="165">
        <v>80000</v>
      </c>
      <c r="K106" s="160" t="s">
        <v>13</v>
      </c>
    </row>
    <row r="107" spans="1:11" ht="13" customHeight="1" x14ac:dyDescent="0.3">
      <c r="A107" s="160">
        <v>1</v>
      </c>
      <c r="B107" s="160">
        <v>60944</v>
      </c>
      <c r="C107" s="160" t="s">
        <v>2573</v>
      </c>
      <c r="D107" s="160" t="s">
        <v>2574</v>
      </c>
      <c r="F107" s="160" t="s">
        <v>2596</v>
      </c>
      <c r="G107" s="163">
        <v>1</v>
      </c>
      <c r="H107" s="160" t="s">
        <v>2597</v>
      </c>
      <c r="I107" s="164">
        <v>43903</v>
      </c>
      <c r="J107" s="165">
        <v>20000</v>
      </c>
      <c r="K107" s="160" t="s">
        <v>13</v>
      </c>
    </row>
    <row r="108" spans="1:11" ht="13" customHeight="1" x14ac:dyDescent="0.3">
      <c r="A108" s="160">
        <v>1</v>
      </c>
      <c r="B108" s="160">
        <v>60944</v>
      </c>
      <c r="C108" s="160" t="s">
        <v>2573</v>
      </c>
      <c r="D108" s="160" t="s">
        <v>2574</v>
      </c>
      <c r="F108" s="160" t="s">
        <v>2598</v>
      </c>
      <c r="G108" s="163">
        <v>2</v>
      </c>
      <c r="H108" s="160" t="s">
        <v>2597</v>
      </c>
      <c r="I108" s="164">
        <v>44398</v>
      </c>
      <c r="J108" s="165">
        <v>40000</v>
      </c>
      <c r="K108" s="160" t="s">
        <v>13</v>
      </c>
    </row>
    <row r="109" spans="1:11" ht="13" customHeight="1" x14ac:dyDescent="0.3">
      <c r="A109" s="160">
        <v>1</v>
      </c>
      <c r="B109" s="160">
        <v>120117</v>
      </c>
      <c r="C109" s="160" t="s">
        <v>2573</v>
      </c>
      <c r="D109" s="160" t="s">
        <v>2574</v>
      </c>
      <c r="F109" s="160" t="s">
        <v>2599</v>
      </c>
      <c r="G109" s="163">
        <v>3</v>
      </c>
      <c r="H109" s="160" t="s">
        <v>2597</v>
      </c>
      <c r="I109" s="164">
        <v>44523</v>
      </c>
      <c r="J109" s="165">
        <v>80000</v>
      </c>
      <c r="K109" s="160" t="s">
        <v>13</v>
      </c>
    </row>
    <row r="110" spans="1:11" x14ac:dyDescent="0.3">
      <c r="A110" s="160">
        <v>1</v>
      </c>
      <c r="B110" s="160">
        <v>156508</v>
      </c>
      <c r="C110" s="160" t="s">
        <v>2573</v>
      </c>
      <c r="D110" s="160" t="s">
        <v>2574</v>
      </c>
      <c r="F110" s="176" t="s">
        <v>2600</v>
      </c>
      <c r="G110" s="163">
        <v>4</v>
      </c>
      <c r="H110" s="160" t="s">
        <v>2597</v>
      </c>
      <c r="I110" s="164">
        <v>44833</v>
      </c>
      <c r="J110" s="165">
        <v>80000</v>
      </c>
      <c r="K110" s="160" t="s">
        <v>13</v>
      </c>
    </row>
    <row r="111" spans="1:11" x14ac:dyDescent="0.3">
      <c r="A111" s="160">
        <v>1</v>
      </c>
      <c r="B111" s="160">
        <v>11205237</v>
      </c>
      <c r="C111" s="160" t="s">
        <v>2573</v>
      </c>
      <c r="D111" s="160" t="s">
        <v>2574</v>
      </c>
      <c r="F111" s="160" t="s">
        <v>2601</v>
      </c>
      <c r="G111" s="163">
        <v>5</v>
      </c>
      <c r="H111" s="160" t="s">
        <v>2597</v>
      </c>
      <c r="I111" s="164">
        <v>45001</v>
      </c>
      <c r="J111" s="165">
        <v>150000</v>
      </c>
      <c r="K111" s="160" t="s">
        <v>13</v>
      </c>
    </row>
    <row r="112" spans="1:11" x14ac:dyDescent="0.3">
      <c r="A112" s="160">
        <v>1</v>
      </c>
      <c r="B112" s="160">
        <v>4117260001</v>
      </c>
      <c r="C112" s="160" t="s">
        <v>2573</v>
      </c>
      <c r="D112" s="160" t="s">
        <v>2574</v>
      </c>
      <c r="F112" s="160" t="s">
        <v>2602</v>
      </c>
      <c r="G112" s="163">
        <v>6</v>
      </c>
      <c r="H112" s="160" t="s">
        <v>2597</v>
      </c>
      <c r="I112" s="164">
        <v>45217</v>
      </c>
      <c r="J112" s="165">
        <v>70000</v>
      </c>
      <c r="K112" s="160" t="s">
        <v>13</v>
      </c>
    </row>
    <row r="113" spans="1:11" x14ac:dyDescent="0.3">
      <c r="A113" s="160">
        <v>1</v>
      </c>
      <c r="B113" s="160">
        <v>4117260002</v>
      </c>
      <c r="C113" s="160" t="s">
        <v>2573</v>
      </c>
      <c r="D113" s="160" t="s">
        <v>2574</v>
      </c>
      <c r="F113" s="160" t="s">
        <v>2603</v>
      </c>
      <c r="G113" s="163">
        <v>7</v>
      </c>
      <c r="H113" s="160" t="s">
        <v>2597</v>
      </c>
      <c r="I113" s="164">
        <v>45607</v>
      </c>
      <c r="J113" s="165">
        <v>50000</v>
      </c>
      <c r="K113" s="160" t="s">
        <v>13</v>
      </c>
    </row>
    <row r="114" spans="1:11" x14ac:dyDescent="0.3">
      <c r="A114" s="160">
        <v>1</v>
      </c>
      <c r="B114" s="160">
        <v>4117260003</v>
      </c>
      <c r="C114" s="160" t="s">
        <v>2573</v>
      </c>
      <c r="D114" s="160" t="s">
        <v>2574</v>
      </c>
      <c r="F114" s="160" t="s">
        <v>2604</v>
      </c>
      <c r="G114" s="163">
        <v>8</v>
      </c>
      <c r="H114" s="160" t="s">
        <v>2597</v>
      </c>
      <c r="I114" s="164">
        <v>45891</v>
      </c>
      <c r="J114" s="165">
        <v>80000</v>
      </c>
      <c r="K114" s="160" t="s">
        <v>13</v>
      </c>
    </row>
    <row r="115" spans="1:11" x14ac:dyDescent="0.3">
      <c r="A115" s="160">
        <v>1</v>
      </c>
      <c r="B115" s="160">
        <v>10911564</v>
      </c>
      <c r="C115" s="160" t="s">
        <v>2573</v>
      </c>
      <c r="D115" s="160" t="s">
        <v>2574</v>
      </c>
      <c r="F115" s="160" t="s">
        <v>2605</v>
      </c>
      <c r="G115" s="163">
        <v>1</v>
      </c>
      <c r="H115" s="160" t="s">
        <v>2606</v>
      </c>
      <c r="I115" s="164">
        <v>44942</v>
      </c>
      <c r="J115" s="165">
        <v>80000</v>
      </c>
      <c r="K115" s="160" t="s">
        <v>13</v>
      </c>
    </row>
    <row r="116" spans="1:11" x14ac:dyDescent="0.3">
      <c r="A116" s="160">
        <v>1</v>
      </c>
      <c r="B116" s="160">
        <v>145914</v>
      </c>
      <c r="C116" s="160" t="s">
        <v>2573</v>
      </c>
      <c r="D116" s="160" t="s">
        <v>2574</v>
      </c>
      <c r="F116" s="160" t="s">
        <v>2607</v>
      </c>
      <c r="G116" s="163">
        <v>1</v>
      </c>
      <c r="H116" s="160" t="s">
        <v>2608</v>
      </c>
      <c r="I116" s="164">
        <v>44777</v>
      </c>
      <c r="J116" s="165">
        <v>80000</v>
      </c>
      <c r="K116" s="160" t="s">
        <v>13</v>
      </c>
    </row>
    <row r="117" spans="1:11" x14ac:dyDescent="0.3">
      <c r="A117" s="160">
        <v>1</v>
      </c>
      <c r="B117" s="160">
        <v>5415000001</v>
      </c>
      <c r="C117" s="160" t="s">
        <v>2573</v>
      </c>
      <c r="D117" s="160" t="s">
        <v>2574</v>
      </c>
      <c r="F117" s="160" t="s">
        <v>2609</v>
      </c>
      <c r="G117" s="163">
        <v>2</v>
      </c>
      <c r="H117" s="160" t="s">
        <v>2608</v>
      </c>
      <c r="I117" s="164">
        <v>45208</v>
      </c>
      <c r="J117" s="165">
        <v>40000</v>
      </c>
      <c r="K117" s="160" t="s">
        <v>13</v>
      </c>
    </row>
    <row r="118" spans="1:11" x14ac:dyDescent="0.3">
      <c r="A118" s="160">
        <v>1</v>
      </c>
      <c r="B118" s="160">
        <v>5415000002</v>
      </c>
      <c r="C118" s="160" t="s">
        <v>2573</v>
      </c>
      <c r="D118" s="160" t="s">
        <v>2574</v>
      </c>
      <c r="F118" s="160" t="s">
        <v>2610</v>
      </c>
      <c r="G118" s="163">
        <v>3</v>
      </c>
      <c r="H118" s="160" t="s">
        <v>2608</v>
      </c>
      <c r="I118" s="164">
        <v>45406</v>
      </c>
      <c r="J118" s="165">
        <v>300000</v>
      </c>
      <c r="K118" s="160" t="s">
        <v>13</v>
      </c>
    </row>
    <row r="119" spans="1:11" x14ac:dyDescent="0.3">
      <c r="A119" s="160">
        <v>1</v>
      </c>
      <c r="B119" s="160">
        <v>10904531</v>
      </c>
      <c r="C119" s="160" t="s">
        <v>2573</v>
      </c>
      <c r="D119" s="160" t="s">
        <v>2574</v>
      </c>
      <c r="F119" s="160" t="s">
        <v>2611</v>
      </c>
      <c r="G119" s="163">
        <v>1</v>
      </c>
      <c r="H119" s="160" t="s">
        <v>2612</v>
      </c>
      <c r="I119" s="164">
        <v>44889</v>
      </c>
      <c r="J119" s="165">
        <v>80000</v>
      </c>
      <c r="K119" s="160" t="s">
        <v>13</v>
      </c>
    </row>
    <row r="120" spans="1:11" x14ac:dyDescent="0.3">
      <c r="A120" s="160">
        <v>1</v>
      </c>
      <c r="B120" s="160">
        <v>4462480001</v>
      </c>
      <c r="C120" s="160" t="s">
        <v>2573</v>
      </c>
      <c r="D120" s="160" t="s">
        <v>2574</v>
      </c>
      <c r="F120" s="160" t="s">
        <v>2613</v>
      </c>
      <c r="G120" s="163">
        <v>2</v>
      </c>
      <c r="H120" s="160" t="s">
        <v>2612</v>
      </c>
      <c r="I120" s="164">
        <v>45734</v>
      </c>
      <c r="J120" s="165">
        <v>350000</v>
      </c>
      <c r="K120" s="160" t="s">
        <v>70</v>
      </c>
    </row>
    <row r="121" spans="1:11" x14ac:dyDescent="0.3">
      <c r="A121" s="160">
        <v>1</v>
      </c>
      <c r="C121" s="160" t="s">
        <v>2573</v>
      </c>
      <c r="D121" s="160" t="s">
        <v>2574</v>
      </c>
      <c r="E121" s="160" t="s">
        <v>2614</v>
      </c>
      <c r="F121" s="160" t="s">
        <v>2615</v>
      </c>
      <c r="G121" s="163">
        <v>1</v>
      </c>
      <c r="H121" s="160" t="s">
        <v>2616</v>
      </c>
      <c r="I121" s="164">
        <v>40255</v>
      </c>
      <c r="J121" s="166">
        <v>5000</v>
      </c>
      <c r="K121" s="168" t="s">
        <v>13</v>
      </c>
    </row>
    <row r="122" spans="1:11" x14ac:dyDescent="0.3">
      <c r="A122" s="160">
        <v>1</v>
      </c>
      <c r="B122" s="160">
        <v>59886</v>
      </c>
      <c r="C122" s="160" t="s">
        <v>2573</v>
      </c>
      <c r="D122" s="160" t="s">
        <v>2574</v>
      </c>
      <c r="E122" s="160" t="s">
        <v>2614</v>
      </c>
      <c r="F122" s="160" t="s">
        <v>2617</v>
      </c>
      <c r="G122" s="163">
        <v>10</v>
      </c>
      <c r="H122" s="160" t="s">
        <v>2616</v>
      </c>
      <c r="I122" s="164">
        <v>43893</v>
      </c>
      <c r="J122" s="169">
        <v>70000</v>
      </c>
      <c r="K122" s="160" t="s">
        <v>13</v>
      </c>
    </row>
    <row r="123" spans="1:11" x14ac:dyDescent="0.3">
      <c r="A123" s="160">
        <v>1</v>
      </c>
      <c r="B123" s="160">
        <v>59886</v>
      </c>
      <c r="C123" s="160" t="s">
        <v>2573</v>
      </c>
      <c r="D123" s="160" t="s">
        <v>2574</v>
      </c>
      <c r="E123" s="160" t="s">
        <v>2614</v>
      </c>
      <c r="F123" s="160" t="s">
        <v>2618</v>
      </c>
      <c r="G123" s="163">
        <v>11</v>
      </c>
      <c r="H123" s="160" t="s">
        <v>2616</v>
      </c>
      <c r="I123" s="164">
        <v>44407</v>
      </c>
      <c r="J123" s="169">
        <v>25000</v>
      </c>
      <c r="K123" s="160" t="s">
        <v>13</v>
      </c>
    </row>
    <row r="124" spans="1:11" x14ac:dyDescent="0.3">
      <c r="A124" s="160">
        <v>1</v>
      </c>
      <c r="B124" s="160">
        <v>145584</v>
      </c>
      <c r="C124" s="160" t="s">
        <v>2573</v>
      </c>
      <c r="D124" s="160" t="s">
        <v>2574</v>
      </c>
      <c r="E124" s="160" t="s">
        <v>2614</v>
      </c>
      <c r="F124" s="160" t="s">
        <v>2619</v>
      </c>
      <c r="G124" s="163">
        <v>12</v>
      </c>
      <c r="H124" s="160" t="s">
        <v>2616</v>
      </c>
      <c r="I124" s="164">
        <v>44742</v>
      </c>
      <c r="J124" s="169">
        <v>50000</v>
      </c>
      <c r="K124" s="160" t="s">
        <v>13</v>
      </c>
    </row>
    <row r="125" spans="1:11" x14ac:dyDescent="0.3">
      <c r="A125" s="160">
        <v>1</v>
      </c>
      <c r="B125" s="160">
        <v>11465634</v>
      </c>
      <c r="C125" s="160" t="s">
        <v>2573</v>
      </c>
      <c r="D125" s="160" t="s">
        <v>2574</v>
      </c>
      <c r="E125" s="160" t="s">
        <v>2614</v>
      </c>
      <c r="F125" s="160" t="s">
        <v>2620</v>
      </c>
      <c r="G125" s="163">
        <v>13</v>
      </c>
      <c r="H125" s="160" t="s">
        <v>2616</v>
      </c>
      <c r="I125" s="164">
        <v>45063</v>
      </c>
      <c r="J125" s="169">
        <v>150000</v>
      </c>
      <c r="K125" s="160" t="s">
        <v>13</v>
      </c>
    </row>
    <row r="126" spans="1:11" x14ac:dyDescent="0.3">
      <c r="A126" s="160">
        <v>1</v>
      </c>
      <c r="B126" s="160">
        <v>143440001</v>
      </c>
      <c r="C126" s="160" t="s">
        <v>2573</v>
      </c>
      <c r="D126" s="160" t="s">
        <v>2574</v>
      </c>
      <c r="E126" s="160" t="s">
        <v>2614</v>
      </c>
      <c r="F126" s="160" t="s">
        <v>2621</v>
      </c>
      <c r="G126" s="163">
        <v>14</v>
      </c>
      <c r="H126" s="160" t="s">
        <v>2616</v>
      </c>
      <c r="I126" s="164">
        <v>45181</v>
      </c>
      <c r="J126" s="169">
        <v>50000</v>
      </c>
      <c r="K126" s="160" t="s">
        <v>13</v>
      </c>
    </row>
    <row r="127" spans="1:11" x14ac:dyDescent="0.3">
      <c r="A127" s="160">
        <v>1</v>
      </c>
      <c r="B127" s="160">
        <v>143440002</v>
      </c>
      <c r="C127" s="160" t="s">
        <v>2573</v>
      </c>
      <c r="D127" s="160" t="s">
        <v>2574</v>
      </c>
      <c r="E127" s="160" t="s">
        <v>2614</v>
      </c>
      <c r="F127" s="160" t="s">
        <v>2622</v>
      </c>
      <c r="G127" s="163">
        <v>15</v>
      </c>
      <c r="H127" s="160" t="s">
        <v>2616</v>
      </c>
      <c r="I127" s="164">
        <v>45449</v>
      </c>
      <c r="J127" s="169">
        <v>100000</v>
      </c>
      <c r="K127" s="160" t="s">
        <v>13</v>
      </c>
    </row>
    <row r="128" spans="1:11" x14ac:dyDescent="0.3">
      <c r="A128" s="160">
        <v>1</v>
      </c>
      <c r="B128" s="160">
        <v>143440003</v>
      </c>
      <c r="C128" s="160" t="s">
        <v>2573</v>
      </c>
      <c r="D128" s="160" t="s">
        <v>2574</v>
      </c>
      <c r="E128" s="160" t="s">
        <v>2614</v>
      </c>
      <c r="F128" s="160" t="s">
        <v>2623</v>
      </c>
      <c r="G128" s="163">
        <v>16</v>
      </c>
      <c r="H128" s="160" t="s">
        <v>2616</v>
      </c>
      <c r="I128" s="164">
        <v>45743</v>
      </c>
      <c r="J128" s="169">
        <v>150000</v>
      </c>
      <c r="K128" s="160" t="s">
        <v>13</v>
      </c>
    </row>
    <row r="129" spans="1:11" x14ac:dyDescent="0.3">
      <c r="A129" s="160">
        <v>1</v>
      </c>
      <c r="C129" s="160" t="s">
        <v>2573</v>
      </c>
      <c r="D129" s="160" t="s">
        <v>2574</v>
      </c>
      <c r="E129" s="160" t="s">
        <v>2614</v>
      </c>
      <c r="F129" s="160" t="s">
        <v>2624</v>
      </c>
      <c r="G129" s="163">
        <v>2</v>
      </c>
      <c r="H129" s="160" t="s">
        <v>2616</v>
      </c>
      <c r="I129" s="164">
        <v>40302</v>
      </c>
      <c r="J129" s="166">
        <v>3000</v>
      </c>
      <c r="K129" s="168" t="s">
        <v>13</v>
      </c>
    </row>
    <row r="130" spans="1:11" x14ac:dyDescent="0.3">
      <c r="A130" s="160">
        <v>1</v>
      </c>
      <c r="C130" s="160" t="s">
        <v>2573</v>
      </c>
      <c r="D130" s="160" t="s">
        <v>2574</v>
      </c>
      <c r="E130" s="160" t="s">
        <v>2614</v>
      </c>
      <c r="F130" s="160" t="s">
        <v>2625</v>
      </c>
      <c r="G130" s="163">
        <v>3</v>
      </c>
      <c r="H130" s="160" t="s">
        <v>2616</v>
      </c>
      <c r="I130" s="164">
        <v>40758</v>
      </c>
      <c r="J130" s="166">
        <v>16000</v>
      </c>
      <c r="K130" s="167" t="s">
        <v>70</v>
      </c>
    </row>
    <row r="131" spans="1:11" x14ac:dyDescent="0.3">
      <c r="A131" s="160">
        <v>1</v>
      </c>
      <c r="C131" s="160" t="s">
        <v>2573</v>
      </c>
      <c r="D131" s="160" t="s">
        <v>2574</v>
      </c>
      <c r="E131" s="160" t="s">
        <v>2614</v>
      </c>
      <c r="F131" s="160" t="s">
        <v>2626</v>
      </c>
      <c r="G131" s="163">
        <v>4</v>
      </c>
      <c r="H131" s="160" t="s">
        <v>2616</v>
      </c>
      <c r="I131" s="164">
        <v>40961</v>
      </c>
      <c r="J131" s="166">
        <v>5000</v>
      </c>
      <c r="K131" s="167" t="s">
        <v>70</v>
      </c>
    </row>
    <row r="132" spans="1:11" x14ac:dyDescent="0.3">
      <c r="A132" s="160">
        <v>1</v>
      </c>
      <c r="C132" s="160" t="s">
        <v>2573</v>
      </c>
      <c r="D132" s="160" t="s">
        <v>2574</v>
      </c>
      <c r="E132" s="160" t="s">
        <v>2614</v>
      </c>
      <c r="F132" s="160" t="s">
        <v>2627</v>
      </c>
      <c r="G132" s="163">
        <v>5</v>
      </c>
      <c r="H132" s="160" t="s">
        <v>2616</v>
      </c>
      <c r="I132" s="164">
        <v>41620</v>
      </c>
      <c r="J132" s="166">
        <v>15000</v>
      </c>
      <c r="K132" s="168" t="s">
        <v>13</v>
      </c>
    </row>
    <row r="133" spans="1:11" x14ac:dyDescent="0.3">
      <c r="A133" s="160">
        <v>1</v>
      </c>
      <c r="B133" s="160" t="s">
        <v>2628</v>
      </c>
      <c r="C133" s="160" t="s">
        <v>2573</v>
      </c>
      <c r="D133" s="160" t="s">
        <v>2574</v>
      </c>
      <c r="E133" s="160" t="s">
        <v>2614</v>
      </c>
      <c r="F133" s="160" t="s">
        <v>2629</v>
      </c>
      <c r="G133" s="163">
        <v>6</v>
      </c>
      <c r="H133" s="160" t="s">
        <v>2616</v>
      </c>
      <c r="I133" s="164">
        <v>42124</v>
      </c>
      <c r="J133" s="166">
        <v>15000</v>
      </c>
      <c r="K133" s="168" t="s">
        <v>13</v>
      </c>
    </row>
    <row r="134" spans="1:11" x14ac:dyDescent="0.3">
      <c r="A134" s="160">
        <v>1</v>
      </c>
      <c r="B134" s="160" t="s">
        <v>2630</v>
      </c>
      <c r="C134" s="160" t="s">
        <v>2573</v>
      </c>
      <c r="D134" s="160" t="s">
        <v>2574</v>
      </c>
      <c r="E134" s="160" t="s">
        <v>2614</v>
      </c>
      <c r="F134" s="160" t="s">
        <v>2631</v>
      </c>
      <c r="G134" s="163">
        <v>7</v>
      </c>
      <c r="H134" s="160" t="s">
        <v>2616</v>
      </c>
      <c r="I134" s="164">
        <v>42391</v>
      </c>
      <c r="J134" s="166">
        <v>5000</v>
      </c>
      <c r="K134" s="168" t="s">
        <v>13</v>
      </c>
    </row>
    <row r="135" spans="1:11" x14ac:dyDescent="0.3">
      <c r="A135" s="160">
        <v>1</v>
      </c>
      <c r="B135" s="160" t="s">
        <v>2632</v>
      </c>
      <c r="C135" s="160" t="s">
        <v>2573</v>
      </c>
      <c r="D135" s="160" t="s">
        <v>2574</v>
      </c>
      <c r="E135" s="160" t="s">
        <v>2614</v>
      </c>
      <c r="F135" s="160" t="s">
        <v>2633</v>
      </c>
      <c r="G135" s="163">
        <v>8</v>
      </c>
      <c r="H135" s="160" t="s">
        <v>2616</v>
      </c>
      <c r="I135" s="164">
        <v>42662</v>
      </c>
      <c r="J135" s="166">
        <v>70000</v>
      </c>
      <c r="K135" s="168" t="s">
        <v>13</v>
      </c>
    </row>
    <row r="136" spans="1:11" x14ac:dyDescent="0.3">
      <c r="A136" s="160">
        <v>1</v>
      </c>
      <c r="B136" s="160">
        <v>34539</v>
      </c>
      <c r="C136" s="160" t="s">
        <v>2573</v>
      </c>
      <c r="D136" s="160" t="s">
        <v>2574</v>
      </c>
      <c r="E136" s="160" t="s">
        <v>2614</v>
      </c>
      <c r="F136" s="160" t="s">
        <v>2634</v>
      </c>
      <c r="G136" s="163">
        <v>9</v>
      </c>
      <c r="H136" s="160" t="s">
        <v>2616</v>
      </c>
      <c r="I136" s="164">
        <v>43553</v>
      </c>
      <c r="J136" s="169">
        <v>30000</v>
      </c>
      <c r="K136" s="160" t="s">
        <v>13</v>
      </c>
    </row>
    <row r="137" spans="1:11" x14ac:dyDescent="0.3">
      <c r="A137" s="160">
        <v>1</v>
      </c>
      <c r="B137" s="160" t="s">
        <v>2635</v>
      </c>
      <c r="C137" s="160" t="s">
        <v>2573</v>
      </c>
      <c r="D137" s="160" t="s">
        <v>2574</v>
      </c>
      <c r="E137" s="160" t="s">
        <v>2636</v>
      </c>
      <c r="F137" s="160" t="s">
        <v>2637</v>
      </c>
      <c r="G137" s="163">
        <v>1</v>
      </c>
      <c r="H137" s="160" t="s">
        <v>2638</v>
      </c>
      <c r="I137" s="164">
        <v>41873</v>
      </c>
      <c r="J137" s="166">
        <v>21000</v>
      </c>
      <c r="K137" s="168" t="s">
        <v>13</v>
      </c>
    </row>
    <row r="138" spans="1:11" x14ac:dyDescent="0.3">
      <c r="A138" s="160">
        <v>1</v>
      </c>
      <c r="B138" s="160" t="s">
        <v>2639</v>
      </c>
      <c r="C138" s="160" t="s">
        <v>2573</v>
      </c>
      <c r="D138" s="160" t="s">
        <v>2574</v>
      </c>
      <c r="E138" s="160" t="s">
        <v>2640</v>
      </c>
      <c r="F138" s="160" t="s">
        <v>2641</v>
      </c>
      <c r="G138" s="163">
        <v>1</v>
      </c>
      <c r="H138" s="160" t="s">
        <v>2642</v>
      </c>
      <c r="I138" s="164">
        <v>42482</v>
      </c>
      <c r="J138" s="166">
        <v>30000</v>
      </c>
      <c r="K138" s="167" t="s">
        <v>70</v>
      </c>
    </row>
    <row r="139" spans="1:11" x14ac:dyDescent="0.3">
      <c r="A139" s="160">
        <v>1</v>
      </c>
      <c r="B139" s="160">
        <v>27732</v>
      </c>
      <c r="C139" s="160" t="s">
        <v>2573</v>
      </c>
      <c r="D139" s="160" t="s">
        <v>2574</v>
      </c>
      <c r="E139" s="160" t="s">
        <v>2640</v>
      </c>
      <c r="F139" s="160" t="s">
        <v>2643</v>
      </c>
      <c r="G139" s="163">
        <v>2</v>
      </c>
      <c r="H139" s="160" t="s">
        <v>2644</v>
      </c>
      <c r="I139" s="164">
        <v>43439</v>
      </c>
      <c r="J139" s="169">
        <v>30000</v>
      </c>
      <c r="K139" s="160" t="s">
        <v>13</v>
      </c>
    </row>
    <row r="140" spans="1:11" ht="13" customHeight="1" x14ac:dyDescent="0.3">
      <c r="A140" s="160">
        <v>1</v>
      </c>
      <c r="B140" s="160" t="s">
        <v>2645</v>
      </c>
      <c r="C140" s="160" t="s">
        <v>2573</v>
      </c>
      <c r="D140" s="160" t="s">
        <v>2574</v>
      </c>
      <c r="E140" s="160" t="s">
        <v>2646</v>
      </c>
      <c r="F140" s="160" t="s">
        <v>2647</v>
      </c>
      <c r="G140" s="163">
        <v>1</v>
      </c>
      <c r="H140" s="160" t="s">
        <v>2648</v>
      </c>
      <c r="I140" s="164">
        <v>41863</v>
      </c>
      <c r="J140" s="166">
        <v>10000</v>
      </c>
      <c r="K140" s="168" t="s">
        <v>13</v>
      </c>
    </row>
    <row r="141" spans="1:11" ht="13" customHeight="1" x14ac:dyDescent="0.3">
      <c r="A141" s="160">
        <v>1</v>
      </c>
      <c r="B141" s="160" t="s">
        <v>2649</v>
      </c>
      <c r="C141" s="160" t="s">
        <v>2573</v>
      </c>
      <c r="D141" s="160" t="s">
        <v>2574</v>
      </c>
      <c r="E141" s="160" t="s">
        <v>2646</v>
      </c>
      <c r="F141" s="160" t="s">
        <v>2650</v>
      </c>
      <c r="G141" s="163">
        <v>2</v>
      </c>
      <c r="H141" s="160" t="s">
        <v>2648</v>
      </c>
      <c r="I141" s="164">
        <v>42346</v>
      </c>
      <c r="J141" s="166">
        <v>10000</v>
      </c>
      <c r="K141" s="167" t="s">
        <v>70</v>
      </c>
    </row>
    <row r="142" spans="1:11" ht="13" customHeight="1" x14ac:dyDescent="0.3">
      <c r="A142" s="160">
        <v>1</v>
      </c>
      <c r="B142" s="160" t="s">
        <v>2651</v>
      </c>
      <c r="C142" s="160" t="s">
        <v>2573</v>
      </c>
      <c r="D142" s="160" t="s">
        <v>2574</v>
      </c>
      <c r="E142" s="160" t="s">
        <v>2646</v>
      </c>
      <c r="F142" s="160" t="s">
        <v>2652</v>
      </c>
      <c r="G142" s="163">
        <v>3</v>
      </c>
      <c r="H142" s="160" t="s">
        <v>2648</v>
      </c>
      <c r="I142" s="164">
        <v>42950</v>
      </c>
      <c r="J142" s="169">
        <v>8000</v>
      </c>
      <c r="K142" s="160" t="s">
        <v>70</v>
      </c>
    </row>
    <row r="143" spans="1:11" ht="13" customHeight="1" x14ac:dyDescent="0.3">
      <c r="A143" s="160">
        <v>1</v>
      </c>
      <c r="B143" s="160">
        <v>97998</v>
      </c>
      <c r="C143" s="160" t="s">
        <v>2573</v>
      </c>
      <c r="D143" s="160" t="s">
        <v>2574</v>
      </c>
      <c r="E143" s="160" t="s">
        <v>2646</v>
      </c>
      <c r="F143" s="160" t="s">
        <v>2653</v>
      </c>
      <c r="G143" s="163">
        <v>4</v>
      </c>
      <c r="H143" s="160" t="s">
        <v>2648</v>
      </c>
      <c r="I143" s="164">
        <v>44354</v>
      </c>
      <c r="J143" s="169">
        <v>6000</v>
      </c>
      <c r="K143" s="160" t="s">
        <v>2410</v>
      </c>
    </row>
    <row r="144" spans="1:11" ht="13" customHeight="1" x14ac:dyDescent="0.3">
      <c r="A144" s="160">
        <v>1</v>
      </c>
      <c r="B144" s="160">
        <v>138457</v>
      </c>
      <c r="C144" s="160" t="s">
        <v>2573</v>
      </c>
      <c r="D144" s="160" t="s">
        <v>2574</v>
      </c>
      <c r="E144" s="160" t="s">
        <v>2646</v>
      </c>
      <c r="F144" s="160" t="s">
        <v>2654</v>
      </c>
      <c r="G144" s="163">
        <v>5</v>
      </c>
      <c r="H144" s="160" t="s">
        <v>2648</v>
      </c>
      <c r="I144" s="164">
        <v>44690</v>
      </c>
      <c r="J144" s="169">
        <v>15000</v>
      </c>
      <c r="K144" s="160" t="s">
        <v>13</v>
      </c>
    </row>
    <row r="145" spans="1:11" x14ac:dyDescent="0.3">
      <c r="A145" s="160">
        <v>1</v>
      </c>
      <c r="B145" s="160">
        <v>581100001</v>
      </c>
      <c r="C145" s="160" t="s">
        <v>2573</v>
      </c>
      <c r="D145" s="160" t="s">
        <v>2574</v>
      </c>
      <c r="E145" s="160" t="s">
        <v>2646</v>
      </c>
      <c r="F145" s="160" t="s">
        <v>2655</v>
      </c>
      <c r="G145" s="163">
        <v>6</v>
      </c>
      <c r="H145" s="160" t="s">
        <v>2648</v>
      </c>
      <c r="I145" s="164">
        <v>45135</v>
      </c>
      <c r="J145" s="165">
        <v>20000</v>
      </c>
      <c r="K145" s="160" t="s">
        <v>13</v>
      </c>
    </row>
    <row r="146" spans="1:11" x14ac:dyDescent="0.3">
      <c r="A146" s="160">
        <v>1</v>
      </c>
      <c r="B146" s="160">
        <v>581100003</v>
      </c>
      <c r="C146" s="160" t="s">
        <v>2573</v>
      </c>
      <c r="D146" s="160" t="s">
        <v>2574</v>
      </c>
      <c r="E146" s="160" t="s">
        <v>2646</v>
      </c>
      <c r="F146" s="160" t="s">
        <v>2656</v>
      </c>
      <c r="G146" s="163">
        <v>7</v>
      </c>
      <c r="H146" s="160" t="s">
        <v>2648</v>
      </c>
      <c r="I146" s="164">
        <v>45567</v>
      </c>
      <c r="J146" s="169">
        <v>40000</v>
      </c>
      <c r="K146" s="160" t="s">
        <v>13</v>
      </c>
    </row>
    <row r="147" spans="1:11" x14ac:dyDescent="0.3">
      <c r="A147" s="160">
        <v>1</v>
      </c>
      <c r="B147" s="160" t="s">
        <v>2657</v>
      </c>
      <c r="C147" s="160" t="s">
        <v>2573</v>
      </c>
      <c r="D147" s="160" t="s">
        <v>2574</v>
      </c>
      <c r="E147" s="160" t="s">
        <v>2658</v>
      </c>
      <c r="F147" s="160" t="s">
        <v>2659</v>
      </c>
      <c r="G147" s="163">
        <v>1</v>
      </c>
      <c r="H147" s="160" t="s">
        <v>2660</v>
      </c>
      <c r="I147" s="164">
        <v>42341</v>
      </c>
      <c r="J147" s="166">
        <v>20000</v>
      </c>
      <c r="K147" s="167" t="s">
        <v>70</v>
      </c>
    </row>
    <row r="148" spans="1:11" ht="13" customHeight="1" x14ac:dyDescent="0.3">
      <c r="A148" s="160">
        <v>1</v>
      </c>
      <c r="B148" s="160">
        <v>101737</v>
      </c>
      <c r="C148" s="160" t="s">
        <v>2573</v>
      </c>
      <c r="D148" s="160" t="s">
        <v>2574</v>
      </c>
      <c r="E148" s="160" t="s">
        <v>2661</v>
      </c>
      <c r="F148" s="160" t="s">
        <v>2662</v>
      </c>
      <c r="G148" s="163">
        <v>1</v>
      </c>
      <c r="H148" s="160" t="s">
        <v>2663</v>
      </c>
      <c r="I148" s="164">
        <v>44389</v>
      </c>
      <c r="J148" s="165">
        <v>10000</v>
      </c>
      <c r="K148" s="160" t="s">
        <v>13</v>
      </c>
    </row>
    <row r="149" spans="1:11" ht="13" customHeight="1" x14ac:dyDescent="0.3">
      <c r="A149" s="160">
        <v>1</v>
      </c>
      <c r="B149" s="160">
        <v>146196</v>
      </c>
      <c r="C149" s="160" t="s">
        <v>2573</v>
      </c>
      <c r="D149" s="160" t="s">
        <v>2574</v>
      </c>
      <c r="E149" s="160" t="s">
        <v>2661</v>
      </c>
      <c r="F149" s="160" t="s">
        <v>2664</v>
      </c>
      <c r="G149" s="163">
        <v>2</v>
      </c>
      <c r="H149" s="160" t="s">
        <v>2663</v>
      </c>
      <c r="I149" s="164">
        <v>44748</v>
      </c>
      <c r="J149" s="169">
        <v>20000</v>
      </c>
      <c r="K149" s="160" t="s">
        <v>13</v>
      </c>
    </row>
    <row r="150" spans="1:11" x14ac:dyDescent="0.3">
      <c r="A150" s="160">
        <v>1</v>
      </c>
      <c r="C150" s="160" t="s">
        <v>2573</v>
      </c>
      <c r="D150" s="160" t="s">
        <v>2574</v>
      </c>
      <c r="F150" s="160" t="s">
        <v>2665</v>
      </c>
      <c r="G150" s="163">
        <v>1</v>
      </c>
      <c r="H150" s="160" t="s">
        <v>2666</v>
      </c>
      <c r="I150" s="164">
        <v>40651</v>
      </c>
      <c r="J150" s="166">
        <v>3000</v>
      </c>
      <c r="K150" s="168" t="s">
        <v>13</v>
      </c>
    </row>
    <row r="151" spans="1:11" ht="13" customHeight="1" x14ac:dyDescent="0.3">
      <c r="A151" s="160">
        <v>1</v>
      </c>
      <c r="B151" s="160">
        <v>143028</v>
      </c>
      <c r="C151" s="160" t="s">
        <v>2573</v>
      </c>
      <c r="D151" s="160" t="s">
        <v>2574</v>
      </c>
      <c r="F151" s="160" t="s">
        <v>2667</v>
      </c>
      <c r="G151" s="163">
        <v>1</v>
      </c>
      <c r="H151" s="160" t="s">
        <v>2668</v>
      </c>
      <c r="I151" s="164">
        <v>44725</v>
      </c>
      <c r="J151" s="165">
        <v>80000</v>
      </c>
      <c r="K151" s="160" t="s">
        <v>13</v>
      </c>
    </row>
    <row r="152" spans="1:11" ht="13" customHeight="1" x14ac:dyDescent="0.3">
      <c r="A152" s="160">
        <v>1</v>
      </c>
      <c r="C152" s="160" t="s">
        <v>2573</v>
      </c>
      <c r="D152" s="160" t="s">
        <v>2574</v>
      </c>
      <c r="E152" s="160" t="s">
        <v>2669</v>
      </c>
      <c r="F152" s="160" t="s">
        <v>2670</v>
      </c>
      <c r="G152" s="163">
        <v>1</v>
      </c>
      <c r="H152" s="160" t="s">
        <v>2671</v>
      </c>
      <c r="I152" s="164">
        <v>40443</v>
      </c>
      <c r="J152" s="166">
        <v>1200</v>
      </c>
      <c r="K152" s="170" t="s">
        <v>2410</v>
      </c>
    </row>
    <row r="153" spans="1:11" ht="13" customHeight="1" x14ac:dyDescent="0.3">
      <c r="A153" s="160">
        <v>1</v>
      </c>
      <c r="C153" s="160" t="s">
        <v>2573</v>
      </c>
      <c r="D153" s="160" t="s">
        <v>2574</v>
      </c>
      <c r="E153" s="160" t="s">
        <v>2669</v>
      </c>
      <c r="F153" s="160" t="s">
        <v>2672</v>
      </c>
      <c r="G153" s="163">
        <v>2</v>
      </c>
      <c r="H153" s="160" t="s">
        <v>2671</v>
      </c>
      <c r="I153" s="164">
        <v>40623</v>
      </c>
      <c r="J153" s="166">
        <v>5000</v>
      </c>
      <c r="K153" s="175" t="s">
        <v>55</v>
      </c>
    </row>
    <row r="154" spans="1:11" ht="14.5" customHeight="1" x14ac:dyDescent="0.3">
      <c r="A154" s="160">
        <v>1</v>
      </c>
      <c r="C154" s="160" t="s">
        <v>2573</v>
      </c>
      <c r="D154" s="160" t="s">
        <v>2574</v>
      </c>
      <c r="E154" s="160" t="s">
        <v>2669</v>
      </c>
      <c r="F154" s="160" t="s">
        <v>2673</v>
      </c>
      <c r="G154" s="163">
        <v>3</v>
      </c>
      <c r="H154" s="160" t="s">
        <v>2671</v>
      </c>
      <c r="I154" s="164">
        <v>41417</v>
      </c>
      <c r="J154" s="166">
        <v>7000</v>
      </c>
      <c r="K154" s="168" t="s">
        <v>13</v>
      </c>
    </row>
    <row r="155" spans="1:11" x14ac:dyDescent="0.3">
      <c r="A155" s="160">
        <v>1</v>
      </c>
      <c r="B155" s="160" t="s">
        <v>2674</v>
      </c>
      <c r="C155" s="160" t="s">
        <v>2573</v>
      </c>
      <c r="D155" s="160" t="s">
        <v>2574</v>
      </c>
      <c r="E155" s="160" t="s">
        <v>2669</v>
      </c>
      <c r="F155" s="160" t="s">
        <v>2675</v>
      </c>
      <c r="G155" s="163">
        <v>4</v>
      </c>
      <c r="H155" s="160" t="s">
        <v>2671</v>
      </c>
      <c r="I155" s="164">
        <v>42159</v>
      </c>
      <c r="J155" s="166">
        <v>65000</v>
      </c>
      <c r="K155" s="167" t="s">
        <v>70</v>
      </c>
    </row>
    <row r="156" spans="1:11" ht="13" customHeight="1" x14ac:dyDescent="0.3">
      <c r="A156" s="160">
        <v>1</v>
      </c>
      <c r="B156" s="160">
        <v>153383</v>
      </c>
      <c r="C156" s="160" t="s">
        <v>2573</v>
      </c>
      <c r="D156" s="160" t="s">
        <v>2574</v>
      </c>
      <c r="F156" s="176" t="s">
        <v>2676</v>
      </c>
      <c r="G156" s="163">
        <v>1</v>
      </c>
      <c r="H156" s="160" t="s">
        <v>2677</v>
      </c>
      <c r="I156" s="164">
        <v>44805</v>
      </c>
      <c r="J156" s="165">
        <v>40000</v>
      </c>
      <c r="K156" s="160" t="s">
        <v>13</v>
      </c>
    </row>
    <row r="157" spans="1:11" ht="13" customHeight="1" x14ac:dyDescent="0.3">
      <c r="A157" s="160">
        <v>1</v>
      </c>
      <c r="B157" s="160">
        <v>122028</v>
      </c>
      <c r="C157" s="160" t="s">
        <v>2573</v>
      </c>
      <c r="D157" s="160" t="s">
        <v>2574</v>
      </c>
      <c r="F157" s="160" t="s">
        <v>2678</v>
      </c>
      <c r="G157" s="163">
        <v>1</v>
      </c>
      <c r="H157" s="160" t="s">
        <v>2679</v>
      </c>
      <c r="I157" s="164">
        <v>44536</v>
      </c>
      <c r="J157" s="165">
        <v>15000</v>
      </c>
      <c r="K157" s="160" t="s">
        <v>13</v>
      </c>
    </row>
    <row r="158" spans="1:11" ht="13" customHeight="1" x14ac:dyDescent="0.3">
      <c r="A158" s="160">
        <v>1</v>
      </c>
      <c r="B158" s="160">
        <v>138376</v>
      </c>
      <c r="C158" s="160" t="s">
        <v>2573</v>
      </c>
      <c r="D158" s="160" t="s">
        <v>2574</v>
      </c>
      <c r="F158" s="160" t="s">
        <v>2680</v>
      </c>
      <c r="G158" s="163">
        <v>2</v>
      </c>
      <c r="H158" s="160" t="s">
        <v>2679</v>
      </c>
      <c r="I158" s="164">
        <v>44690</v>
      </c>
      <c r="J158" s="165">
        <v>70000</v>
      </c>
      <c r="K158" s="160" t="s">
        <v>70</v>
      </c>
    </row>
    <row r="159" spans="1:11" x14ac:dyDescent="0.3">
      <c r="A159" s="160">
        <v>1</v>
      </c>
      <c r="B159" s="160">
        <v>10904844</v>
      </c>
      <c r="C159" s="160" t="s">
        <v>2573</v>
      </c>
      <c r="D159" s="160" t="s">
        <v>2574</v>
      </c>
      <c r="F159" s="160" t="s">
        <v>2681</v>
      </c>
      <c r="G159" s="163">
        <v>3</v>
      </c>
      <c r="H159" s="160" t="s">
        <v>2679</v>
      </c>
      <c r="I159" s="164">
        <v>44890</v>
      </c>
      <c r="J159" s="165">
        <v>10000</v>
      </c>
      <c r="K159" s="160" t="s">
        <v>2410</v>
      </c>
    </row>
    <row r="160" spans="1:11" x14ac:dyDescent="0.3">
      <c r="A160" s="160">
        <v>1</v>
      </c>
      <c r="B160" s="160">
        <v>5126120001</v>
      </c>
      <c r="C160" s="160" t="s">
        <v>2573</v>
      </c>
      <c r="D160" s="160" t="s">
        <v>2574</v>
      </c>
      <c r="F160" s="160" t="s">
        <v>2682</v>
      </c>
      <c r="G160" s="163">
        <v>4</v>
      </c>
      <c r="H160" s="160" t="s">
        <v>2679</v>
      </c>
      <c r="I160" s="164">
        <v>45240</v>
      </c>
      <c r="J160" s="165">
        <v>11000</v>
      </c>
      <c r="K160" s="160" t="s">
        <v>2410</v>
      </c>
    </row>
    <row r="161" spans="1:11" x14ac:dyDescent="0.3">
      <c r="A161" s="160">
        <v>1</v>
      </c>
      <c r="B161" s="160">
        <v>5126120002</v>
      </c>
      <c r="C161" s="160" t="s">
        <v>2573</v>
      </c>
      <c r="D161" s="160" t="s">
        <v>2574</v>
      </c>
      <c r="F161" s="160" t="s">
        <v>2683</v>
      </c>
      <c r="G161" s="163">
        <v>5</v>
      </c>
      <c r="H161" s="160" t="s">
        <v>2679</v>
      </c>
      <c r="I161" s="164">
        <v>45491</v>
      </c>
      <c r="J161" s="165">
        <v>150000</v>
      </c>
      <c r="K161" s="160" t="s">
        <v>13</v>
      </c>
    </row>
    <row r="162" spans="1:11" x14ac:dyDescent="0.3">
      <c r="A162" s="160">
        <v>1</v>
      </c>
      <c r="B162" s="160">
        <v>4934790001</v>
      </c>
      <c r="C162" s="160" t="s">
        <v>2573</v>
      </c>
      <c r="D162" s="160" t="s">
        <v>2574</v>
      </c>
      <c r="F162" s="160" t="s">
        <v>2684</v>
      </c>
      <c r="G162" s="163">
        <v>1</v>
      </c>
      <c r="H162" s="160" t="s">
        <v>2685</v>
      </c>
      <c r="I162" s="164">
        <v>45327</v>
      </c>
      <c r="J162" s="165">
        <v>150000</v>
      </c>
      <c r="K162" s="160" t="s">
        <v>13</v>
      </c>
    </row>
    <row r="163" spans="1:11" x14ac:dyDescent="0.3">
      <c r="A163" s="160">
        <v>1</v>
      </c>
      <c r="B163" s="160">
        <v>6141910001</v>
      </c>
      <c r="C163" s="160" t="s">
        <v>2573</v>
      </c>
      <c r="D163" s="160" t="s">
        <v>2574</v>
      </c>
      <c r="F163" s="160" t="s">
        <v>2686</v>
      </c>
      <c r="G163" s="163">
        <v>1</v>
      </c>
      <c r="H163" s="160" t="s">
        <v>2687</v>
      </c>
      <c r="I163" s="164">
        <v>45247</v>
      </c>
      <c r="J163" s="165">
        <v>200000</v>
      </c>
      <c r="K163" s="160" t="s">
        <v>13</v>
      </c>
    </row>
    <row r="164" spans="1:11" x14ac:dyDescent="0.3">
      <c r="A164" s="160">
        <v>1</v>
      </c>
      <c r="B164" s="160">
        <v>6141910002</v>
      </c>
      <c r="C164" s="160" t="s">
        <v>2573</v>
      </c>
      <c r="D164" s="160" t="s">
        <v>2574</v>
      </c>
      <c r="F164" s="160" t="s">
        <v>2688</v>
      </c>
      <c r="G164" s="163">
        <v>2</v>
      </c>
      <c r="H164" s="160" t="s">
        <v>2687</v>
      </c>
      <c r="I164" s="164">
        <v>45512</v>
      </c>
      <c r="J164" s="165">
        <v>300000</v>
      </c>
      <c r="K164" s="160" t="s">
        <v>13</v>
      </c>
    </row>
    <row r="165" spans="1:11" x14ac:dyDescent="0.3">
      <c r="A165" s="160">
        <v>1</v>
      </c>
      <c r="B165" s="160">
        <v>6141910003</v>
      </c>
      <c r="C165" s="160" t="s">
        <v>2573</v>
      </c>
      <c r="D165" s="160" t="s">
        <v>2574</v>
      </c>
      <c r="F165" s="160" t="s">
        <v>2689</v>
      </c>
      <c r="G165" s="163">
        <v>3</v>
      </c>
      <c r="H165" s="160" t="s">
        <v>2687</v>
      </c>
      <c r="I165" s="164">
        <v>45891</v>
      </c>
      <c r="J165" s="165">
        <v>350000</v>
      </c>
      <c r="K165" s="160" t="s">
        <v>13</v>
      </c>
    </row>
    <row r="166" spans="1:11" x14ac:dyDescent="0.3">
      <c r="A166" s="160">
        <v>1</v>
      </c>
      <c r="B166" s="160">
        <v>6050900001</v>
      </c>
      <c r="C166" s="160" t="s">
        <v>2573</v>
      </c>
      <c r="D166" s="160" t="s">
        <v>2574</v>
      </c>
      <c r="F166" s="160" t="s">
        <v>2690</v>
      </c>
      <c r="G166" s="163">
        <v>1</v>
      </c>
      <c r="H166" s="160" t="s">
        <v>2691</v>
      </c>
      <c r="I166" s="164">
        <v>45244</v>
      </c>
      <c r="J166" s="165">
        <v>50000</v>
      </c>
      <c r="K166" s="160" t="s">
        <v>13</v>
      </c>
    </row>
    <row r="167" spans="1:11" ht="13" customHeight="1" x14ac:dyDescent="0.3">
      <c r="A167" s="160">
        <v>1</v>
      </c>
      <c r="B167" s="160">
        <v>127913</v>
      </c>
      <c r="C167" s="160" t="s">
        <v>2573</v>
      </c>
      <c r="D167" s="160" t="s">
        <v>2574</v>
      </c>
      <c r="F167" s="160" t="s">
        <v>2692</v>
      </c>
      <c r="G167" s="163">
        <v>1</v>
      </c>
      <c r="H167" s="160" t="s">
        <v>2693</v>
      </c>
      <c r="I167" s="164">
        <v>44708</v>
      </c>
      <c r="J167" s="169">
        <v>70000</v>
      </c>
      <c r="K167" s="160" t="s">
        <v>70</v>
      </c>
    </row>
    <row r="168" spans="1:11" ht="13" customHeight="1" x14ac:dyDescent="0.3">
      <c r="A168" s="160">
        <v>1</v>
      </c>
      <c r="B168" s="160" t="s">
        <v>2694</v>
      </c>
      <c r="C168" s="160" t="s">
        <v>2573</v>
      </c>
      <c r="D168" s="160" t="s">
        <v>2574</v>
      </c>
      <c r="E168" s="160" t="s">
        <v>2695</v>
      </c>
      <c r="F168" s="160" t="s">
        <v>2696</v>
      </c>
      <c r="G168" s="163">
        <v>1</v>
      </c>
      <c r="H168" s="160" t="s">
        <v>2697</v>
      </c>
      <c r="I168" s="164">
        <v>42032</v>
      </c>
      <c r="J168" s="166">
        <v>30000</v>
      </c>
      <c r="K168" s="167" t="s">
        <v>70</v>
      </c>
    </row>
    <row r="169" spans="1:11" ht="13" customHeight="1" x14ac:dyDescent="0.3">
      <c r="A169" s="160">
        <v>1</v>
      </c>
      <c r="B169" s="160" t="s">
        <v>2698</v>
      </c>
      <c r="C169" s="160" t="s">
        <v>2573</v>
      </c>
      <c r="D169" s="160" t="s">
        <v>2574</v>
      </c>
      <c r="E169" s="160" t="s">
        <v>2695</v>
      </c>
      <c r="F169" s="160" t="s">
        <v>2699</v>
      </c>
      <c r="G169" s="163">
        <v>2</v>
      </c>
      <c r="H169" s="160" t="s">
        <v>2700</v>
      </c>
      <c r="I169" s="164">
        <v>43273</v>
      </c>
      <c r="J169" s="169">
        <v>50000</v>
      </c>
      <c r="K169" s="160" t="s">
        <v>70</v>
      </c>
    </row>
    <row r="170" spans="1:11" ht="13" customHeight="1" x14ac:dyDescent="0.3">
      <c r="A170" s="160">
        <v>1</v>
      </c>
      <c r="B170" s="160">
        <v>154317</v>
      </c>
      <c r="C170" s="160" t="s">
        <v>2573</v>
      </c>
      <c r="D170" s="160" t="s">
        <v>2574</v>
      </c>
      <c r="F170" s="176" t="s">
        <v>2701</v>
      </c>
      <c r="G170" s="163">
        <v>1</v>
      </c>
      <c r="H170" s="160" t="s">
        <v>2702</v>
      </c>
      <c r="I170" s="164">
        <v>44816</v>
      </c>
      <c r="J170" s="169">
        <v>15000</v>
      </c>
      <c r="K170" s="160" t="s">
        <v>13</v>
      </c>
    </row>
    <row r="171" spans="1:11" ht="13" customHeight="1" x14ac:dyDescent="0.3">
      <c r="A171" s="160">
        <v>1</v>
      </c>
      <c r="B171" s="160">
        <v>4284800002</v>
      </c>
      <c r="C171" s="160" t="s">
        <v>2573</v>
      </c>
      <c r="D171" s="160" t="s">
        <v>2574</v>
      </c>
      <c r="F171" s="160" t="s">
        <v>2703</v>
      </c>
      <c r="G171" s="163">
        <v>2</v>
      </c>
      <c r="H171" s="160" t="s">
        <v>2702</v>
      </c>
      <c r="I171" s="164">
        <v>45222</v>
      </c>
      <c r="J171" s="169">
        <v>20000</v>
      </c>
      <c r="K171" s="160" t="s">
        <v>13</v>
      </c>
    </row>
    <row r="172" spans="1:11" ht="13" customHeight="1" x14ac:dyDescent="0.3">
      <c r="A172" s="160">
        <v>1</v>
      </c>
      <c r="B172" s="160">
        <v>4284800003</v>
      </c>
      <c r="C172" s="160" t="s">
        <v>2573</v>
      </c>
      <c r="D172" s="160" t="s">
        <v>2574</v>
      </c>
      <c r="F172" s="160" t="s">
        <v>2704</v>
      </c>
      <c r="G172" s="163">
        <v>3</v>
      </c>
      <c r="H172" s="160" t="s">
        <v>2702</v>
      </c>
      <c r="I172" s="164">
        <v>45497</v>
      </c>
      <c r="J172" s="169">
        <v>30000</v>
      </c>
      <c r="K172" s="160" t="s">
        <v>13</v>
      </c>
    </row>
    <row r="173" spans="1:11" ht="13" customHeight="1" x14ac:dyDescent="0.3">
      <c r="A173" s="160">
        <v>1</v>
      </c>
      <c r="B173" s="160">
        <v>4243180001</v>
      </c>
      <c r="C173" s="160" t="s">
        <v>2573</v>
      </c>
      <c r="D173" s="160" t="s">
        <v>2574</v>
      </c>
      <c r="F173" s="160" t="s">
        <v>2705</v>
      </c>
      <c r="G173" s="163">
        <v>1</v>
      </c>
      <c r="H173" s="160" t="s">
        <v>2706</v>
      </c>
      <c r="I173" s="164">
        <v>45230</v>
      </c>
      <c r="J173" s="169">
        <v>40000</v>
      </c>
      <c r="K173" s="160" t="s">
        <v>13</v>
      </c>
    </row>
    <row r="174" spans="1:11" ht="13" customHeight="1" x14ac:dyDescent="0.3">
      <c r="A174" s="160">
        <v>1</v>
      </c>
      <c r="B174" s="160">
        <v>4243180002</v>
      </c>
      <c r="C174" s="160" t="s">
        <v>2573</v>
      </c>
      <c r="D174" s="160" t="s">
        <v>2574</v>
      </c>
      <c r="F174" s="160" t="s">
        <v>2707</v>
      </c>
      <c r="G174" s="163">
        <v>2</v>
      </c>
      <c r="H174" s="160" t="s">
        <v>2706</v>
      </c>
      <c r="I174" s="164">
        <v>45558</v>
      </c>
      <c r="J174" s="169">
        <v>100000</v>
      </c>
      <c r="K174" s="160" t="s">
        <v>13</v>
      </c>
    </row>
    <row r="175" spans="1:11" ht="13" customHeight="1" x14ac:dyDescent="0.3">
      <c r="A175" s="160">
        <v>1</v>
      </c>
      <c r="B175" s="160">
        <v>4243180003</v>
      </c>
      <c r="C175" s="160" t="s">
        <v>2573</v>
      </c>
      <c r="D175" s="160" t="s">
        <v>2574</v>
      </c>
      <c r="F175" s="160" t="s">
        <v>2708</v>
      </c>
      <c r="G175" s="163">
        <v>3</v>
      </c>
      <c r="H175" s="160" t="s">
        <v>2706</v>
      </c>
      <c r="I175" s="164">
        <v>45905</v>
      </c>
      <c r="J175" s="169">
        <v>100000</v>
      </c>
      <c r="K175" s="160" t="s">
        <v>13</v>
      </c>
    </row>
    <row r="176" spans="1:11" ht="13" customHeight="1" x14ac:dyDescent="0.3">
      <c r="A176" s="160">
        <v>1</v>
      </c>
      <c r="C176" s="160" t="s">
        <v>2573</v>
      </c>
      <c r="D176" s="160" t="s">
        <v>2574</v>
      </c>
      <c r="F176" s="160" t="s">
        <v>2709</v>
      </c>
      <c r="G176" s="163">
        <v>1</v>
      </c>
      <c r="H176" s="160" t="s">
        <v>2710</v>
      </c>
      <c r="I176" s="164">
        <v>40423</v>
      </c>
      <c r="J176" s="166">
        <v>2500</v>
      </c>
      <c r="K176" s="168" t="s">
        <v>13</v>
      </c>
    </row>
    <row r="177" spans="1:11" ht="13" customHeight="1" x14ac:dyDescent="0.3">
      <c r="A177" s="160">
        <v>1</v>
      </c>
      <c r="B177" s="160" t="s">
        <v>2711</v>
      </c>
      <c r="C177" s="160" t="s">
        <v>2573</v>
      </c>
      <c r="D177" s="160" t="s">
        <v>2574</v>
      </c>
      <c r="E177" s="160" t="s">
        <v>2712</v>
      </c>
      <c r="F177" s="160" t="s">
        <v>2713</v>
      </c>
      <c r="G177" s="163">
        <v>1</v>
      </c>
      <c r="H177" s="160" t="s">
        <v>2714</v>
      </c>
      <c r="I177" s="164">
        <v>41926</v>
      </c>
      <c r="J177" s="166">
        <v>30000</v>
      </c>
      <c r="K177" s="168" t="s">
        <v>13</v>
      </c>
    </row>
    <row r="178" spans="1:11" ht="13" customHeight="1" x14ac:dyDescent="0.3">
      <c r="A178" s="160">
        <v>1</v>
      </c>
      <c r="B178" s="160">
        <v>55137</v>
      </c>
      <c r="C178" s="160" t="s">
        <v>2573</v>
      </c>
      <c r="D178" s="160" t="s">
        <v>2574</v>
      </c>
      <c r="E178" s="160" t="s">
        <v>2712</v>
      </c>
      <c r="F178" s="160" t="s">
        <v>2715</v>
      </c>
      <c r="G178" s="163">
        <v>2</v>
      </c>
      <c r="H178" s="160" t="s">
        <v>2714</v>
      </c>
      <c r="I178" s="164">
        <v>43822</v>
      </c>
      <c r="J178" s="169">
        <v>50000</v>
      </c>
      <c r="K178" s="160" t="s">
        <v>13</v>
      </c>
    </row>
    <row r="179" spans="1:11" x14ac:dyDescent="0.3">
      <c r="A179" s="160">
        <v>1</v>
      </c>
      <c r="B179" s="160">
        <v>110006</v>
      </c>
      <c r="C179" s="160" t="s">
        <v>2573</v>
      </c>
      <c r="D179" s="160" t="s">
        <v>2574</v>
      </c>
      <c r="E179" s="160" t="s">
        <v>2712</v>
      </c>
      <c r="F179" s="160" t="s">
        <v>2716</v>
      </c>
      <c r="G179" s="163">
        <v>3</v>
      </c>
      <c r="H179" s="160" t="s">
        <v>2714</v>
      </c>
      <c r="I179" s="164">
        <v>44438</v>
      </c>
      <c r="J179" s="169">
        <v>200000</v>
      </c>
      <c r="K179" s="160" t="s">
        <v>13</v>
      </c>
    </row>
    <row r="180" spans="1:11" x14ac:dyDescent="0.3">
      <c r="A180" s="160">
        <v>1</v>
      </c>
      <c r="B180" s="160">
        <v>1614010001</v>
      </c>
      <c r="C180" s="160" t="s">
        <v>2573</v>
      </c>
      <c r="D180" s="160" t="s">
        <v>2574</v>
      </c>
      <c r="E180" s="160" t="s">
        <v>2712</v>
      </c>
      <c r="F180" s="160" t="s">
        <v>2717</v>
      </c>
      <c r="G180" s="163">
        <v>4</v>
      </c>
      <c r="H180" s="160" t="s">
        <v>2714</v>
      </c>
      <c r="I180" s="164">
        <v>45419</v>
      </c>
      <c r="J180" s="169">
        <v>40000</v>
      </c>
      <c r="K180" s="160" t="s">
        <v>13</v>
      </c>
    </row>
    <row r="181" spans="1:11" ht="13" customHeight="1" x14ac:dyDescent="0.3">
      <c r="A181" s="160">
        <v>1</v>
      </c>
      <c r="C181" s="160" t="s">
        <v>2573</v>
      </c>
      <c r="D181" s="160" t="s">
        <v>2574</v>
      </c>
      <c r="F181" s="160" t="s">
        <v>2718</v>
      </c>
      <c r="G181" s="163">
        <v>1</v>
      </c>
      <c r="H181" s="160" t="s">
        <v>2719</v>
      </c>
      <c r="I181" s="164">
        <v>40441</v>
      </c>
      <c r="J181" s="166">
        <v>7000</v>
      </c>
      <c r="K181" s="168" t="s">
        <v>13</v>
      </c>
    </row>
    <row r="182" spans="1:11" ht="13" customHeight="1" x14ac:dyDescent="0.3">
      <c r="A182" s="160">
        <v>1</v>
      </c>
      <c r="B182" s="160" t="s">
        <v>2720</v>
      </c>
      <c r="C182" s="160" t="s">
        <v>2573</v>
      </c>
      <c r="D182" s="160" t="s">
        <v>2574</v>
      </c>
      <c r="E182" s="160" t="s">
        <v>2721</v>
      </c>
      <c r="F182" s="160" t="s">
        <v>2722</v>
      </c>
      <c r="G182" s="163">
        <v>1</v>
      </c>
      <c r="H182" s="160" t="s">
        <v>2723</v>
      </c>
      <c r="I182" s="164">
        <v>42510</v>
      </c>
      <c r="J182" s="166">
        <v>30000</v>
      </c>
      <c r="K182" s="167" t="s">
        <v>70</v>
      </c>
    </row>
    <row r="183" spans="1:11" ht="13" customHeight="1" x14ac:dyDescent="0.3">
      <c r="A183" s="160">
        <v>1</v>
      </c>
      <c r="B183" s="160" t="s">
        <v>2724</v>
      </c>
      <c r="C183" s="160" t="s">
        <v>2573</v>
      </c>
      <c r="D183" s="160" t="s">
        <v>2574</v>
      </c>
      <c r="E183" s="160" t="s">
        <v>2721</v>
      </c>
      <c r="F183" s="160" t="s">
        <v>2725</v>
      </c>
      <c r="G183" s="163">
        <v>2</v>
      </c>
      <c r="H183" s="160" t="s">
        <v>2723</v>
      </c>
      <c r="I183" s="164">
        <v>42781</v>
      </c>
      <c r="J183" s="166">
        <v>1500</v>
      </c>
      <c r="K183" s="170" t="s">
        <v>2410</v>
      </c>
    </row>
    <row r="184" spans="1:11" ht="13" customHeight="1" x14ac:dyDescent="0.3">
      <c r="A184" s="160">
        <v>1</v>
      </c>
      <c r="B184" s="160" t="s">
        <v>2726</v>
      </c>
      <c r="C184" s="160" t="s">
        <v>2573</v>
      </c>
      <c r="D184" s="160" t="s">
        <v>2574</v>
      </c>
      <c r="E184" s="160" t="s">
        <v>2721</v>
      </c>
      <c r="F184" s="160" t="s">
        <v>2727</v>
      </c>
      <c r="G184" s="163">
        <v>3</v>
      </c>
      <c r="H184" s="160" t="s">
        <v>2723</v>
      </c>
      <c r="I184" s="164">
        <v>43020</v>
      </c>
      <c r="J184" s="169">
        <v>5000</v>
      </c>
      <c r="K184" s="160" t="s">
        <v>70</v>
      </c>
    </row>
    <row r="185" spans="1:11" ht="13" customHeight="1" x14ac:dyDescent="0.3">
      <c r="A185" s="160">
        <v>1</v>
      </c>
      <c r="B185" s="160" t="s">
        <v>2728</v>
      </c>
      <c r="C185" s="160" t="s">
        <v>2573</v>
      </c>
      <c r="D185" s="160" t="s">
        <v>2574</v>
      </c>
      <c r="E185" s="160" t="s">
        <v>2721</v>
      </c>
      <c r="F185" s="160" t="s">
        <v>2729</v>
      </c>
      <c r="G185" s="163">
        <v>4</v>
      </c>
      <c r="H185" s="160" t="s">
        <v>2723</v>
      </c>
      <c r="I185" s="164">
        <v>43115</v>
      </c>
      <c r="J185" s="169">
        <v>5000</v>
      </c>
      <c r="K185" s="160" t="s">
        <v>2410</v>
      </c>
    </row>
    <row r="186" spans="1:11" ht="13" customHeight="1" x14ac:dyDescent="0.3">
      <c r="A186" s="160">
        <v>1</v>
      </c>
      <c r="B186" s="160" t="s">
        <v>2730</v>
      </c>
      <c r="C186" s="160" t="s">
        <v>2573</v>
      </c>
      <c r="D186" s="160" t="s">
        <v>2574</v>
      </c>
      <c r="E186" s="160" t="s">
        <v>2721</v>
      </c>
      <c r="F186" s="160" t="s">
        <v>2731</v>
      </c>
      <c r="G186" s="163">
        <v>5</v>
      </c>
      <c r="H186" s="160" t="s">
        <v>2723</v>
      </c>
      <c r="I186" s="164">
        <v>43314</v>
      </c>
      <c r="J186" s="169">
        <v>30000</v>
      </c>
      <c r="K186" s="160" t="s">
        <v>13</v>
      </c>
    </row>
    <row r="187" spans="1:11" ht="13" customHeight="1" x14ac:dyDescent="0.3">
      <c r="A187" s="160">
        <v>1</v>
      </c>
      <c r="B187" s="160">
        <v>60959</v>
      </c>
      <c r="C187" s="160" t="s">
        <v>2573</v>
      </c>
      <c r="D187" s="160" t="s">
        <v>2574</v>
      </c>
      <c r="E187" s="160" t="s">
        <v>2721</v>
      </c>
      <c r="F187" s="160" t="s">
        <v>2732</v>
      </c>
      <c r="G187" s="163">
        <v>6</v>
      </c>
      <c r="H187" s="160" t="s">
        <v>2723</v>
      </c>
      <c r="I187" s="164">
        <v>43906</v>
      </c>
      <c r="J187" s="169">
        <v>20000</v>
      </c>
      <c r="K187" s="160" t="s">
        <v>13</v>
      </c>
    </row>
    <row r="188" spans="1:11" ht="13" customHeight="1" x14ac:dyDescent="0.3">
      <c r="A188" s="160">
        <v>1</v>
      </c>
      <c r="B188" s="160">
        <v>124594</v>
      </c>
      <c r="C188" s="160" t="s">
        <v>2573</v>
      </c>
      <c r="D188" s="160" t="s">
        <v>2574</v>
      </c>
      <c r="E188" s="160" t="s">
        <v>2721</v>
      </c>
      <c r="F188" s="160" t="s">
        <v>2733</v>
      </c>
      <c r="G188" s="163">
        <v>7</v>
      </c>
      <c r="H188" s="160" t="s">
        <v>2723</v>
      </c>
      <c r="I188" s="164">
        <v>44553</v>
      </c>
      <c r="J188" s="169">
        <v>10000</v>
      </c>
      <c r="K188" s="160" t="s">
        <v>13</v>
      </c>
    </row>
    <row r="189" spans="1:11" ht="13" customHeight="1" x14ac:dyDescent="0.3">
      <c r="A189" s="160">
        <v>1</v>
      </c>
      <c r="B189" s="160">
        <v>150465</v>
      </c>
      <c r="C189" s="160" t="s">
        <v>2573</v>
      </c>
      <c r="D189" s="160" t="s">
        <v>2574</v>
      </c>
      <c r="E189" s="160" t="s">
        <v>2721</v>
      </c>
      <c r="F189" s="160" t="s">
        <v>2734</v>
      </c>
      <c r="G189" s="163">
        <v>8</v>
      </c>
      <c r="H189" s="160" t="s">
        <v>2723</v>
      </c>
      <c r="I189" s="164">
        <v>44785</v>
      </c>
      <c r="J189" s="169">
        <v>15000</v>
      </c>
      <c r="K189" s="160" t="s">
        <v>13</v>
      </c>
    </row>
    <row r="190" spans="1:11" ht="13" customHeight="1" x14ac:dyDescent="0.3">
      <c r="A190" s="160">
        <v>1</v>
      </c>
      <c r="B190" s="160">
        <v>2726630001</v>
      </c>
      <c r="C190" s="160" t="s">
        <v>2573</v>
      </c>
      <c r="D190" s="160" t="s">
        <v>2574</v>
      </c>
      <c r="E190" s="160" t="s">
        <v>2721</v>
      </c>
      <c r="F190" s="160" t="s">
        <v>2735</v>
      </c>
      <c r="G190" s="163">
        <v>9</v>
      </c>
      <c r="H190" s="160" t="s">
        <v>2723</v>
      </c>
      <c r="I190" s="164">
        <v>45583</v>
      </c>
      <c r="J190" s="169">
        <v>12000</v>
      </c>
      <c r="K190" s="160" t="s">
        <v>13</v>
      </c>
    </row>
    <row r="191" spans="1:11" ht="13" customHeight="1" x14ac:dyDescent="0.3">
      <c r="A191" s="160">
        <v>1</v>
      </c>
      <c r="C191" s="160" t="s">
        <v>2573</v>
      </c>
      <c r="D191" s="160" t="s">
        <v>2574</v>
      </c>
      <c r="F191" s="160" t="s">
        <v>2736</v>
      </c>
      <c r="G191" s="163">
        <v>1</v>
      </c>
      <c r="H191" s="160" t="s">
        <v>2737</v>
      </c>
      <c r="I191" s="164">
        <v>40518</v>
      </c>
      <c r="J191" s="166">
        <v>1600</v>
      </c>
      <c r="K191" s="168" t="s">
        <v>13</v>
      </c>
    </row>
    <row r="192" spans="1:11" ht="13" customHeight="1" x14ac:dyDescent="0.3">
      <c r="A192" s="160">
        <v>1</v>
      </c>
      <c r="B192" s="160">
        <v>6440390002</v>
      </c>
      <c r="C192" s="160" t="s">
        <v>2573</v>
      </c>
      <c r="D192" s="160" t="s">
        <v>2574</v>
      </c>
      <c r="F192" s="160" t="s">
        <v>2738</v>
      </c>
      <c r="G192" s="163">
        <v>1</v>
      </c>
      <c r="H192" s="160" t="s">
        <v>2096</v>
      </c>
      <c r="I192" s="164">
        <v>45789</v>
      </c>
      <c r="J192" s="165">
        <v>300000</v>
      </c>
      <c r="K192" s="160" t="s">
        <v>13</v>
      </c>
    </row>
    <row r="193" spans="1:11" x14ac:dyDescent="0.3">
      <c r="A193" s="160">
        <v>1</v>
      </c>
      <c r="B193" s="160">
        <v>95317</v>
      </c>
      <c r="C193" s="160" t="s">
        <v>2573</v>
      </c>
      <c r="D193" s="160" t="s">
        <v>2574</v>
      </c>
      <c r="F193" s="160" t="s">
        <v>2739</v>
      </c>
      <c r="G193" s="163">
        <v>1</v>
      </c>
      <c r="H193" s="160" t="s">
        <v>2740</v>
      </c>
      <c r="I193" s="164">
        <v>44325</v>
      </c>
      <c r="J193" s="169">
        <v>50000</v>
      </c>
      <c r="K193" s="160" t="s">
        <v>13</v>
      </c>
    </row>
    <row r="194" spans="1:11" x14ac:dyDescent="0.3">
      <c r="A194" s="160">
        <v>1</v>
      </c>
      <c r="B194" s="160">
        <v>152727</v>
      </c>
      <c r="C194" s="160" t="s">
        <v>2573</v>
      </c>
      <c r="D194" s="160" t="s">
        <v>2574</v>
      </c>
      <c r="F194" s="160" t="s">
        <v>2741</v>
      </c>
      <c r="G194" s="163">
        <v>2</v>
      </c>
      <c r="H194" s="160" t="s">
        <v>2740</v>
      </c>
      <c r="I194" s="164">
        <v>44802</v>
      </c>
      <c r="J194" s="169">
        <v>100000</v>
      </c>
      <c r="K194" s="160" t="s">
        <v>13</v>
      </c>
    </row>
    <row r="195" spans="1:11" ht="13" customHeight="1" x14ac:dyDescent="0.3">
      <c r="A195" s="160">
        <v>1</v>
      </c>
      <c r="B195" s="160">
        <v>105435</v>
      </c>
      <c r="C195" s="160" t="s">
        <v>2573</v>
      </c>
      <c r="D195" s="160" t="s">
        <v>2574</v>
      </c>
      <c r="F195" s="160" t="s">
        <v>2742</v>
      </c>
      <c r="G195" s="163">
        <v>1</v>
      </c>
      <c r="H195" s="160" t="s">
        <v>2743</v>
      </c>
      <c r="I195" s="164">
        <v>44392</v>
      </c>
      <c r="J195" s="165">
        <v>100000</v>
      </c>
      <c r="K195" s="160" t="s">
        <v>13</v>
      </c>
    </row>
    <row r="196" spans="1:11" ht="13" customHeight="1" x14ac:dyDescent="0.3">
      <c r="A196" s="160">
        <v>1</v>
      </c>
      <c r="B196" s="160">
        <v>5285600001</v>
      </c>
      <c r="C196" s="160" t="s">
        <v>2573</v>
      </c>
      <c r="D196" s="160" t="s">
        <v>2574</v>
      </c>
      <c r="F196" s="160" t="s">
        <v>2744</v>
      </c>
      <c r="G196" s="163">
        <v>1</v>
      </c>
      <c r="H196" s="160" t="s">
        <v>1707</v>
      </c>
      <c r="I196" s="164">
        <v>45646</v>
      </c>
      <c r="J196" s="165">
        <v>12000</v>
      </c>
      <c r="K196" s="160" t="s">
        <v>13</v>
      </c>
    </row>
    <row r="197" spans="1:11" ht="13" customHeight="1" x14ac:dyDescent="0.3">
      <c r="A197" s="160">
        <v>1</v>
      </c>
      <c r="B197" s="160">
        <v>5285600002</v>
      </c>
      <c r="C197" s="160" t="s">
        <v>2573</v>
      </c>
      <c r="D197" s="160" t="s">
        <v>2574</v>
      </c>
      <c r="F197" s="160" t="s">
        <v>2745</v>
      </c>
      <c r="G197" s="163">
        <v>2</v>
      </c>
      <c r="H197" s="160" t="s">
        <v>1707</v>
      </c>
      <c r="I197" s="164">
        <v>45812</v>
      </c>
      <c r="J197" s="165">
        <v>100000</v>
      </c>
      <c r="K197" s="160" t="s">
        <v>13</v>
      </c>
    </row>
    <row r="198" spans="1:11" ht="13" customHeight="1" x14ac:dyDescent="0.3">
      <c r="A198" s="160">
        <v>1</v>
      </c>
      <c r="B198" s="160" t="s">
        <v>2746</v>
      </c>
      <c r="C198" s="160" t="s">
        <v>2573</v>
      </c>
      <c r="D198" s="160" t="s">
        <v>2574</v>
      </c>
      <c r="E198" s="160" t="s">
        <v>2747</v>
      </c>
      <c r="F198" s="160" t="s">
        <v>2748</v>
      </c>
      <c r="G198" s="163">
        <v>1</v>
      </c>
      <c r="H198" s="160" t="s">
        <v>2749</v>
      </c>
      <c r="I198" s="164">
        <v>41948</v>
      </c>
      <c r="J198" s="166">
        <v>12000</v>
      </c>
      <c r="K198" s="168" t="s">
        <v>13</v>
      </c>
    </row>
    <row r="199" spans="1:11" x14ac:dyDescent="0.3">
      <c r="A199" s="160">
        <v>1</v>
      </c>
      <c r="B199" s="160" t="s">
        <v>2750</v>
      </c>
      <c r="C199" s="160" t="s">
        <v>2573</v>
      </c>
      <c r="D199" s="160" t="s">
        <v>2574</v>
      </c>
      <c r="E199" s="160" t="s">
        <v>2747</v>
      </c>
      <c r="F199" s="160" t="s">
        <v>2751</v>
      </c>
      <c r="G199" s="163">
        <v>2</v>
      </c>
      <c r="H199" s="160" t="s">
        <v>2749</v>
      </c>
      <c r="I199" s="164">
        <v>42083</v>
      </c>
      <c r="J199" s="166">
        <v>5000</v>
      </c>
      <c r="K199" s="168" t="s">
        <v>13</v>
      </c>
    </row>
    <row r="200" spans="1:11" x14ac:dyDescent="0.3">
      <c r="A200" s="160">
        <v>1</v>
      </c>
      <c r="B200" s="160">
        <v>6092220001</v>
      </c>
      <c r="C200" s="160" t="s">
        <v>2573</v>
      </c>
      <c r="D200" s="160" t="s">
        <v>2574</v>
      </c>
      <c r="F200" s="160" t="s">
        <v>2752</v>
      </c>
      <c r="G200" s="163">
        <v>1</v>
      </c>
      <c r="H200" s="160" t="s">
        <v>2753</v>
      </c>
      <c r="I200" s="164">
        <v>45250</v>
      </c>
      <c r="J200" s="165">
        <v>80000</v>
      </c>
      <c r="K200" s="160" t="s">
        <v>13</v>
      </c>
    </row>
    <row r="201" spans="1:11" x14ac:dyDescent="0.3">
      <c r="A201" s="160">
        <v>1</v>
      </c>
      <c r="B201" s="160">
        <v>6092220002</v>
      </c>
      <c r="C201" s="160" t="s">
        <v>2573</v>
      </c>
      <c r="D201" s="160" t="s">
        <v>2574</v>
      </c>
      <c r="F201" s="160" t="s">
        <v>2754</v>
      </c>
      <c r="G201" s="163">
        <v>2</v>
      </c>
      <c r="H201" s="160" t="s">
        <v>2753</v>
      </c>
      <c r="I201" s="164">
        <v>45413</v>
      </c>
      <c r="J201" s="165">
        <v>15000</v>
      </c>
      <c r="K201" s="160" t="s">
        <v>13</v>
      </c>
    </row>
    <row r="202" spans="1:11" x14ac:dyDescent="0.3">
      <c r="A202" s="160">
        <v>1</v>
      </c>
      <c r="C202" s="160" t="s">
        <v>2573</v>
      </c>
      <c r="D202" s="160" t="s">
        <v>2574</v>
      </c>
      <c r="E202" s="160" t="s">
        <v>2755</v>
      </c>
      <c r="F202" s="160" t="s">
        <v>2756</v>
      </c>
      <c r="G202" s="163">
        <v>1</v>
      </c>
      <c r="H202" s="160" t="s">
        <v>2757</v>
      </c>
      <c r="I202" s="164">
        <v>40206</v>
      </c>
      <c r="J202" s="166">
        <v>2000</v>
      </c>
      <c r="K202" s="168" t="s">
        <v>13</v>
      </c>
    </row>
    <row r="203" spans="1:11" ht="13" customHeight="1" x14ac:dyDescent="0.3">
      <c r="A203" s="160">
        <v>1</v>
      </c>
      <c r="B203" s="160" t="s">
        <v>2758</v>
      </c>
      <c r="C203" s="160" t="s">
        <v>2573</v>
      </c>
      <c r="D203" s="160" t="s">
        <v>2574</v>
      </c>
      <c r="E203" s="160" t="s">
        <v>2759</v>
      </c>
      <c r="F203" s="160" t="s">
        <v>2760</v>
      </c>
      <c r="G203" s="163">
        <v>1</v>
      </c>
      <c r="H203" s="160" t="s">
        <v>2757</v>
      </c>
      <c r="I203" s="164">
        <v>41900</v>
      </c>
      <c r="J203" s="166">
        <v>20000</v>
      </c>
      <c r="K203" s="168" t="s">
        <v>13</v>
      </c>
    </row>
    <row r="204" spans="1:11" ht="13" customHeight="1" x14ac:dyDescent="0.3">
      <c r="A204" s="160">
        <v>1</v>
      </c>
      <c r="B204" s="160" t="s">
        <v>2761</v>
      </c>
      <c r="C204" s="160" t="s">
        <v>2573</v>
      </c>
      <c r="D204" s="160" t="s">
        <v>2574</v>
      </c>
      <c r="E204" s="160" t="s">
        <v>2759</v>
      </c>
      <c r="F204" s="160" t="s">
        <v>2762</v>
      </c>
      <c r="G204" s="163">
        <v>2</v>
      </c>
      <c r="H204" s="160" t="s">
        <v>2757</v>
      </c>
      <c r="I204" s="164">
        <v>42487</v>
      </c>
      <c r="J204" s="166">
        <v>5000</v>
      </c>
      <c r="K204" s="170" t="s">
        <v>2410</v>
      </c>
    </row>
    <row r="205" spans="1:11" ht="13" customHeight="1" x14ac:dyDescent="0.3">
      <c r="A205" s="160">
        <v>1</v>
      </c>
      <c r="B205" s="160" t="s">
        <v>2763</v>
      </c>
      <c r="C205" s="160" t="s">
        <v>2573</v>
      </c>
      <c r="D205" s="160" t="s">
        <v>2574</v>
      </c>
      <c r="E205" s="160" t="s">
        <v>2759</v>
      </c>
      <c r="F205" s="160" t="s">
        <v>2764</v>
      </c>
      <c r="G205" s="163">
        <v>3</v>
      </c>
      <c r="H205" s="160" t="s">
        <v>2757</v>
      </c>
      <c r="I205" s="164">
        <v>42692</v>
      </c>
      <c r="J205" s="166">
        <v>25000</v>
      </c>
      <c r="K205" s="167" t="s">
        <v>70</v>
      </c>
    </row>
    <row r="206" spans="1:11" ht="13" customHeight="1" x14ac:dyDescent="0.3">
      <c r="A206" s="160">
        <v>1</v>
      </c>
      <c r="B206" s="160">
        <v>2912550002</v>
      </c>
      <c r="C206" s="160" t="s">
        <v>2573</v>
      </c>
      <c r="D206" s="160" t="s">
        <v>2574</v>
      </c>
      <c r="F206" s="160" t="s">
        <v>2765</v>
      </c>
      <c r="G206" s="163">
        <v>1</v>
      </c>
      <c r="H206" s="160" t="s">
        <v>2766</v>
      </c>
      <c r="I206" s="164">
        <v>45806</v>
      </c>
      <c r="J206" s="165">
        <v>300000</v>
      </c>
      <c r="K206" s="160" t="s">
        <v>13</v>
      </c>
    </row>
    <row r="207" spans="1:11" ht="13" customHeight="1" x14ac:dyDescent="0.3">
      <c r="A207" s="160">
        <v>1</v>
      </c>
      <c r="B207" s="160">
        <v>100109</v>
      </c>
      <c r="C207" s="160" t="s">
        <v>2573</v>
      </c>
      <c r="D207" s="160" t="s">
        <v>2574</v>
      </c>
      <c r="F207" s="160" t="s">
        <v>2767</v>
      </c>
      <c r="G207" s="163">
        <v>1</v>
      </c>
      <c r="H207" s="160" t="s">
        <v>2768</v>
      </c>
      <c r="I207" s="164">
        <v>44372</v>
      </c>
      <c r="J207" s="165">
        <v>50000</v>
      </c>
      <c r="K207" s="160" t="s">
        <v>13</v>
      </c>
    </row>
    <row r="208" spans="1:11" ht="13" customHeight="1" x14ac:dyDescent="0.3">
      <c r="A208" s="160">
        <v>1</v>
      </c>
      <c r="B208" s="160">
        <v>141543</v>
      </c>
      <c r="C208" s="160" t="s">
        <v>2573</v>
      </c>
      <c r="D208" s="160" t="s">
        <v>2574</v>
      </c>
      <c r="F208" s="160" t="s">
        <v>2769</v>
      </c>
      <c r="G208" s="163">
        <v>2</v>
      </c>
      <c r="H208" s="160" t="s">
        <v>2768</v>
      </c>
      <c r="I208" s="164">
        <v>44712</v>
      </c>
      <c r="J208" s="165">
        <v>50000</v>
      </c>
      <c r="K208" s="160" t="s">
        <v>13</v>
      </c>
    </row>
    <row r="209" spans="1:11" ht="13" customHeight="1" x14ac:dyDescent="0.3">
      <c r="A209" s="160">
        <v>1</v>
      </c>
      <c r="B209" s="160" t="s">
        <v>2770</v>
      </c>
      <c r="C209" s="160" t="s">
        <v>2573</v>
      </c>
      <c r="D209" s="160" t="s">
        <v>2574</v>
      </c>
      <c r="E209" s="160" t="s">
        <v>2771</v>
      </c>
      <c r="F209" s="160" t="s">
        <v>2772</v>
      </c>
      <c r="G209" s="163">
        <v>1</v>
      </c>
      <c r="H209" s="160" t="s">
        <v>2773</v>
      </c>
      <c r="I209" s="164">
        <v>42202</v>
      </c>
      <c r="J209" s="166">
        <v>4000</v>
      </c>
      <c r="K209" s="170" t="s">
        <v>2410</v>
      </c>
    </row>
    <row r="210" spans="1:11" ht="13" customHeight="1" x14ac:dyDescent="0.3">
      <c r="A210" s="160">
        <v>1</v>
      </c>
      <c r="B210" s="160">
        <v>4804170001</v>
      </c>
      <c r="C210" s="160" t="s">
        <v>2573</v>
      </c>
      <c r="D210" s="160" t="s">
        <v>2574</v>
      </c>
      <c r="E210" s="160" t="s">
        <v>2771</v>
      </c>
      <c r="F210" s="160" t="s">
        <v>2774</v>
      </c>
      <c r="G210" s="163">
        <v>10</v>
      </c>
      <c r="H210" s="160" t="s">
        <v>2775</v>
      </c>
      <c r="I210" s="164">
        <v>45322</v>
      </c>
      <c r="J210" s="169">
        <v>40000</v>
      </c>
      <c r="K210" s="160" t="s">
        <v>13</v>
      </c>
    </row>
    <row r="211" spans="1:11" x14ac:dyDescent="0.3">
      <c r="A211" s="160">
        <v>1</v>
      </c>
      <c r="B211" s="160">
        <v>4804170002</v>
      </c>
      <c r="C211" s="160" t="s">
        <v>2573</v>
      </c>
      <c r="D211" s="160" t="s">
        <v>2574</v>
      </c>
      <c r="E211" s="160" t="s">
        <v>2771</v>
      </c>
      <c r="F211" s="160" t="s">
        <v>2776</v>
      </c>
      <c r="G211" s="163">
        <v>11</v>
      </c>
      <c r="H211" s="160" t="s">
        <v>2775</v>
      </c>
      <c r="I211" s="164">
        <v>45559</v>
      </c>
      <c r="J211" s="169">
        <v>250000</v>
      </c>
      <c r="K211" s="160" t="s">
        <v>13</v>
      </c>
    </row>
    <row r="212" spans="1:11" x14ac:dyDescent="0.3">
      <c r="A212" s="160">
        <v>1</v>
      </c>
      <c r="B212" s="160" t="s">
        <v>2777</v>
      </c>
      <c r="C212" s="160" t="s">
        <v>2573</v>
      </c>
      <c r="D212" s="160" t="s">
        <v>2574</v>
      </c>
      <c r="E212" s="160" t="s">
        <v>2771</v>
      </c>
      <c r="F212" s="160" t="s">
        <v>2778</v>
      </c>
      <c r="G212" s="163">
        <v>2</v>
      </c>
      <c r="H212" s="160" t="s">
        <v>2773</v>
      </c>
      <c r="I212" s="164">
        <v>42283</v>
      </c>
      <c r="J212" s="166">
        <v>5000</v>
      </c>
      <c r="K212" s="170" t="s">
        <v>2410</v>
      </c>
    </row>
    <row r="213" spans="1:11" ht="13" customHeight="1" x14ac:dyDescent="0.3">
      <c r="A213" s="160">
        <v>1</v>
      </c>
      <c r="B213" s="160" t="s">
        <v>2779</v>
      </c>
      <c r="C213" s="160" t="s">
        <v>2573</v>
      </c>
      <c r="D213" s="160" t="s">
        <v>2574</v>
      </c>
      <c r="E213" s="160" t="s">
        <v>2771</v>
      </c>
      <c r="F213" s="160" t="s">
        <v>2780</v>
      </c>
      <c r="G213" s="163">
        <v>3</v>
      </c>
      <c r="H213" s="160" t="s">
        <v>2773</v>
      </c>
      <c r="I213" s="164">
        <v>42487</v>
      </c>
      <c r="J213" s="166">
        <v>2000</v>
      </c>
      <c r="K213" s="170" t="s">
        <v>2410</v>
      </c>
    </row>
    <row r="214" spans="1:11" ht="13" customHeight="1" x14ac:dyDescent="0.3">
      <c r="A214" s="160">
        <v>1</v>
      </c>
      <c r="B214" s="160" t="s">
        <v>2781</v>
      </c>
      <c r="C214" s="160" t="s">
        <v>2573</v>
      </c>
      <c r="D214" s="160" t="s">
        <v>2574</v>
      </c>
      <c r="E214" s="160" t="s">
        <v>2771</v>
      </c>
      <c r="F214" s="160" t="s">
        <v>2782</v>
      </c>
      <c r="G214" s="163">
        <v>4</v>
      </c>
      <c r="H214" s="160" t="s">
        <v>2773</v>
      </c>
      <c r="I214" s="164">
        <v>42542</v>
      </c>
      <c r="J214" s="166">
        <v>60000</v>
      </c>
      <c r="K214" s="175" t="s">
        <v>55</v>
      </c>
    </row>
    <row r="215" spans="1:11" ht="13" customHeight="1" x14ac:dyDescent="0.3">
      <c r="A215" s="160">
        <v>1</v>
      </c>
      <c r="B215" s="160" t="s">
        <v>2783</v>
      </c>
      <c r="C215" s="160" t="s">
        <v>2573</v>
      </c>
      <c r="D215" s="160" t="s">
        <v>2574</v>
      </c>
      <c r="E215" s="160" t="s">
        <v>2771</v>
      </c>
      <c r="F215" s="160" t="s">
        <v>2784</v>
      </c>
      <c r="G215" s="163">
        <v>5</v>
      </c>
      <c r="H215" s="160" t="s">
        <v>2773</v>
      </c>
      <c r="I215" s="164">
        <v>42704</v>
      </c>
      <c r="J215" s="166">
        <v>5000</v>
      </c>
      <c r="K215" s="170" t="s">
        <v>2410</v>
      </c>
    </row>
    <row r="216" spans="1:11" ht="13" customHeight="1" x14ac:dyDescent="0.3">
      <c r="A216" s="160">
        <v>1</v>
      </c>
      <c r="B216" s="160" t="s">
        <v>2785</v>
      </c>
      <c r="C216" s="160" t="s">
        <v>2573</v>
      </c>
      <c r="D216" s="160" t="s">
        <v>2574</v>
      </c>
      <c r="E216" s="160" t="s">
        <v>2771</v>
      </c>
      <c r="F216" s="160" t="s">
        <v>2786</v>
      </c>
      <c r="G216" s="163">
        <v>6</v>
      </c>
      <c r="H216" s="160" t="s">
        <v>2773</v>
      </c>
      <c r="I216" s="164">
        <v>43312</v>
      </c>
      <c r="J216" s="169">
        <v>10000</v>
      </c>
      <c r="K216" s="160" t="s">
        <v>13</v>
      </c>
    </row>
    <row r="217" spans="1:11" x14ac:dyDescent="0.3">
      <c r="A217" s="160">
        <v>1</v>
      </c>
      <c r="C217" s="160" t="s">
        <v>2573</v>
      </c>
      <c r="D217" s="160" t="s">
        <v>2574</v>
      </c>
      <c r="E217" s="160" t="s">
        <v>2771</v>
      </c>
      <c r="F217" s="160" t="s">
        <v>2787</v>
      </c>
      <c r="G217" s="163">
        <v>7</v>
      </c>
      <c r="H217" s="160" t="s">
        <v>2775</v>
      </c>
      <c r="I217" s="164">
        <v>44126</v>
      </c>
      <c r="J217" s="169">
        <v>5000</v>
      </c>
      <c r="K217" s="160" t="s">
        <v>2410</v>
      </c>
    </row>
    <row r="218" spans="1:11" x14ac:dyDescent="0.3">
      <c r="A218" s="160">
        <v>1</v>
      </c>
      <c r="B218" s="160">
        <v>109228</v>
      </c>
      <c r="C218" s="160" t="s">
        <v>2573</v>
      </c>
      <c r="D218" s="160" t="s">
        <v>2574</v>
      </c>
      <c r="E218" s="160" t="s">
        <v>2771</v>
      </c>
      <c r="F218" s="160" t="s">
        <v>2788</v>
      </c>
      <c r="G218" s="163">
        <v>8</v>
      </c>
      <c r="H218" s="160" t="s">
        <v>2775</v>
      </c>
      <c r="I218" s="164">
        <v>44432</v>
      </c>
      <c r="J218" s="169">
        <v>25000</v>
      </c>
      <c r="K218" s="160" t="s">
        <v>13</v>
      </c>
    </row>
    <row r="219" spans="1:11" x14ac:dyDescent="0.3">
      <c r="A219" s="160">
        <v>1</v>
      </c>
      <c r="B219" s="160">
        <v>10911178</v>
      </c>
      <c r="C219" s="160" t="s">
        <v>2573</v>
      </c>
      <c r="D219" s="160" t="s">
        <v>2574</v>
      </c>
      <c r="E219" s="160" t="s">
        <v>2771</v>
      </c>
      <c r="F219" s="160" t="s">
        <v>2789</v>
      </c>
      <c r="G219" s="163">
        <v>9</v>
      </c>
      <c r="H219" s="160" t="s">
        <v>2775</v>
      </c>
      <c r="I219" s="164">
        <v>44937</v>
      </c>
      <c r="J219" s="169">
        <v>15000</v>
      </c>
      <c r="K219" s="160" t="s">
        <v>13</v>
      </c>
    </row>
    <row r="220" spans="1:11" x14ac:dyDescent="0.3">
      <c r="A220" s="160">
        <v>1</v>
      </c>
      <c r="B220" s="160">
        <v>124279</v>
      </c>
      <c r="C220" s="160" t="s">
        <v>2573</v>
      </c>
      <c r="D220" s="160" t="s">
        <v>2574</v>
      </c>
      <c r="F220" s="160" t="s">
        <v>2790</v>
      </c>
      <c r="G220" s="163">
        <v>1</v>
      </c>
      <c r="H220" s="160" t="s">
        <v>2791</v>
      </c>
      <c r="I220" s="164">
        <v>44582</v>
      </c>
      <c r="J220" s="165">
        <v>60000</v>
      </c>
      <c r="K220" s="160" t="s">
        <v>13</v>
      </c>
    </row>
    <row r="221" spans="1:11" x14ac:dyDescent="0.3">
      <c r="A221" s="160">
        <v>1</v>
      </c>
      <c r="B221" s="160">
        <v>101826</v>
      </c>
      <c r="C221" s="160" t="s">
        <v>2573</v>
      </c>
      <c r="D221" s="160" t="s">
        <v>2574</v>
      </c>
      <c r="E221" s="160" t="s">
        <v>2792</v>
      </c>
      <c r="F221" s="160" t="s">
        <v>2793</v>
      </c>
      <c r="G221" s="163">
        <v>1</v>
      </c>
      <c r="H221" s="160" t="s">
        <v>2794</v>
      </c>
      <c r="I221" s="164">
        <v>44391</v>
      </c>
      <c r="J221" s="165">
        <v>80000</v>
      </c>
      <c r="K221" s="160" t="s">
        <v>70</v>
      </c>
    </row>
    <row r="222" spans="1:11" x14ac:dyDescent="0.3">
      <c r="A222" s="160">
        <v>1</v>
      </c>
      <c r="B222" s="160">
        <v>130058</v>
      </c>
      <c r="C222" s="160" t="s">
        <v>2573</v>
      </c>
      <c r="D222" s="160" t="s">
        <v>2574</v>
      </c>
      <c r="F222" s="160" t="s">
        <v>2795</v>
      </c>
      <c r="G222" s="163">
        <v>1</v>
      </c>
      <c r="H222" s="160" t="s">
        <v>2796</v>
      </c>
      <c r="I222" s="164">
        <v>44617</v>
      </c>
      <c r="J222" s="165">
        <v>30000</v>
      </c>
      <c r="K222" s="160" t="s">
        <v>13</v>
      </c>
    </row>
    <row r="223" spans="1:11" x14ac:dyDescent="0.3">
      <c r="A223" s="160">
        <v>1</v>
      </c>
      <c r="B223" s="160">
        <v>55702</v>
      </c>
      <c r="C223" s="160" t="s">
        <v>2573</v>
      </c>
      <c r="D223" s="160" t="s">
        <v>2574</v>
      </c>
      <c r="E223" s="160" t="s">
        <v>2797</v>
      </c>
      <c r="F223" s="160" t="s">
        <v>2798</v>
      </c>
      <c r="G223" s="163">
        <v>1</v>
      </c>
      <c r="H223" s="160" t="s">
        <v>2799</v>
      </c>
      <c r="I223" s="164">
        <v>43843</v>
      </c>
      <c r="J223" s="169">
        <v>15000</v>
      </c>
      <c r="K223" s="160" t="s">
        <v>13</v>
      </c>
    </row>
    <row r="224" spans="1:11" x14ac:dyDescent="0.3">
      <c r="A224" s="160">
        <v>1</v>
      </c>
      <c r="B224" s="160">
        <v>127907</v>
      </c>
      <c r="C224" s="160" t="s">
        <v>2573</v>
      </c>
      <c r="D224" s="160" t="s">
        <v>2574</v>
      </c>
      <c r="F224" s="160" t="s">
        <v>2800</v>
      </c>
      <c r="G224" s="163">
        <v>2</v>
      </c>
      <c r="H224" s="160" t="s">
        <v>2799</v>
      </c>
      <c r="I224" s="164">
        <v>44599</v>
      </c>
      <c r="J224" s="165">
        <v>30000</v>
      </c>
      <c r="K224" s="160" t="s">
        <v>13</v>
      </c>
    </row>
    <row r="225" spans="1:11" x14ac:dyDescent="0.3">
      <c r="A225" s="160">
        <v>1</v>
      </c>
      <c r="B225" s="160">
        <v>4195760001</v>
      </c>
      <c r="C225" s="160" t="s">
        <v>2573</v>
      </c>
      <c r="D225" s="160" t="s">
        <v>2574</v>
      </c>
      <c r="F225" s="160" t="s">
        <v>2801</v>
      </c>
      <c r="G225" s="163">
        <v>3</v>
      </c>
      <c r="H225" s="160" t="s">
        <v>2799</v>
      </c>
      <c r="I225" s="164">
        <v>45166</v>
      </c>
      <c r="J225" s="165">
        <v>50000</v>
      </c>
      <c r="K225" s="160" t="s">
        <v>13</v>
      </c>
    </row>
    <row r="226" spans="1:11" x14ac:dyDescent="0.3">
      <c r="A226" s="160">
        <v>1</v>
      </c>
      <c r="B226" s="160">
        <v>4195760002</v>
      </c>
      <c r="C226" s="160" t="s">
        <v>2573</v>
      </c>
      <c r="D226" s="160" t="s">
        <v>2574</v>
      </c>
      <c r="F226" s="160" t="s">
        <v>2801</v>
      </c>
      <c r="G226" s="163">
        <v>4</v>
      </c>
      <c r="H226" s="160" t="s">
        <v>2799</v>
      </c>
      <c r="I226" s="164">
        <v>45793</v>
      </c>
      <c r="J226" s="165">
        <v>100000</v>
      </c>
      <c r="K226" s="160" t="s">
        <v>13</v>
      </c>
    </row>
    <row r="227" spans="1:11" x14ac:dyDescent="0.3">
      <c r="A227" s="160">
        <v>1</v>
      </c>
      <c r="B227" s="160">
        <v>11060682</v>
      </c>
      <c r="C227" s="160" t="s">
        <v>2573</v>
      </c>
      <c r="D227" s="160" t="s">
        <v>2574</v>
      </c>
      <c r="F227" s="160" t="s">
        <v>2802</v>
      </c>
      <c r="G227" s="163">
        <v>1</v>
      </c>
      <c r="H227" s="160" t="s">
        <v>2803</v>
      </c>
      <c r="I227" s="164">
        <v>44974</v>
      </c>
      <c r="J227" s="165">
        <v>50000</v>
      </c>
      <c r="K227" s="160" t="s">
        <v>13</v>
      </c>
    </row>
    <row r="228" spans="1:11" x14ac:dyDescent="0.3">
      <c r="A228" s="160">
        <v>1</v>
      </c>
      <c r="B228" s="160">
        <v>127894</v>
      </c>
      <c r="C228" s="160" t="s">
        <v>2573</v>
      </c>
      <c r="D228" s="160" t="s">
        <v>2574</v>
      </c>
      <c r="F228" s="160" t="s">
        <v>2804</v>
      </c>
      <c r="G228" s="163">
        <v>1</v>
      </c>
      <c r="H228" s="160" t="s">
        <v>2805</v>
      </c>
      <c r="I228" s="164">
        <v>44599</v>
      </c>
      <c r="J228" s="165">
        <v>40000</v>
      </c>
      <c r="K228" s="160" t="s">
        <v>13</v>
      </c>
    </row>
    <row r="229" spans="1:11" x14ac:dyDescent="0.3">
      <c r="A229" s="160">
        <v>1</v>
      </c>
      <c r="B229" s="160">
        <v>5034240001</v>
      </c>
      <c r="C229" s="160" t="s">
        <v>2573</v>
      </c>
      <c r="D229" s="160" t="s">
        <v>2574</v>
      </c>
      <c r="F229" s="160" t="s">
        <v>2806</v>
      </c>
      <c r="G229" s="163">
        <v>1</v>
      </c>
      <c r="H229" s="160" t="s">
        <v>2807</v>
      </c>
      <c r="I229" s="164">
        <v>45534</v>
      </c>
      <c r="J229" s="165">
        <v>100000</v>
      </c>
      <c r="K229" s="160" t="s">
        <v>13</v>
      </c>
    </row>
    <row r="230" spans="1:11" ht="13" customHeight="1" x14ac:dyDescent="0.3">
      <c r="A230" s="160">
        <v>1</v>
      </c>
      <c r="C230" s="160" t="s">
        <v>2573</v>
      </c>
      <c r="D230" s="160" t="s">
        <v>2574</v>
      </c>
      <c r="F230" s="160" t="s">
        <v>2808</v>
      </c>
      <c r="G230" s="163">
        <v>1</v>
      </c>
      <c r="H230" s="160" t="s">
        <v>2809</v>
      </c>
      <c r="I230" s="164">
        <v>40527</v>
      </c>
      <c r="J230" s="166">
        <v>3000</v>
      </c>
      <c r="K230" s="168" t="s">
        <v>13</v>
      </c>
    </row>
    <row r="231" spans="1:11" ht="13" customHeight="1" x14ac:dyDescent="0.3">
      <c r="A231" s="160">
        <v>1</v>
      </c>
      <c r="B231" s="160">
        <v>107647</v>
      </c>
      <c r="C231" s="160" t="s">
        <v>2573</v>
      </c>
      <c r="D231" s="160" t="s">
        <v>2574</v>
      </c>
      <c r="F231" s="160" t="s">
        <v>2810</v>
      </c>
      <c r="G231" s="163">
        <v>1</v>
      </c>
      <c r="H231" s="160" t="s">
        <v>2811</v>
      </c>
      <c r="I231" s="164">
        <v>44417</v>
      </c>
      <c r="J231" s="165">
        <v>80000</v>
      </c>
      <c r="K231" s="160" t="s">
        <v>13</v>
      </c>
    </row>
    <row r="232" spans="1:11" x14ac:dyDescent="0.3">
      <c r="A232" s="160">
        <v>1</v>
      </c>
      <c r="B232" s="160">
        <v>132638</v>
      </c>
      <c r="C232" s="160" t="s">
        <v>2573</v>
      </c>
      <c r="D232" s="160" t="s">
        <v>2574</v>
      </c>
      <c r="F232" s="160" t="s">
        <v>2812</v>
      </c>
      <c r="G232" s="163">
        <v>2</v>
      </c>
      <c r="H232" s="160" t="s">
        <v>2811</v>
      </c>
      <c r="I232" s="164">
        <v>44642</v>
      </c>
      <c r="J232" s="165">
        <v>100000</v>
      </c>
      <c r="K232" s="160" t="s">
        <v>13</v>
      </c>
    </row>
    <row r="233" spans="1:11" x14ac:dyDescent="0.3">
      <c r="A233" s="160">
        <v>1</v>
      </c>
      <c r="B233" s="160">
        <v>153135</v>
      </c>
      <c r="C233" s="160" t="s">
        <v>2573</v>
      </c>
      <c r="D233" s="160" t="s">
        <v>2574</v>
      </c>
      <c r="F233" s="176" t="s">
        <v>2813</v>
      </c>
      <c r="G233" s="163">
        <v>3</v>
      </c>
      <c r="H233" s="160" t="s">
        <v>2811</v>
      </c>
      <c r="I233" s="164">
        <v>44834</v>
      </c>
      <c r="J233" s="165">
        <v>200000</v>
      </c>
      <c r="K233" s="160" t="s">
        <v>13</v>
      </c>
    </row>
    <row r="234" spans="1:11" x14ac:dyDescent="0.3">
      <c r="A234" s="160">
        <v>1</v>
      </c>
      <c r="B234" s="160">
        <v>4791960001</v>
      </c>
      <c r="C234" s="160" t="s">
        <v>2573</v>
      </c>
      <c r="D234" s="160" t="s">
        <v>2574</v>
      </c>
      <c r="F234" s="160" t="s">
        <v>2814</v>
      </c>
      <c r="G234" s="163">
        <v>4</v>
      </c>
      <c r="H234" s="160" t="s">
        <v>2811</v>
      </c>
      <c r="I234" s="164">
        <v>45280</v>
      </c>
      <c r="J234" s="165">
        <v>230000</v>
      </c>
      <c r="K234" s="160" t="s">
        <v>13</v>
      </c>
    </row>
    <row r="235" spans="1:11" x14ac:dyDescent="0.3">
      <c r="A235" s="160">
        <v>1</v>
      </c>
      <c r="B235" s="160">
        <v>4791960002</v>
      </c>
      <c r="C235" s="160" t="s">
        <v>2573</v>
      </c>
      <c r="D235" s="160" t="s">
        <v>2574</v>
      </c>
      <c r="F235" s="160" t="s">
        <v>2815</v>
      </c>
      <c r="G235" s="163">
        <v>5</v>
      </c>
      <c r="H235" s="160" t="s">
        <v>2811</v>
      </c>
      <c r="I235" s="164">
        <v>45379</v>
      </c>
      <c r="J235" s="165">
        <v>400000</v>
      </c>
      <c r="K235" s="160" t="s">
        <v>13</v>
      </c>
    </row>
    <row r="236" spans="1:11" x14ac:dyDescent="0.3">
      <c r="A236" s="160">
        <v>1</v>
      </c>
      <c r="B236" s="160" t="s">
        <v>2816</v>
      </c>
      <c r="C236" s="160" t="s">
        <v>2573</v>
      </c>
      <c r="D236" s="160" t="s">
        <v>2574</v>
      </c>
      <c r="E236" s="160" t="s">
        <v>2817</v>
      </c>
      <c r="F236" s="160" t="s">
        <v>2818</v>
      </c>
      <c r="G236" s="163">
        <v>1</v>
      </c>
      <c r="H236" s="160" t="s">
        <v>2819</v>
      </c>
      <c r="I236" s="164">
        <v>41505</v>
      </c>
      <c r="J236" s="166">
        <v>12000</v>
      </c>
      <c r="K236" s="175" t="s">
        <v>55</v>
      </c>
    </row>
    <row r="237" spans="1:11" x14ac:dyDescent="0.3">
      <c r="A237" s="160">
        <v>1</v>
      </c>
      <c r="B237" s="160" t="s">
        <v>2820</v>
      </c>
      <c r="C237" s="160" t="s">
        <v>2573</v>
      </c>
      <c r="D237" s="160" t="s">
        <v>2574</v>
      </c>
      <c r="E237" s="160" t="s">
        <v>2821</v>
      </c>
      <c r="F237" s="160" t="s">
        <v>2822</v>
      </c>
      <c r="G237" s="163">
        <v>1</v>
      </c>
      <c r="H237" s="160" t="s">
        <v>2823</v>
      </c>
      <c r="I237" s="164">
        <v>42325</v>
      </c>
      <c r="J237" s="166">
        <v>5000</v>
      </c>
      <c r="K237" s="168" t="s">
        <v>13</v>
      </c>
    </row>
    <row r="238" spans="1:11" x14ac:dyDescent="0.3">
      <c r="A238" s="160">
        <v>1</v>
      </c>
      <c r="B238" s="160" t="s">
        <v>2824</v>
      </c>
      <c r="C238" s="160" t="s">
        <v>2573</v>
      </c>
      <c r="D238" s="160" t="s">
        <v>2574</v>
      </c>
      <c r="E238" s="160" t="s">
        <v>2821</v>
      </c>
      <c r="F238" s="160" t="s">
        <v>2825</v>
      </c>
      <c r="G238" s="163">
        <v>2</v>
      </c>
      <c r="H238" s="160" t="s">
        <v>2823</v>
      </c>
      <c r="I238" s="164">
        <v>42479</v>
      </c>
      <c r="J238" s="166">
        <v>20000</v>
      </c>
      <c r="K238" s="168" t="s">
        <v>13</v>
      </c>
    </row>
    <row r="239" spans="1:11" x14ac:dyDescent="0.3">
      <c r="A239" s="160">
        <v>1</v>
      </c>
      <c r="B239" s="160" t="s">
        <v>2826</v>
      </c>
      <c r="C239" s="160" t="s">
        <v>2573</v>
      </c>
      <c r="D239" s="160" t="s">
        <v>2574</v>
      </c>
      <c r="E239" s="160" t="s">
        <v>2821</v>
      </c>
      <c r="F239" s="160" t="s">
        <v>2827</v>
      </c>
      <c r="G239" s="163">
        <v>3</v>
      </c>
      <c r="H239" s="160" t="s">
        <v>2823</v>
      </c>
      <c r="I239" s="164">
        <v>42734</v>
      </c>
      <c r="J239" s="166">
        <v>3000</v>
      </c>
      <c r="K239" s="168" t="s">
        <v>13</v>
      </c>
    </row>
    <row r="240" spans="1:11" x14ac:dyDescent="0.3">
      <c r="A240" s="160">
        <v>1</v>
      </c>
      <c r="B240" s="160" t="s">
        <v>2828</v>
      </c>
      <c r="C240" s="160" t="s">
        <v>2573</v>
      </c>
      <c r="D240" s="160" t="s">
        <v>2574</v>
      </c>
      <c r="E240" s="160" t="s">
        <v>2821</v>
      </c>
      <c r="F240" s="160" t="s">
        <v>2829</v>
      </c>
      <c r="G240" s="163">
        <v>4</v>
      </c>
      <c r="H240" s="160" t="s">
        <v>2823</v>
      </c>
      <c r="I240" s="164">
        <v>42804</v>
      </c>
      <c r="J240" s="169">
        <v>10000</v>
      </c>
      <c r="K240" s="160" t="s">
        <v>13</v>
      </c>
    </row>
    <row r="241" spans="1:11" ht="13" customHeight="1" x14ac:dyDescent="0.3">
      <c r="A241" s="160">
        <v>1</v>
      </c>
      <c r="B241" s="160" t="s">
        <v>2830</v>
      </c>
      <c r="C241" s="160" t="s">
        <v>2573</v>
      </c>
      <c r="D241" s="160" t="s">
        <v>2574</v>
      </c>
      <c r="E241" s="160" t="s">
        <v>2821</v>
      </c>
      <c r="F241" s="160" t="s">
        <v>2831</v>
      </c>
      <c r="G241" s="163">
        <v>5</v>
      </c>
      <c r="H241" s="160" t="s">
        <v>2823</v>
      </c>
      <c r="I241" s="164">
        <v>42913</v>
      </c>
      <c r="J241" s="169">
        <v>40000</v>
      </c>
      <c r="K241" s="160" t="s">
        <v>13</v>
      </c>
    </row>
    <row r="242" spans="1:11" x14ac:dyDescent="0.3">
      <c r="A242" s="160">
        <v>1</v>
      </c>
      <c r="B242" s="160" t="s">
        <v>2832</v>
      </c>
      <c r="C242" s="160" t="s">
        <v>2573</v>
      </c>
      <c r="D242" s="160" t="s">
        <v>2574</v>
      </c>
      <c r="E242" s="160" t="s">
        <v>2821</v>
      </c>
      <c r="F242" s="160" t="s">
        <v>2833</v>
      </c>
      <c r="G242" s="163">
        <v>6</v>
      </c>
      <c r="H242" s="160" t="s">
        <v>2823</v>
      </c>
      <c r="I242" s="164">
        <v>43091</v>
      </c>
      <c r="J242" s="169">
        <v>5000</v>
      </c>
      <c r="K242" s="160" t="s">
        <v>2410</v>
      </c>
    </row>
    <row r="243" spans="1:11" ht="13" customHeight="1" x14ac:dyDescent="0.3">
      <c r="A243" s="160">
        <v>1</v>
      </c>
      <c r="B243" s="160" t="s">
        <v>2834</v>
      </c>
      <c r="C243" s="160" t="s">
        <v>2573</v>
      </c>
      <c r="D243" s="160" t="s">
        <v>2574</v>
      </c>
      <c r="E243" s="160" t="s">
        <v>2821</v>
      </c>
      <c r="F243" s="160" t="s">
        <v>2835</v>
      </c>
      <c r="G243" s="163">
        <v>7</v>
      </c>
      <c r="H243" s="160" t="s">
        <v>2823</v>
      </c>
      <c r="I243" s="164">
        <v>43270</v>
      </c>
      <c r="J243" s="169">
        <v>50000</v>
      </c>
      <c r="K243" s="160" t="s">
        <v>13</v>
      </c>
    </row>
    <row r="244" spans="1:11" ht="13" customHeight="1" x14ac:dyDescent="0.3">
      <c r="A244" s="160">
        <v>1</v>
      </c>
      <c r="B244" s="160">
        <v>93440</v>
      </c>
      <c r="C244" s="160" t="s">
        <v>2573</v>
      </c>
      <c r="D244" s="160" t="s">
        <v>2574</v>
      </c>
      <c r="E244" s="160" t="s">
        <v>2821</v>
      </c>
      <c r="F244" s="160" t="s">
        <v>2836</v>
      </c>
      <c r="G244" s="163">
        <v>8</v>
      </c>
      <c r="H244" s="160" t="s">
        <v>2823</v>
      </c>
      <c r="I244" s="164">
        <v>44340</v>
      </c>
      <c r="J244" s="169">
        <v>100000</v>
      </c>
      <c r="K244" s="160" t="s">
        <v>13</v>
      </c>
    </row>
    <row r="245" spans="1:11" ht="13" customHeight="1" x14ac:dyDescent="0.3">
      <c r="A245" s="160">
        <v>1</v>
      </c>
      <c r="B245" s="160">
        <v>10908542</v>
      </c>
      <c r="C245" s="160" t="s">
        <v>2573</v>
      </c>
      <c r="D245" s="160" t="s">
        <v>2574</v>
      </c>
      <c r="F245" s="160" t="s">
        <v>2837</v>
      </c>
      <c r="G245" s="163">
        <v>1</v>
      </c>
      <c r="H245" s="160" t="s">
        <v>2838</v>
      </c>
      <c r="I245" s="164">
        <v>44911</v>
      </c>
      <c r="J245" s="169">
        <v>50000</v>
      </c>
      <c r="K245" s="160" t="s">
        <v>13</v>
      </c>
    </row>
    <row r="246" spans="1:11" ht="13" customHeight="1" x14ac:dyDescent="0.3">
      <c r="A246" s="160">
        <v>1</v>
      </c>
      <c r="B246" s="160">
        <v>113668</v>
      </c>
      <c r="C246" s="160" t="s">
        <v>2573</v>
      </c>
      <c r="D246" s="160" t="s">
        <v>2574</v>
      </c>
      <c r="F246" s="160" t="s">
        <v>2839</v>
      </c>
      <c r="G246" s="163">
        <v>1</v>
      </c>
      <c r="H246" s="160" t="s">
        <v>2840</v>
      </c>
      <c r="I246" s="164">
        <v>44468</v>
      </c>
      <c r="J246" s="165">
        <v>60000</v>
      </c>
      <c r="K246" s="160" t="s">
        <v>13</v>
      </c>
    </row>
    <row r="247" spans="1:11" ht="13" customHeight="1" x14ac:dyDescent="0.3">
      <c r="A247" s="160">
        <v>1</v>
      </c>
      <c r="B247" s="160">
        <v>4389140001</v>
      </c>
      <c r="C247" s="160" t="s">
        <v>2573</v>
      </c>
      <c r="D247" s="160" t="s">
        <v>2574</v>
      </c>
      <c r="F247" s="160" t="s">
        <v>2841</v>
      </c>
      <c r="G247" s="163">
        <v>2</v>
      </c>
      <c r="H247" s="160" t="s">
        <v>2840</v>
      </c>
      <c r="I247" s="164">
        <v>45310</v>
      </c>
      <c r="J247" s="165">
        <v>100000</v>
      </c>
      <c r="K247" s="160" t="s">
        <v>13</v>
      </c>
    </row>
    <row r="248" spans="1:11" ht="13" customHeight="1" x14ac:dyDescent="0.3">
      <c r="A248" s="160">
        <v>1</v>
      </c>
      <c r="B248" s="160">
        <v>4389140002</v>
      </c>
      <c r="C248" s="160" t="s">
        <v>2573</v>
      </c>
      <c r="D248" s="160" t="s">
        <v>2574</v>
      </c>
      <c r="F248" s="160" t="s">
        <v>2842</v>
      </c>
      <c r="G248" s="163">
        <v>3</v>
      </c>
      <c r="H248" s="160" t="s">
        <v>2840</v>
      </c>
      <c r="I248" s="164">
        <v>45896</v>
      </c>
      <c r="J248" s="165">
        <v>200000</v>
      </c>
      <c r="K248" s="160" t="s">
        <v>13</v>
      </c>
    </row>
    <row r="249" spans="1:11" ht="13" customHeight="1" x14ac:dyDescent="0.3">
      <c r="A249" s="160">
        <v>1</v>
      </c>
      <c r="B249" s="160">
        <v>118464</v>
      </c>
      <c r="C249" s="160" t="s">
        <v>2573</v>
      </c>
      <c r="D249" s="160" t="s">
        <v>2574</v>
      </c>
      <c r="F249" s="160" t="s">
        <v>2843</v>
      </c>
      <c r="G249" s="163">
        <v>1</v>
      </c>
      <c r="H249" s="160" t="s">
        <v>2844</v>
      </c>
      <c r="I249" s="164">
        <v>44510</v>
      </c>
      <c r="J249" s="165">
        <v>80000</v>
      </c>
      <c r="K249" s="160" t="s">
        <v>13</v>
      </c>
    </row>
    <row r="250" spans="1:11" ht="13" customHeight="1" x14ac:dyDescent="0.3">
      <c r="A250" s="160">
        <v>1</v>
      </c>
      <c r="B250" s="160">
        <v>136307</v>
      </c>
      <c r="C250" s="160" t="s">
        <v>2573</v>
      </c>
      <c r="D250" s="160" t="s">
        <v>2574</v>
      </c>
      <c r="F250" s="160" t="s">
        <v>2845</v>
      </c>
      <c r="G250" s="163">
        <v>2</v>
      </c>
      <c r="H250" s="160" t="s">
        <v>2844</v>
      </c>
      <c r="I250" s="164">
        <v>44672</v>
      </c>
      <c r="J250" s="165">
        <v>31000</v>
      </c>
      <c r="K250" s="160" t="s">
        <v>70</v>
      </c>
    </row>
    <row r="251" spans="1:11" ht="13" customHeight="1" x14ac:dyDescent="0.3">
      <c r="A251" s="160">
        <v>1</v>
      </c>
      <c r="B251" s="160">
        <v>156291</v>
      </c>
      <c r="C251" s="160" t="s">
        <v>2573</v>
      </c>
      <c r="D251" s="160" t="s">
        <v>2574</v>
      </c>
      <c r="F251" s="160" t="s">
        <v>2846</v>
      </c>
      <c r="G251" s="163">
        <v>3</v>
      </c>
      <c r="H251" s="160" t="s">
        <v>2844</v>
      </c>
      <c r="I251" s="164">
        <v>44832</v>
      </c>
      <c r="J251" s="165">
        <v>5000</v>
      </c>
      <c r="K251" s="160" t="s">
        <v>13</v>
      </c>
    </row>
    <row r="252" spans="1:11" ht="13" customHeight="1" x14ac:dyDescent="0.3">
      <c r="A252" s="160">
        <v>1</v>
      </c>
      <c r="B252" s="160">
        <v>5043530001</v>
      </c>
      <c r="C252" s="160" t="s">
        <v>2573</v>
      </c>
      <c r="D252" s="160" t="s">
        <v>2574</v>
      </c>
      <c r="F252" s="160" t="s">
        <v>2847</v>
      </c>
      <c r="G252" s="163">
        <v>4</v>
      </c>
      <c r="H252" s="160" t="s">
        <v>2844</v>
      </c>
      <c r="I252" s="164">
        <v>45184</v>
      </c>
      <c r="J252" s="165">
        <v>10000</v>
      </c>
      <c r="K252" s="160" t="s">
        <v>13</v>
      </c>
    </row>
    <row r="253" spans="1:11" ht="13" customHeight="1" x14ac:dyDescent="0.3">
      <c r="A253" s="160">
        <v>1</v>
      </c>
      <c r="B253" s="160">
        <v>5043530002</v>
      </c>
      <c r="C253" s="160" t="s">
        <v>2573</v>
      </c>
      <c r="D253" s="160" t="s">
        <v>2574</v>
      </c>
      <c r="F253" s="160" t="s">
        <v>2848</v>
      </c>
      <c r="G253" s="163">
        <v>5</v>
      </c>
      <c r="H253" s="160" t="s">
        <v>2844</v>
      </c>
      <c r="I253" s="164">
        <v>45505</v>
      </c>
      <c r="J253" s="165">
        <v>60000</v>
      </c>
      <c r="K253" s="160" t="s">
        <v>13</v>
      </c>
    </row>
    <row r="254" spans="1:11" ht="13" customHeight="1" x14ac:dyDescent="0.3">
      <c r="A254" s="160">
        <v>1</v>
      </c>
      <c r="B254" s="160">
        <v>146596</v>
      </c>
      <c r="C254" s="160" t="s">
        <v>2573</v>
      </c>
      <c r="D254" s="160" t="s">
        <v>2574</v>
      </c>
      <c r="F254" s="160" t="s">
        <v>2849</v>
      </c>
      <c r="G254" s="163">
        <v>1</v>
      </c>
      <c r="H254" s="160" t="s">
        <v>2850</v>
      </c>
      <c r="I254" s="164">
        <v>44781</v>
      </c>
      <c r="J254" s="165">
        <v>70000</v>
      </c>
      <c r="K254" s="160" t="s">
        <v>13</v>
      </c>
    </row>
    <row r="255" spans="1:11" ht="13" customHeight="1" x14ac:dyDescent="0.3">
      <c r="A255" s="160">
        <v>1</v>
      </c>
      <c r="B255" s="160" t="s">
        <v>2851</v>
      </c>
      <c r="C255" s="160" t="s">
        <v>2573</v>
      </c>
      <c r="D255" s="160" t="s">
        <v>2574</v>
      </c>
      <c r="E255" s="160" t="s">
        <v>2852</v>
      </c>
      <c r="F255" s="160" t="s">
        <v>2853</v>
      </c>
      <c r="G255" s="163">
        <v>1</v>
      </c>
      <c r="H255" s="160" t="s">
        <v>2854</v>
      </c>
      <c r="I255" s="164">
        <v>41767</v>
      </c>
      <c r="J255" s="166">
        <v>3000</v>
      </c>
      <c r="K255" s="168" t="s">
        <v>13</v>
      </c>
    </row>
    <row r="256" spans="1:11" ht="13" customHeight="1" x14ac:dyDescent="0.3">
      <c r="A256" s="160">
        <v>1</v>
      </c>
      <c r="B256" s="160" t="s">
        <v>2855</v>
      </c>
      <c r="C256" s="160" t="s">
        <v>2573</v>
      </c>
      <c r="D256" s="160" t="s">
        <v>2574</v>
      </c>
      <c r="E256" s="160" t="s">
        <v>2852</v>
      </c>
      <c r="F256" s="160" t="s">
        <v>2856</v>
      </c>
      <c r="G256" s="163">
        <v>2</v>
      </c>
      <c r="H256" s="160" t="s">
        <v>2854</v>
      </c>
      <c r="I256" s="164">
        <v>42327</v>
      </c>
      <c r="J256" s="166">
        <v>5000</v>
      </c>
      <c r="K256" s="175" t="s">
        <v>55</v>
      </c>
    </row>
    <row r="257" spans="1:11" ht="13" customHeight="1" x14ac:dyDescent="0.3">
      <c r="A257" s="160">
        <v>1</v>
      </c>
      <c r="B257" s="160">
        <v>97723</v>
      </c>
      <c r="C257" s="160" t="s">
        <v>2573</v>
      </c>
      <c r="D257" s="160" t="s">
        <v>2574</v>
      </c>
      <c r="E257" s="160" t="s">
        <v>2852</v>
      </c>
      <c r="F257" s="160" t="s">
        <v>2857</v>
      </c>
      <c r="G257" s="163">
        <v>3</v>
      </c>
      <c r="H257" s="160" t="s">
        <v>2854</v>
      </c>
      <c r="I257" s="164">
        <v>44320</v>
      </c>
      <c r="J257" s="165">
        <v>10000</v>
      </c>
      <c r="K257" s="160" t="s">
        <v>13</v>
      </c>
    </row>
    <row r="258" spans="1:11" ht="13" customHeight="1" x14ac:dyDescent="0.3">
      <c r="A258" s="160">
        <v>1</v>
      </c>
      <c r="B258" s="160">
        <v>148951</v>
      </c>
      <c r="C258" s="160" t="s">
        <v>2573</v>
      </c>
      <c r="D258" s="160" t="s">
        <v>2574</v>
      </c>
      <c r="F258" s="160" t="s">
        <v>2858</v>
      </c>
      <c r="G258" s="163">
        <v>1</v>
      </c>
      <c r="H258" s="160" t="s">
        <v>2859</v>
      </c>
      <c r="I258" s="164">
        <v>44833</v>
      </c>
      <c r="J258" s="169">
        <v>50000</v>
      </c>
      <c r="K258" s="160" t="s">
        <v>13</v>
      </c>
    </row>
    <row r="259" spans="1:11" ht="13" customHeight="1" x14ac:dyDescent="0.3">
      <c r="A259" s="160">
        <v>1</v>
      </c>
      <c r="B259" s="160">
        <v>37436</v>
      </c>
      <c r="C259" s="160" t="s">
        <v>2573</v>
      </c>
      <c r="D259" s="160" t="s">
        <v>2574</v>
      </c>
      <c r="F259" s="160" t="s">
        <v>2860</v>
      </c>
      <c r="G259" s="163">
        <v>1</v>
      </c>
      <c r="H259" s="160" t="s">
        <v>2861</v>
      </c>
      <c r="I259" s="164">
        <v>43882</v>
      </c>
      <c r="J259" s="165">
        <v>10000</v>
      </c>
      <c r="K259" s="160" t="s">
        <v>13</v>
      </c>
    </row>
    <row r="260" spans="1:11" ht="13" customHeight="1" x14ac:dyDescent="0.3">
      <c r="A260" s="160">
        <v>1</v>
      </c>
      <c r="B260" s="160">
        <v>124663</v>
      </c>
      <c r="C260" s="160" t="s">
        <v>2573</v>
      </c>
      <c r="D260" s="160" t="s">
        <v>2574</v>
      </c>
      <c r="F260" s="160" t="s">
        <v>2862</v>
      </c>
      <c r="G260" s="163">
        <v>2</v>
      </c>
      <c r="H260" s="160" t="s">
        <v>2861</v>
      </c>
      <c r="I260" s="164">
        <v>44554</v>
      </c>
      <c r="J260" s="165">
        <v>20000</v>
      </c>
      <c r="K260" s="160" t="s">
        <v>13</v>
      </c>
    </row>
    <row r="261" spans="1:11" ht="13" customHeight="1" x14ac:dyDescent="0.3">
      <c r="A261" s="160">
        <v>1</v>
      </c>
      <c r="B261" s="160">
        <v>10906845</v>
      </c>
      <c r="C261" s="160" t="s">
        <v>2573</v>
      </c>
      <c r="D261" s="160" t="s">
        <v>2574</v>
      </c>
      <c r="F261" s="160" t="s">
        <v>2863</v>
      </c>
      <c r="G261" s="163">
        <v>3</v>
      </c>
      <c r="H261" s="160" t="s">
        <v>2861</v>
      </c>
      <c r="I261" s="164">
        <v>44902</v>
      </c>
      <c r="J261" s="165">
        <v>50000</v>
      </c>
      <c r="K261" s="160" t="s">
        <v>70</v>
      </c>
    </row>
    <row r="262" spans="1:11" ht="13" customHeight="1" x14ac:dyDescent="0.3">
      <c r="A262" s="160">
        <v>1</v>
      </c>
      <c r="B262" s="160" t="s">
        <v>2864</v>
      </c>
      <c r="C262" s="160" t="s">
        <v>2573</v>
      </c>
      <c r="D262" s="160" t="s">
        <v>2574</v>
      </c>
      <c r="E262" s="160" t="s">
        <v>2865</v>
      </c>
      <c r="F262" s="160" t="s">
        <v>2866</v>
      </c>
      <c r="G262" s="163">
        <v>1</v>
      </c>
      <c r="H262" s="160" t="s">
        <v>2867</v>
      </c>
      <c r="I262" s="164">
        <v>42046</v>
      </c>
      <c r="J262" s="166">
        <v>30000</v>
      </c>
      <c r="K262" s="168" t="s">
        <v>13</v>
      </c>
    </row>
    <row r="263" spans="1:11" ht="13" customHeight="1" x14ac:dyDescent="0.3">
      <c r="A263" s="160">
        <v>1</v>
      </c>
      <c r="B263" s="160">
        <v>5412810002</v>
      </c>
      <c r="C263" s="160" t="s">
        <v>2573</v>
      </c>
      <c r="D263" s="160" t="s">
        <v>2574</v>
      </c>
      <c r="F263" s="160" t="s">
        <v>2868</v>
      </c>
      <c r="G263" s="163">
        <v>1</v>
      </c>
      <c r="H263" s="160" t="s">
        <v>2869</v>
      </c>
      <c r="I263" s="164">
        <v>45464</v>
      </c>
      <c r="J263" s="165">
        <v>40000</v>
      </c>
      <c r="K263" s="160" t="s">
        <v>13</v>
      </c>
    </row>
    <row r="264" spans="1:11" ht="13" customHeight="1" x14ac:dyDescent="0.3">
      <c r="A264" s="160">
        <v>1</v>
      </c>
      <c r="B264" s="160">
        <v>5644600001</v>
      </c>
      <c r="C264" s="160" t="s">
        <v>2573</v>
      </c>
      <c r="D264" s="160" t="s">
        <v>2574</v>
      </c>
      <c r="F264" s="160" t="s">
        <v>2870</v>
      </c>
      <c r="G264" s="163">
        <v>1</v>
      </c>
      <c r="H264" s="160" t="s">
        <v>2871</v>
      </c>
      <c r="I264" s="164">
        <v>45107</v>
      </c>
      <c r="J264" s="165">
        <v>25000</v>
      </c>
      <c r="K264" s="160" t="s">
        <v>13</v>
      </c>
    </row>
    <row r="265" spans="1:11" ht="13" customHeight="1" x14ac:dyDescent="0.3">
      <c r="A265" s="160">
        <v>1</v>
      </c>
      <c r="B265" s="160">
        <v>5644600002</v>
      </c>
      <c r="C265" s="160" t="s">
        <v>2573</v>
      </c>
      <c r="D265" s="160" t="s">
        <v>2574</v>
      </c>
      <c r="F265" s="160" t="s">
        <v>2872</v>
      </c>
      <c r="G265" s="163">
        <v>2</v>
      </c>
      <c r="H265" s="160" t="s">
        <v>2871</v>
      </c>
      <c r="I265" s="164">
        <v>45594</v>
      </c>
      <c r="J265" s="165">
        <v>150000</v>
      </c>
      <c r="K265" s="160" t="s">
        <v>13</v>
      </c>
    </row>
    <row r="266" spans="1:11" ht="13" customHeight="1" x14ac:dyDescent="0.3">
      <c r="A266" s="160">
        <v>1</v>
      </c>
      <c r="B266" s="160">
        <v>5644600003</v>
      </c>
      <c r="C266" s="160" t="s">
        <v>2573</v>
      </c>
      <c r="D266" s="160" t="s">
        <v>2574</v>
      </c>
      <c r="F266" s="160" t="s">
        <v>2873</v>
      </c>
      <c r="G266" s="163">
        <v>3</v>
      </c>
      <c r="H266" s="160" t="s">
        <v>2871</v>
      </c>
      <c r="I266" s="164">
        <v>45923</v>
      </c>
      <c r="J266" s="165">
        <v>100000</v>
      </c>
      <c r="K266" s="160" t="s">
        <v>13</v>
      </c>
    </row>
    <row r="267" spans="1:11" x14ac:dyDescent="0.3">
      <c r="A267" s="160">
        <v>1</v>
      </c>
      <c r="B267" s="160" t="s">
        <v>2874</v>
      </c>
      <c r="C267" s="160" t="s">
        <v>2573</v>
      </c>
      <c r="D267" s="160" t="s">
        <v>2574</v>
      </c>
      <c r="E267" s="160" t="s">
        <v>2875</v>
      </c>
      <c r="F267" s="160" t="s">
        <v>2876</v>
      </c>
      <c r="G267" s="163">
        <v>1</v>
      </c>
      <c r="H267" s="160" t="s">
        <v>2877</v>
      </c>
      <c r="I267" s="164">
        <v>42949</v>
      </c>
      <c r="J267" s="169">
        <v>80000</v>
      </c>
      <c r="K267" s="160" t="s">
        <v>13</v>
      </c>
    </row>
    <row r="268" spans="1:11" x14ac:dyDescent="0.3">
      <c r="A268" s="160">
        <v>1</v>
      </c>
      <c r="B268" s="160">
        <v>87363</v>
      </c>
      <c r="C268" s="160" t="s">
        <v>2573</v>
      </c>
      <c r="D268" s="160" t="s">
        <v>2574</v>
      </c>
      <c r="E268" s="160" t="s">
        <v>2875</v>
      </c>
      <c r="F268" s="160" t="s">
        <v>2878</v>
      </c>
      <c r="G268" s="163">
        <v>2</v>
      </c>
      <c r="H268" s="160" t="s">
        <v>2877</v>
      </c>
      <c r="I268" s="164">
        <v>44215</v>
      </c>
      <c r="J268" s="169">
        <v>30000</v>
      </c>
      <c r="K268" s="160" t="s">
        <v>13</v>
      </c>
    </row>
    <row r="269" spans="1:11" x14ac:dyDescent="0.3">
      <c r="A269" s="160">
        <v>1</v>
      </c>
      <c r="B269" s="160">
        <v>95619</v>
      </c>
      <c r="C269" s="160" t="s">
        <v>2573</v>
      </c>
      <c r="D269" s="160" t="s">
        <v>2574</v>
      </c>
      <c r="E269" s="160" t="s">
        <v>2875</v>
      </c>
      <c r="F269" s="160" t="s">
        <v>2879</v>
      </c>
      <c r="G269" s="163">
        <v>3</v>
      </c>
      <c r="H269" s="160" t="s">
        <v>2877</v>
      </c>
      <c r="I269" s="164">
        <v>44300</v>
      </c>
      <c r="J269" s="169">
        <v>150000</v>
      </c>
      <c r="K269" s="160" t="s">
        <v>13</v>
      </c>
    </row>
    <row r="270" spans="1:11" x14ac:dyDescent="0.3">
      <c r="A270" s="160">
        <v>1</v>
      </c>
      <c r="B270" s="160">
        <v>3146620001</v>
      </c>
      <c r="C270" s="160" t="s">
        <v>2573</v>
      </c>
      <c r="D270" s="160" t="s">
        <v>2574</v>
      </c>
      <c r="E270" s="160" t="s">
        <v>2875</v>
      </c>
      <c r="F270" s="160" t="s">
        <v>2880</v>
      </c>
      <c r="G270" s="163">
        <v>4</v>
      </c>
      <c r="H270" s="160" t="s">
        <v>2877</v>
      </c>
      <c r="I270" s="164">
        <v>45552</v>
      </c>
      <c r="J270" s="169">
        <v>400000</v>
      </c>
      <c r="K270" s="160" t="s">
        <v>13</v>
      </c>
    </row>
    <row r="271" spans="1:11" x14ac:dyDescent="0.3">
      <c r="A271" s="160">
        <v>1</v>
      </c>
      <c r="B271" s="160">
        <v>3146620002</v>
      </c>
      <c r="C271" s="160" t="s">
        <v>2573</v>
      </c>
      <c r="D271" s="160" t="s">
        <v>2574</v>
      </c>
      <c r="E271" s="160" t="s">
        <v>2875</v>
      </c>
      <c r="F271" s="160" t="s">
        <v>2881</v>
      </c>
      <c r="G271" s="163">
        <v>5</v>
      </c>
      <c r="H271" s="160" t="s">
        <v>2877</v>
      </c>
      <c r="I271" s="164">
        <v>45740</v>
      </c>
      <c r="J271" s="169">
        <v>300000</v>
      </c>
      <c r="K271" s="160" t="s">
        <v>13</v>
      </c>
    </row>
    <row r="272" spans="1:11" x14ac:dyDescent="0.3">
      <c r="A272" s="160">
        <v>1</v>
      </c>
      <c r="B272" s="160">
        <v>4944240001</v>
      </c>
      <c r="C272" s="160" t="s">
        <v>2573</v>
      </c>
      <c r="D272" s="160" t="s">
        <v>2574</v>
      </c>
      <c r="F272" s="160" t="s">
        <v>2882</v>
      </c>
      <c r="G272" s="163">
        <v>1</v>
      </c>
      <c r="H272" s="160" t="s">
        <v>2883</v>
      </c>
      <c r="I272" s="164">
        <v>45100</v>
      </c>
      <c r="J272" s="165">
        <v>130000</v>
      </c>
      <c r="K272" s="160" t="s">
        <v>55</v>
      </c>
    </row>
    <row r="273" spans="1:11" x14ac:dyDescent="0.3">
      <c r="A273" s="160">
        <v>1</v>
      </c>
      <c r="B273" s="160">
        <v>5023130003</v>
      </c>
      <c r="C273" s="160" t="s">
        <v>2573</v>
      </c>
      <c r="D273" s="160" t="s">
        <v>2574</v>
      </c>
      <c r="F273" s="160" t="s">
        <v>2884</v>
      </c>
      <c r="G273" s="163">
        <v>1</v>
      </c>
      <c r="H273" s="160" t="s">
        <v>2885</v>
      </c>
      <c r="I273" s="164">
        <v>45254</v>
      </c>
      <c r="J273" s="165">
        <v>220000</v>
      </c>
      <c r="K273" s="160" t="s">
        <v>13</v>
      </c>
    </row>
    <row r="274" spans="1:11" x14ac:dyDescent="0.3">
      <c r="A274" s="160">
        <v>1</v>
      </c>
      <c r="B274" s="160">
        <v>5023130004</v>
      </c>
      <c r="C274" s="160" t="s">
        <v>2573</v>
      </c>
      <c r="D274" s="160" t="s">
        <v>2574</v>
      </c>
      <c r="F274" s="160" t="s">
        <v>2886</v>
      </c>
      <c r="G274" s="163">
        <v>2</v>
      </c>
      <c r="H274" s="160" t="s">
        <v>2885</v>
      </c>
      <c r="I274" s="164">
        <v>45401</v>
      </c>
      <c r="J274" s="165">
        <v>400000</v>
      </c>
      <c r="K274" s="160" t="s">
        <v>13</v>
      </c>
    </row>
    <row r="275" spans="1:11" x14ac:dyDescent="0.3">
      <c r="A275" s="160">
        <v>1</v>
      </c>
      <c r="B275" s="160">
        <v>5023130010</v>
      </c>
      <c r="C275" s="160" t="s">
        <v>2573</v>
      </c>
      <c r="D275" s="160" t="s">
        <v>2574</v>
      </c>
      <c r="F275" s="160" t="s">
        <v>2887</v>
      </c>
      <c r="G275" s="163">
        <v>3</v>
      </c>
      <c r="H275" s="160" t="s">
        <v>2885</v>
      </c>
      <c r="I275" s="164">
        <v>45700</v>
      </c>
      <c r="J275" s="165">
        <v>200000</v>
      </c>
      <c r="K275" s="160" t="s">
        <v>13</v>
      </c>
    </row>
    <row r="276" spans="1:11" x14ac:dyDescent="0.3">
      <c r="A276" s="160">
        <v>1</v>
      </c>
      <c r="B276" s="160" t="s">
        <v>2888</v>
      </c>
      <c r="C276" s="160" t="s">
        <v>2573</v>
      </c>
      <c r="D276" s="160" t="s">
        <v>2574</v>
      </c>
      <c r="E276" s="160" t="s">
        <v>2889</v>
      </c>
      <c r="F276" s="160" t="s">
        <v>2890</v>
      </c>
      <c r="G276" s="163">
        <v>1</v>
      </c>
      <c r="H276" s="160" t="s">
        <v>2891</v>
      </c>
      <c r="I276" s="164">
        <v>41505</v>
      </c>
      <c r="J276" s="166">
        <v>20000</v>
      </c>
      <c r="K276" s="168" t="s">
        <v>13</v>
      </c>
    </row>
    <row r="277" spans="1:11" ht="13" customHeight="1" x14ac:dyDescent="0.3">
      <c r="A277" s="160">
        <v>1</v>
      </c>
      <c r="B277" s="160" t="s">
        <v>2892</v>
      </c>
      <c r="C277" s="160" t="s">
        <v>2573</v>
      </c>
      <c r="D277" s="160" t="s">
        <v>2574</v>
      </c>
      <c r="E277" s="160" t="s">
        <v>2889</v>
      </c>
      <c r="F277" s="160" t="s">
        <v>2893</v>
      </c>
      <c r="G277" s="163">
        <v>2</v>
      </c>
      <c r="H277" s="160" t="s">
        <v>2891</v>
      </c>
      <c r="I277" s="164">
        <v>41870</v>
      </c>
      <c r="J277" s="166">
        <v>40000</v>
      </c>
      <c r="K277" s="168" t="s">
        <v>13</v>
      </c>
    </row>
    <row r="278" spans="1:11" x14ac:dyDescent="0.3">
      <c r="A278" s="160">
        <v>1</v>
      </c>
      <c r="B278" s="160" t="s">
        <v>2894</v>
      </c>
      <c r="C278" s="160" t="s">
        <v>2573</v>
      </c>
      <c r="D278" s="160" t="s">
        <v>2574</v>
      </c>
      <c r="E278" s="160" t="s">
        <v>2895</v>
      </c>
      <c r="F278" s="160" t="s">
        <v>2896</v>
      </c>
      <c r="G278" s="163">
        <v>1</v>
      </c>
      <c r="H278" s="160" t="s">
        <v>2897</v>
      </c>
      <c r="I278" s="164">
        <v>41739</v>
      </c>
      <c r="J278" s="166">
        <v>20000</v>
      </c>
      <c r="K278" s="168" t="s">
        <v>13</v>
      </c>
    </row>
    <row r="279" spans="1:11" ht="14.5" customHeight="1" x14ac:dyDescent="0.3">
      <c r="A279" s="160">
        <v>1</v>
      </c>
      <c r="B279" s="160" t="s">
        <v>2898</v>
      </c>
      <c r="C279" s="160" t="s">
        <v>2573</v>
      </c>
      <c r="D279" s="160" t="s">
        <v>2574</v>
      </c>
      <c r="E279" s="160" t="s">
        <v>2895</v>
      </c>
      <c r="F279" s="160" t="s">
        <v>2899</v>
      </c>
      <c r="G279" s="163">
        <v>2</v>
      </c>
      <c r="H279" s="160" t="s">
        <v>2897</v>
      </c>
      <c r="I279" s="164">
        <v>42599</v>
      </c>
      <c r="J279" s="166">
        <v>30000</v>
      </c>
      <c r="K279" s="168" t="s">
        <v>13</v>
      </c>
    </row>
    <row r="280" spans="1:11" x14ac:dyDescent="0.3">
      <c r="A280" s="160">
        <v>1</v>
      </c>
      <c r="B280" s="160">
        <v>98133</v>
      </c>
      <c r="C280" s="160" t="s">
        <v>2573</v>
      </c>
      <c r="D280" s="160" t="s">
        <v>2574</v>
      </c>
      <c r="E280" s="160" t="s">
        <v>2895</v>
      </c>
      <c r="F280" s="160" t="s">
        <v>2900</v>
      </c>
      <c r="G280" s="163">
        <v>3</v>
      </c>
      <c r="H280" s="160" t="s">
        <v>2897</v>
      </c>
      <c r="I280" s="164">
        <v>44323</v>
      </c>
      <c r="J280" s="165">
        <v>60000</v>
      </c>
      <c r="K280" s="160" t="s">
        <v>13</v>
      </c>
    </row>
    <row r="281" spans="1:11" x14ac:dyDescent="0.3">
      <c r="A281" s="160">
        <v>1</v>
      </c>
      <c r="B281" s="160">
        <v>11267413</v>
      </c>
      <c r="C281" s="160" t="s">
        <v>2573</v>
      </c>
      <c r="D281" s="160" t="s">
        <v>2574</v>
      </c>
      <c r="E281" s="160" t="s">
        <v>2895</v>
      </c>
      <c r="F281" s="160" t="s">
        <v>2901</v>
      </c>
      <c r="G281" s="163">
        <v>4</v>
      </c>
      <c r="H281" s="160" t="s">
        <v>2897</v>
      </c>
      <c r="I281" s="164">
        <v>45015</v>
      </c>
      <c r="J281" s="165">
        <v>60000</v>
      </c>
      <c r="K281" s="160" t="s">
        <v>13</v>
      </c>
    </row>
    <row r="282" spans="1:11" x14ac:dyDescent="0.3">
      <c r="A282" s="160">
        <v>1</v>
      </c>
      <c r="B282" s="160">
        <v>10903021</v>
      </c>
      <c r="C282" s="160" t="s">
        <v>2573</v>
      </c>
      <c r="D282" s="160" t="s">
        <v>2574</v>
      </c>
      <c r="F282" s="160" t="s">
        <v>2902</v>
      </c>
      <c r="G282" s="163">
        <v>1</v>
      </c>
      <c r="H282" s="160" t="s">
        <v>2903</v>
      </c>
      <c r="I282" s="164">
        <v>44883</v>
      </c>
      <c r="J282" s="169">
        <v>80000</v>
      </c>
      <c r="K282" s="160" t="s">
        <v>13</v>
      </c>
    </row>
    <row r="283" spans="1:11" x14ac:dyDescent="0.3">
      <c r="A283" s="160">
        <v>1</v>
      </c>
      <c r="B283" s="160" t="s">
        <v>2904</v>
      </c>
      <c r="C283" s="160" t="s">
        <v>2573</v>
      </c>
      <c r="D283" s="160" t="s">
        <v>2574</v>
      </c>
      <c r="E283" s="160" t="s">
        <v>2905</v>
      </c>
      <c r="F283" s="160" t="s">
        <v>2906</v>
      </c>
      <c r="G283" s="163">
        <v>1</v>
      </c>
      <c r="H283" s="160" t="s">
        <v>2907</v>
      </c>
      <c r="I283" s="164">
        <v>42296</v>
      </c>
      <c r="J283" s="166">
        <v>2000</v>
      </c>
      <c r="K283" s="168" t="s">
        <v>13</v>
      </c>
    </row>
    <row r="284" spans="1:11" ht="13" customHeight="1" x14ac:dyDescent="0.3">
      <c r="A284" s="160">
        <v>1</v>
      </c>
      <c r="B284" s="160" t="s">
        <v>2908</v>
      </c>
      <c r="C284" s="160" t="s">
        <v>2573</v>
      </c>
      <c r="D284" s="160" t="s">
        <v>2574</v>
      </c>
      <c r="E284" s="160" t="s">
        <v>2905</v>
      </c>
      <c r="F284" s="160" t="s">
        <v>2909</v>
      </c>
      <c r="G284" s="163">
        <v>2</v>
      </c>
      <c r="H284" s="160" t="s">
        <v>2907</v>
      </c>
      <c r="I284" s="164">
        <v>42703</v>
      </c>
      <c r="J284" s="166">
        <v>25000</v>
      </c>
      <c r="K284" s="167" t="s">
        <v>70</v>
      </c>
    </row>
    <row r="285" spans="1:11" x14ac:dyDescent="0.3">
      <c r="A285" s="160">
        <v>1</v>
      </c>
      <c r="B285" s="160" t="s">
        <v>2910</v>
      </c>
      <c r="C285" s="160" t="s">
        <v>2573</v>
      </c>
      <c r="D285" s="160" t="s">
        <v>2574</v>
      </c>
      <c r="E285" s="160" t="s">
        <v>2911</v>
      </c>
      <c r="F285" s="160" t="s">
        <v>2912</v>
      </c>
      <c r="G285" s="163">
        <v>1</v>
      </c>
      <c r="H285" s="160" t="s">
        <v>2913</v>
      </c>
      <c r="I285" s="164">
        <v>42338</v>
      </c>
      <c r="J285" s="166">
        <v>25000</v>
      </c>
      <c r="K285" s="168" t="s">
        <v>13</v>
      </c>
    </row>
    <row r="286" spans="1:11" x14ac:dyDescent="0.3">
      <c r="A286" s="160">
        <v>1</v>
      </c>
      <c r="B286" s="160">
        <v>28852</v>
      </c>
      <c r="C286" s="160" t="s">
        <v>2573</v>
      </c>
      <c r="D286" s="160" t="s">
        <v>2574</v>
      </c>
      <c r="E286" s="160" t="s">
        <v>2911</v>
      </c>
      <c r="F286" s="160" t="s">
        <v>2914</v>
      </c>
      <c r="G286" s="163">
        <v>2</v>
      </c>
      <c r="H286" s="160" t="s">
        <v>2915</v>
      </c>
      <c r="I286" s="164">
        <v>43453</v>
      </c>
      <c r="J286" s="169">
        <v>6000</v>
      </c>
      <c r="K286" s="160" t="s">
        <v>2410</v>
      </c>
    </row>
    <row r="287" spans="1:11" x14ac:dyDescent="0.3">
      <c r="A287" s="160">
        <v>1</v>
      </c>
      <c r="B287" s="160">
        <v>41362</v>
      </c>
      <c r="C287" s="160" t="s">
        <v>2573</v>
      </c>
      <c r="D287" s="160" t="s">
        <v>2574</v>
      </c>
      <c r="E287" s="160" t="s">
        <v>2911</v>
      </c>
      <c r="F287" s="160" t="s">
        <v>2916</v>
      </c>
      <c r="G287" s="163">
        <v>3</v>
      </c>
      <c r="H287" s="160" t="s">
        <v>2917</v>
      </c>
      <c r="I287" s="164">
        <v>43672</v>
      </c>
      <c r="J287" s="169">
        <v>10000</v>
      </c>
      <c r="K287" s="160" t="s">
        <v>13</v>
      </c>
    </row>
    <row r="288" spans="1:11" x14ac:dyDescent="0.3">
      <c r="A288" s="160">
        <v>1</v>
      </c>
      <c r="B288" s="160">
        <v>122269</v>
      </c>
      <c r="C288" s="160" t="s">
        <v>2573</v>
      </c>
      <c r="D288" s="160" t="s">
        <v>2574</v>
      </c>
      <c r="F288" s="160" t="s">
        <v>2918</v>
      </c>
      <c r="G288" s="163">
        <v>1</v>
      </c>
      <c r="H288" s="160" t="s">
        <v>2919</v>
      </c>
      <c r="I288" s="164">
        <v>44537</v>
      </c>
      <c r="J288" s="165">
        <v>80000</v>
      </c>
      <c r="K288" s="160" t="s">
        <v>13</v>
      </c>
    </row>
    <row r="289" spans="1:11" x14ac:dyDescent="0.3">
      <c r="A289" s="160">
        <v>1</v>
      </c>
      <c r="B289" s="160">
        <v>153298</v>
      </c>
      <c r="C289" s="160" t="s">
        <v>2573</v>
      </c>
      <c r="D289" s="160" t="s">
        <v>2574</v>
      </c>
      <c r="F289" s="160" t="s">
        <v>2920</v>
      </c>
      <c r="G289" s="163">
        <v>2</v>
      </c>
      <c r="H289" s="160" t="s">
        <v>2919</v>
      </c>
      <c r="I289" s="164">
        <v>44834</v>
      </c>
      <c r="J289" s="165">
        <v>50000</v>
      </c>
      <c r="K289" s="160" t="s">
        <v>13</v>
      </c>
    </row>
    <row r="290" spans="1:11" x14ac:dyDescent="0.3">
      <c r="A290" s="160">
        <v>1</v>
      </c>
      <c r="B290" s="160" t="s">
        <v>2921</v>
      </c>
      <c r="C290" s="160" t="s">
        <v>2573</v>
      </c>
      <c r="D290" s="160" t="s">
        <v>2574</v>
      </c>
      <c r="E290" s="160" t="s">
        <v>2922</v>
      </c>
      <c r="F290" s="160" t="s">
        <v>2923</v>
      </c>
      <c r="G290" s="163">
        <v>1</v>
      </c>
      <c r="H290" s="160" t="s">
        <v>2924</v>
      </c>
      <c r="I290" s="164">
        <v>41688</v>
      </c>
      <c r="J290" s="166">
        <v>3000</v>
      </c>
      <c r="K290" s="168" t="s">
        <v>13</v>
      </c>
    </row>
    <row r="291" spans="1:11" ht="13" customHeight="1" x14ac:dyDescent="0.3">
      <c r="A291" s="160">
        <v>1</v>
      </c>
      <c r="B291" s="160" t="s">
        <v>2925</v>
      </c>
      <c r="C291" s="160" t="s">
        <v>2573</v>
      </c>
      <c r="D291" s="160" t="s">
        <v>2574</v>
      </c>
      <c r="E291" s="160" t="s">
        <v>2922</v>
      </c>
      <c r="F291" s="160" t="s">
        <v>2926</v>
      </c>
      <c r="G291" s="163">
        <v>2</v>
      </c>
      <c r="H291" s="160" t="s">
        <v>2924</v>
      </c>
      <c r="I291" s="164">
        <v>41962</v>
      </c>
      <c r="J291" s="166">
        <v>5000</v>
      </c>
      <c r="K291" s="168" t="s">
        <v>13</v>
      </c>
    </row>
    <row r="292" spans="1:11" ht="13" customHeight="1" x14ac:dyDescent="0.3">
      <c r="A292" s="160">
        <v>1</v>
      </c>
      <c r="B292" s="160" t="s">
        <v>2927</v>
      </c>
      <c r="C292" s="160" t="s">
        <v>2573</v>
      </c>
      <c r="D292" s="160" t="s">
        <v>2574</v>
      </c>
      <c r="E292" s="160" t="s">
        <v>2922</v>
      </c>
      <c r="F292" s="160" t="s">
        <v>2928</v>
      </c>
      <c r="G292" s="163">
        <v>3</v>
      </c>
      <c r="H292" s="160" t="s">
        <v>2924</v>
      </c>
      <c r="I292" s="164">
        <v>42256</v>
      </c>
      <c r="J292" s="166">
        <v>5000</v>
      </c>
      <c r="K292" s="168" t="s">
        <v>13</v>
      </c>
    </row>
    <row r="293" spans="1:11" x14ac:dyDescent="0.3">
      <c r="A293" s="160">
        <v>1</v>
      </c>
      <c r="B293" s="160">
        <v>137367</v>
      </c>
      <c r="C293" s="160" t="s">
        <v>2573</v>
      </c>
      <c r="D293" s="160" t="s">
        <v>2574</v>
      </c>
      <c r="F293" s="160" t="s">
        <v>2929</v>
      </c>
      <c r="G293" s="163">
        <v>1</v>
      </c>
      <c r="H293" s="160" t="s">
        <v>2930</v>
      </c>
      <c r="I293" s="164">
        <v>44707</v>
      </c>
      <c r="J293" s="165">
        <v>50000</v>
      </c>
      <c r="K293" s="160" t="s">
        <v>70</v>
      </c>
    </row>
    <row r="294" spans="1:11" x14ac:dyDescent="0.3">
      <c r="A294" s="160">
        <v>1</v>
      </c>
      <c r="B294" s="160">
        <v>5302610001</v>
      </c>
      <c r="C294" s="160" t="s">
        <v>2573</v>
      </c>
      <c r="D294" s="160" t="s">
        <v>2574</v>
      </c>
      <c r="F294" s="160" t="s">
        <v>2931</v>
      </c>
      <c r="G294" s="163">
        <v>2</v>
      </c>
      <c r="H294" s="160" t="s">
        <v>2930</v>
      </c>
      <c r="I294" s="164">
        <v>45267</v>
      </c>
      <c r="J294" s="165">
        <v>100000</v>
      </c>
      <c r="K294" s="160" t="s">
        <v>13</v>
      </c>
    </row>
    <row r="295" spans="1:11" x14ac:dyDescent="0.3">
      <c r="A295" s="160">
        <v>1</v>
      </c>
      <c r="B295" s="160" t="s">
        <v>2932</v>
      </c>
      <c r="C295" s="160" t="s">
        <v>2573</v>
      </c>
      <c r="D295" s="160" t="s">
        <v>2574</v>
      </c>
      <c r="E295" s="160" t="s">
        <v>2933</v>
      </c>
      <c r="F295" s="160" t="s">
        <v>2934</v>
      </c>
      <c r="G295" s="163">
        <v>1</v>
      </c>
      <c r="H295" s="160" t="s">
        <v>2935</v>
      </c>
      <c r="I295" s="164">
        <v>42032</v>
      </c>
      <c r="J295" s="166">
        <v>9000</v>
      </c>
      <c r="K295" s="168" t="s">
        <v>13</v>
      </c>
    </row>
    <row r="296" spans="1:11" ht="13" customHeight="1" x14ac:dyDescent="0.3">
      <c r="A296" s="160">
        <v>1</v>
      </c>
      <c r="B296" s="160" t="s">
        <v>2936</v>
      </c>
      <c r="C296" s="160" t="s">
        <v>2573</v>
      </c>
      <c r="D296" s="160" t="s">
        <v>2574</v>
      </c>
      <c r="E296" s="160" t="s">
        <v>2933</v>
      </c>
      <c r="F296" s="160" t="s">
        <v>2937</v>
      </c>
      <c r="G296" s="163">
        <v>2</v>
      </c>
      <c r="H296" s="160" t="s">
        <v>2935</v>
      </c>
      <c r="I296" s="164">
        <v>42326</v>
      </c>
      <c r="J296" s="166">
        <v>4500</v>
      </c>
      <c r="K296" s="170" t="s">
        <v>2410</v>
      </c>
    </row>
    <row r="297" spans="1:11" ht="13" customHeight="1" x14ac:dyDescent="0.3">
      <c r="A297" s="160">
        <v>1</v>
      </c>
      <c r="B297" s="160" t="s">
        <v>2938</v>
      </c>
      <c r="C297" s="160" t="s">
        <v>2573</v>
      </c>
      <c r="D297" s="160" t="s">
        <v>2574</v>
      </c>
      <c r="E297" s="160" t="s">
        <v>2939</v>
      </c>
      <c r="F297" s="160" t="s">
        <v>2940</v>
      </c>
      <c r="G297" s="163">
        <v>1</v>
      </c>
      <c r="H297" s="160" t="s">
        <v>2941</v>
      </c>
      <c r="I297" s="164">
        <v>42037</v>
      </c>
      <c r="J297" s="166">
        <v>12000</v>
      </c>
      <c r="K297" s="168" t="s">
        <v>13</v>
      </c>
    </row>
    <row r="298" spans="1:11" x14ac:dyDescent="0.3">
      <c r="A298" s="160">
        <v>1</v>
      </c>
      <c r="B298" s="160" t="s">
        <v>2942</v>
      </c>
      <c r="C298" s="160" t="s">
        <v>2573</v>
      </c>
      <c r="D298" s="160" t="s">
        <v>2574</v>
      </c>
      <c r="E298" s="160" t="s">
        <v>2939</v>
      </c>
      <c r="F298" s="160" t="s">
        <v>2943</v>
      </c>
      <c r="G298" s="163">
        <v>2</v>
      </c>
      <c r="H298" s="160" t="s">
        <v>2941</v>
      </c>
      <c r="I298" s="164">
        <v>42089</v>
      </c>
      <c r="J298" s="166">
        <v>6000</v>
      </c>
      <c r="K298" s="167" t="s">
        <v>70</v>
      </c>
    </row>
    <row r="299" spans="1:11" x14ac:dyDescent="0.3">
      <c r="A299" s="160">
        <v>1</v>
      </c>
      <c r="B299" s="160" t="s">
        <v>2944</v>
      </c>
      <c r="C299" s="160" t="s">
        <v>2573</v>
      </c>
      <c r="D299" s="160" t="s">
        <v>2574</v>
      </c>
      <c r="E299" s="160" t="s">
        <v>2939</v>
      </c>
      <c r="F299" s="160" t="s">
        <v>2945</v>
      </c>
      <c r="G299" s="163">
        <v>3</v>
      </c>
      <c r="H299" s="160" t="s">
        <v>2941</v>
      </c>
      <c r="I299" s="164">
        <v>42451</v>
      </c>
      <c r="J299" s="166">
        <v>20000</v>
      </c>
      <c r="K299" s="168" t="s">
        <v>13</v>
      </c>
    </row>
    <row r="300" spans="1:11" ht="13" customHeight="1" x14ac:dyDescent="0.3">
      <c r="A300" s="160">
        <v>1</v>
      </c>
      <c r="B300" s="160" t="s">
        <v>2946</v>
      </c>
      <c r="C300" s="160" t="s">
        <v>2573</v>
      </c>
      <c r="D300" s="160" t="s">
        <v>2574</v>
      </c>
      <c r="E300" s="160" t="s">
        <v>2939</v>
      </c>
      <c r="F300" s="160" t="s">
        <v>2947</v>
      </c>
      <c r="G300" s="163">
        <v>4</v>
      </c>
      <c r="H300" s="160" t="s">
        <v>2941</v>
      </c>
      <c r="I300" s="164">
        <v>42528</v>
      </c>
      <c r="J300" s="166">
        <v>3000</v>
      </c>
      <c r="K300" s="168" t="s">
        <v>13</v>
      </c>
    </row>
    <row r="301" spans="1:11" ht="13" customHeight="1" x14ac:dyDescent="0.3">
      <c r="A301" s="160">
        <v>1</v>
      </c>
      <c r="B301" s="160" t="s">
        <v>2948</v>
      </c>
      <c r="C301" s="160" t="s">
        <v>2573</v>
      </c>
      <c r="D301" s="160" t="s">
        <v>2574</v>
      </c>
      <c r="E301" s="160" t="s">
        <v>2939</v>
      </c>
      <c r="F301" s="160" t="s">
        <v>2949</v>
      </c>
      <c r="G301" s="163">
        <v>5</v>
      </c>
      <c r="H301" s="160" t="s">
        <v>2941</v>
      </c>
      <c r="I301" s="164">
        <v>42599</v>
      </c>
      <c r="J301" s="166">
        <v>15000</v>
      </c>
      <c r="K301" s="168" t="s">
        <v>13</v>
      </c>
    </row>
    <row r="302" spans="1:11" ht="13" customHeight="1" x14ac:dyDescent="0.3">
      <c r="A302" s="160">
        <v>1</v>
      </c>
      <c r="B302" s="160" t="s">
        <v>2950</v>
      </c>
      <c r="C302" s="160" t="s">
        <v>2573</v>
      </c>
      <c r="D302" s="160" t="s">
        <v>2574</v>
      </c>
      <c r="E302" s="160" t="s">
        <v>2939</v>
      </c>
      <c r="F302" s="160" t="s">
        <v>2951</v>
      </c>
      <c r="G302" s="163">
        <v>6</v>
      </c>
      <c r="H302" s="160" t="s">
        <v>2941</v>
      </c>
      <c r="I302" s="164">
        <v>42765</v>
      </c>
      <c r="J302" s="166">
        <v>40000</v>
      </c>
      <c r="K302" s="167" t="s">
        <v>70</v>
      </c>
    </row>
    <row r="303" spans="1:11" x14ac:dyDescent="0.3">
      <c r="A303" s="160">
        <v>1</v>
      </c>
      <c r="B303" s="160" t="s">
        <v>2952</v>
      </c>
      <c r="C303" s="160" t="s">
        <v>2573</v>
      </c>
      <c r="D303" s="160" t="s">
        <v>2574</v>
      </c>
      <c r="E303" s="160" t="s">
        <v>2939</v>
      </c>
      <c r="F303" s="160" t="s">
        <v>2953</v>
      </c>
      <c r="G303" s="163">
        <v>7</v>
      </c>
      <c r="H303" s="160" t="s">
        <v>2941</v>
      </c>
      <c r="I303" s="164">
        <v>43006</v>
      </c>
      <c r="J303" s="169">
        <v>40000</v>
      </c>
      <c r="K303" s="160" t="s">
        <v>70</v>
      </c>
    </row>
    <row r="304" spans="1:11" x14ac:dyDescent="0.3">
      <c r="A304" s="160">
        <v>1</v>
      </c>
      <c r="B304" s="160">
        <v>6143920001</v>
      </c>
      <c r="C304" s="160" t="s">
        <v>2573</v>
      </c>
      <c r="D304" s="160" t="s">
        <v>2574</v>
      </c>
      <c r="F304" s="160" t="s">
        <v>2954</v>
      </c>
      <c r="G304" s="163">
        <v>1</v>
      </c>
      <c r="H304" s="160" t="s">
        <v>2955</v>
      </c>
      <c r="I304" s="164">
        <v>45369</v>
      </c>
      <c r="J304" s="169">
        <v>200000</v>
      </c>
      <c r="K304" s="160" t="s">
        <v>13</v>
      </c>
    </row>
    <row r="305" spans="1:11" x14ac:dyDescent="0.3">
      <c r="A305" s="160">
        <v>1</v>
      </c>
      <c r="B305" s="160">
        <v>6143920002</v>
      </c>
      <c r="C305" s="160" t="s">
        <v>2573</v>
      </c>
      <c r="D305" s="160" t="s">
        <v>2574</v>
      </c>
      <c r="F305" s="160" t="s">
        <v>2956</v>
      </c>
      <c r="G305" s="163">
        <v>2</v>
      </c>
      <c r="H305" s="160" t="s">
        <v>2955</v>
      </c>
      <c r="I305" s="164">
        <v>45530</v>
      </c>
      <c r="J305" s="169">
        <v>120000</v>
      </c>
      <c r="K305" s="160" t="s">
        <v>13</v>
      </c>
    </row>
    <row r="306" spans="1:11" x14ac:dyDescent="0.3">
      <c r="A306" s="160">
        <v>1</v>
      </c>
      <c r="B306" s="160">
        <v>6455410002</v>
      </c>
      <c r="C306" s="160" t="s">
        <v>2573</v>
      </c>
      <c r="D306" s="160" t="s">
        <v>2574</v>
      </c>
      <c r="F306" s="160" t="s">
        <v>2957</v>
      </c>
      <c r="G306" s="163">
        <v>1</v>
      </c>
      <c r="H306" s="160" t="s">
        <v>1790</v>
      </c>
      <c r="I306" s="164">
        <v>45499</v>
      </c>
      <c r="J306" s="169">
        <v>80000</v>
      </c>
      <c r="K306" s="160" t="s">
        <v>13</v>
      </c>
    </row>
    <row r="307" spans="1:11" x14ac:dyDescent="0.3">
      <c r="A307" s="160">
        <v>1</v>
      </c>
      <c r="B307" s="160">
        <v>6455410003</v>
      </c>
      <c r="C307" s="160" t="s">
        <v>2573</v>
      </c>
      <c r="D307" s="160" t="s">
        <v>2574</v>
      </c>
      <c r="F307" s="160" t="s">
        <v>2958</v>
      </c>
      <c r="G307" s="163">
        <v>2</v>
      </c>
      <c r="H307" s="160" t="s">
        <v>1790</v>
      </c>
      <c r="I307" s="164">
        <v>45924</v>
      </c>
      <c r="J307" s="169">
        <v>150000</v>
      </c>
      <c r="K307" s="160" t="s">
        <v>13</v>
      </c>
    </row>
    <row r="308" spans="1:11" x14ac:dyDescent="0.3">
      <c r="A308" s="160">
        <v>1</v>
      </c>
      <c r="B308" s="160">
        <v>134631</v>
      </c>
      <c r="C308" s="160" t="s">
        <v>2573</v>
      </c>
      <c r="D308" s="160" t="s">
        <v>2574</v>
      </c>
      <c r="F308" s="160" t="s">
        <v>2959</v>
      </c>
      <c r="G308" s="163">
        <v>1</v>
      </c>
      <c r="H308" s="160" t="s">
        <v>2960</v>
      </c>
      <c r="I308" s="164">
        <v>44705</v>
      </c>
      <c r="J308" s="165">
        <v>80000</v>
      </c>
      <c r="K308" s="160" t="s">
        <v>70</v>
      </c>
    </row>
    <row r="309" spans="1:11" x14ac:dyDescent="0.3">
      <c r="A309" s="160">
        <v>1</v>
      </c>
      <c r="B309" s="160">
        <v>149837</v>
      </c>
      <c r="C309" s="160" t="s">
        <v>2573</v>
      </c>
      <c r="D309" s="160" t="s">
        <v>2574</v>
      </c>
      <c r="F309" s="160" t="s">
        <v>2961</v>
      </c>
      <c r="G309" s="163">
        <v>2</v>
      </c>
      <c r="H309" s="160" t="s">
        <v>2960</v>
      </c>
      <c r="I309" s="164">
        <v>44781</v>
      </c>
      <c r="J309" s="165">
        <v>80000</v>
      </c>
      <c r="K309" s="160" t="s">
        <v>13</v>
      </c>
    </row>
    <row r="310" spans="1:11" x14ac:dyDescent="0.3">
      <c r="A310" s="160">
        <v>1</v>
      </c>
      <c r="B310" s="160">
        <v>10908274</v>
      </c>
      <c r="C310" s="160" t="s">
        <v>2573</v>
      </c>
      <c r="D310" s="160" t="s">
        <v>2574</v>
      </c>
      <c r="F310" s="160" t="s">
        <v>2962</v>
      </c>
      <c r="G310" s="163">
        <v>3</v>
      </c>
      <c r="H310" s="160" t="s">
        <v>2960</v>
      </c>
      <c r="I310" s="164">
        <v>44910</v>
      </c>
      <c r="J310" s="165">
        <v>200000</v>
      </c>
      <c r="K310" s="160" t="s">
        <v>70</v>
      </c>
    </row>
    <row r="311" spans="1:11" x14ac:dyDescent="0.3">
      <c r="A311" s="160">
        <v>1</v>
      </c>
      <c r="B311" s="160">
        <v>5294600001</v>
      </c>
      <c r="C311" s="160" t="s">
        <v>2573</v>
      </c>
      <c r="D311" s="160" t="s">
        <v>2574</v>
      </c>
      <c r="F311" s="160" t="s">
        <v>2963</v>
      </c>
      <c r="G311" s="163">
        <v>4</v>
      </c>
      <c r="H311" s="160" t="s">
        <v>2960</v>
      </c>
      <c r="I311" s="164">
        <v>45096</v>
      </c>
      <c r="J311" s="165">
        <v>120000</v>
      </c>
      <c r="K311" s="160" t="s">
        <v>13</v>
      </c>
    </row>
    <row r="312" spans="1:11" x14ac:dyDescent="0.3">
      <c r="A312" s="160">
        <v>1</v>
      </c>
      <c r="B312" s="160">
        <v>5294600002</v>
      </c>
      <c r="C312" s="160" t="s">
        <v>2573</v>
      </c>
      <c r="D312" s="160" t="s">
        <v>2574</v>
      </c>
      <c r="F312" s="160" t="s">
        <v>2964</v>
      </c>
      <c r="G312" s="163">
        <v>5</v>
      </c>
      <c r="H312" s="160" t="s">
        <v>2960</v>
      </c>
      <c r="I312" s="164">
        <v>45252</v>
      </c>
      <c r="J312" s="165">
        <v>420000</v>
      </c>
      <c r="K312" s="160" t="s">
        <v>13</v>
      </c>
    </row>
    <row r="313" spans="1:11" x14ac:dyDescent="0.3">
      <c r="A313" s="160">
        <v>1</v>
      </c>
      <c r="B313" s="160">
        <v>5294600003</v>
      </c>
      <c r="C313" s="160" t="s">
        <v>2573</v>
      </c>
      <c r="D313" s="160" t="s">
        <v>2574</v>
      </c>
      <c r="F313" s="160" t="s">
        <v>2965</v>
      </c>
      <c r="G313" s="163">
        <v>6</v>
      </c>
      <c r="H313" s="160" t="s">
        <v>2960</v>
      </c>
      <c r="I313" s="164">
        <v>45373</v>
      </c>
      <c r="J313" s="165">
        <v>500000</v>
      </c>
      <c r="K313" s="160" t="s">
        <v>13</v>
      </c>
    </row>
    <row r="314" spans="1:11" x14ac:dyDescent="0.3">
      <c r="A314" s="160">
        <v>1</v>
      </c>
      <c r="B314" s="160">
        <v>5294600004</v>
      </c>
      <c r="C314" s="160" t="s">
        <v>2573</v>
      </c>
      <c r="D314" s="160" t="s">
        <v>2574</v>
      </c>
      <c r="F314" s="160" t="s">
        <v>2966</v>
      </c>
      <c r="G314" s="163">
        <v>7</v>
      </c>
      <c r="H314" s="160" t="s">
        <v>2960</v>
      </c>
      <c r="I314" s="164">
        <v>45716</v>
      </c>
      <c r="J314" s="165">
        <v>500000</v>
      </c>
      <c r="K314" s="160" t="s">
        <v>13</v>
      </c>
    </row>
    <row r="315" spans="1:11" ht="13" customHeight="1" x14ac:dyDescent="0.3">
      <c r="A315" s="160">
        <v>1</v>
      </c>
      <c r="B315" s="160" t="s">
        <v>2967</v>
      </c>
      <c r="C315" s="160" t="s">
        <v>2573</v>
      </c>
      <c r="D315" s="160" t="s">
        <v>2574</v>
      </c>
      <c r="E315" s="160" t="s">
        <v>2968</v>
      </c>
      <c r="F315" s="160" t="s">
        <v>2969</v>
      </c>
      <c r="G315" s="163">
        <v>1</v>
      </c>
      <c r="H315" s="160" t="s">
        <v>2970</v>
      </c>
      <c r="I315" s="164">
        <v>42514</v>
      </c>
      <c r="J315" s="166">
        <v>20000</v>
      </c>
      <c r="K315" s="167" t="s">
        <v>70</v>
      </c>
    </row>
    <row r="316" spans="1:11" ht="13" customHeight="1" x14ac:dyDescent="0.3">
      <c r="A316" s="160">
        <v>1</v>
      </c>
      <c r="B316" s="160">
        <v>135791</v>
      </c>
      <c r="C316" s="160" t="s">
        <v>2573</v>
      </c>
      <c r="D316" s="160" t="s">
        <v>2574</v>
      </c>
      <c r="F316" s="160" t="s">
        <v>2971</v>
      </c>
      <c r="G316" s="163">
        <v>1</v>
      </c>
      <c r="H316" s="160" t="s">
        <v>2972</v>
      </c>
      <c r="I316" s="164">
        <v>44665</v>
      </c>
      <c r="J316" s="165">
        <v>30000</v>
      </c>
      <c r="K316" s="160" t="s">
        <v>13</v>
      </c>
    </row>
    <row r="317" spans="1:11" x14ac:dyDescent="0.3">
      <c r="A317" s="160">
        <v>1</v>
      </c>
      <c r="B317" s="160">
        <v>144977</v>
      </c>
      <c r="C317" s="160" t="s">
        <v>2573</v>
      </c>
      <c r="D317" s="160" t="s">
        <v>2574</v>
      </c>
      <c r="F317" s="160" t="s">
        <v>2973</v>
      </c>
      <c r="G317" s="163">
        <v>2</v>
      </c>
      <c r="H317" s="160" t="s">
        <v>2972</v>
      </c>
      <c r="I317" s="164">
        <v>44740</v>
      </c>
      <c r="J317" s="165">
        <v>150000</v>
      </c>
      <c r="K317" s="160" t="s">
        <v>13</v>
      </c>
    </row>
    <row r="318" spans="1:11" x14ac:dyDescent="0.3">
      <c r="A318" s="160">
        <v>1</v>
      </c>
      <c r="B318" s="160">
        <v>11382973</v>
      </c>
      <c r="C318" s="160" t="s">
        <v>2573</v>
      </c>
      <c r="D318" s="160" t="s">
        <v>2574</v>
      </c>
      <c r="F318" s="160" t="s">
        <v>2974</v>
      </c>
      <c r="G318" s="163">
        <v>3</v>
      </c>
      <c r="H318" s="160" t="s">
        <v>2972</v>
      </c>
      <c r="I318" s="164">
        <v>45043</v>
      </c>
      <c r="J318" s="165">
        <v>300000</v>
      </c>
      <c r="K318" s="160" t="s">
        <v>13</v>
      </c>
    </row>
    <row r="319" spans="1:11" x14ac:dyDescent="0.3">
      <c r="A319" s="160">
        <v>1</v>
      </c>
      <c r="B319" s="160">
        <v>3903410002</v>
      </c>
      <c r="C319" s="160" t="s">
        <v>2573</v>
      </c>
      <c r="D319" s="160" t="s">
        <v>2574</v>
      </c>
      <c r="F319" s="160" t="s">
        <v>2975</v>
      </c>
      <c r="G319" s="163">
        <v>4</v>
      </c>
      <c r="H319" s="160" t="s">
        <v>2972</v>
      </c>
      <c r="I319" s="164">
        <v>45498</v>
      </c>
      <c r="J319" s="165">
        <v>500000</v>
      </c>
      <c r="K319" s="160" t="s">
        <v>13</v>
      </c>
    </row>
    <row r="320" spans="1:11" x14ac:dyDescent="0.3">
      <c r="A320" s="160">
        <v>1</v>
      </c>
      <c r="B320" s="160">
        <v>3903410003</v>
      </c>
      <c r="C320" s="160" t="s">
        <v>2573</v>
      </c>
      <c r="D320" s="160" t="s">
        <v>2574</v>
      </c>
      <c r="F320" s="160" t="s">
        <v>2976</v>
      </c>
      <c r="G320" s="163">
        <v>5</v>
      </c>
      <c r="H320" s="160" t="s">
        <v>2972</v>
      </c>
      <c r="I320" s="164">
        <v>45726</v>
      </c>
      <c r="J320" s="165">
        <v>500000</v>
      </c>
      <c r="K320" s="160" t="s">
        <v>13</v>
      </c>
    </row>
    <row r="321" spans="1:11" x14ac:dyDescent="0.3">
      <c r="A321" s="160">
        <v>1</v>
      </c>
      <c r="B321" s="160">
        <v>5071930002</v>
      </c>
      <c r="C321" s="160" t="s">
        <v>2573</v>
      </c>
      <c r="D321" s="160" t="s">
        <v>2574</v>
      </c>
      <c r="F321" s="160" t="s">
        <v>2977</v>
      </c>
      <c r="G321" s="163">
        <v>1</v>
      </c>
      <c r="H321" s="160" t="s">
        <v>2978</v>
      </c>
      <c r="I321" s="164">
        <v>45378</v>
      </c>
      <c r="J321" s="165">
        <v>50000</v>
      </c>
      <c r="K321" s="160" t="s">
        <v>13</v>
      </c>
    </row>
    <row r="322" spans="1:11" x14ac:dyDescent="0.3">
      <c r="A322" s="160">
        <v>1</v>
      </c>
      <c r="B322" s="160">
        <v>5071930003</v>
      </c>
      <c r="C322" s="160" t="s">
        <v>2573</v>
      </c>
      <c r="D322" s="160" t="s">
        <v>2574</v>
      </c>
      <c r="F322" s="160" t="s">
        <v>2979</v>
      </c>
      <c r="G322" s="163">
        <v>2</v>
      </c>
      <c r="H322" s="160" t="s">
        <v>2978</v>
      </c>
      <c r="I322" s="164">
        <v>45467</v>
      </c>
      <c r="J322" s="165">
        <v>100000</v>
      </c>
      <c r="K322" s="160" t="s">
        <v>13</v>
      </c>
    </row>
    <row r="323" spans="1:11" x14ac:dyDescent="0.3">
      <c r="A323" s="160">
        <v>1</v>
      </c>
      <c r="B323" s="160">
        <v>5071930005</v>
      </c>
      <c r="C323" s="160" t="s">
        <v>2573</v>
      </c>
      <c r="D323" s="160" t="s">
        <v>2574</v>
      </c>
      <c r="F323" s="160" t="s">
        <v>2980</v>
      </c>
      <c r="G323" s="163">
        <v>3</v>
      </c>
      <c r="H323" s="160" t="s">
        <v>2978</v>
      </c>
      <c r="I323" s="164">
        <v>45791</v>
      </c>
      <c r="J323" s="165">
        <v>100000</v>
      </c>
      <c r="K323" s="160" t="s">
        <v>13</v>
      </c>
    </row>
    <row r="324" spans="1:11" x14ac:dyDescent="0.3">
      <c r="A324" s="160">
        <v>1</v>
      </c>
      <c r="B324" s="160">
        <v>5136190001</v>
      </c>
      <c r="C324" s="160" t="s">
        <v>2573</v>
      </c>
      <c r="D324" s="160" t="s">
        <v>2574</v>
      </c>
      <c r="F324" s="160" t="s">
        <v>2981</v>
      </c>
      <c r="G324" s="163">
        <v>1</v>
      </c>
      <c r="H324" s="160" t="s">
        <v>2982</v>
      </c>
      <c r="I324" s="164">
        <v>45278</v>
      </c>
      <c r="J324" s="165">
        <v>100000</v>
      </c>
      <c r="K324" s="160" t="s">
        <v>13</v>
      </c>
    </row>
    <row r="325" spans="1:11" x14ac:dyDescent="0.3">
      <c r="A325" s="160">
        <v>1</v>
      </c>
      <c r="B325" s="160">
        <v>5136190002</v>
      </c>
      <c r="C325" s="160" t="s">
        <v>2573</v>
      </c>
      <c r="D325" s="160" t="s">
        <v>2574</v>
      </c>
      <c r="F325" s="160" t="s">
        <v>2983</v>
      </c>
      <c r="G325" s="163">
        <v>2</v>
      </c>
      <c r="H325" s="160" t="s">
        <v>2982</v>
      </c>
      <c r="I325" s="164">
        <v>45341</v>
      </c>
      <c r="J325" s="165">
        <v>50000</v>
      </c>
      <c r="K325" s="160" t="s">
        <v>13</v>
      </c>
    </row>
    <row r="326" spans="1:11" x14ac:dyDescent="0.3">
      <c r="A326" s="160">
        <v>1</v>
      </c>
      <c r="B326" s="160">
        <v>5136190003</v>
      </c>
      <c r="C326" s="160" t="s">
        <v>2573</v>
      </c>
      <c r="D326" s="160" t="s">
        <v>2574</v>
      </c>
      <c r="F326" s="160" t="s">
        <v>2984</v>
      </c>
      <c r="G326" s="163">
        <v>3</v>
      </c>
      <c r="H326" s="160" t="s">
        <v>2982</v>
      </c>
      <c r="I326" s="164">
        <v>45756</v>
      </c>
      <c r="J326" s="165">
        <v>100000</v>
      </c>
      <c r="K326" s="160" t="s">
        <v>13</v>
      </c>
    </row>
    <row r="327" spans="1:11" x14ac:dyDescent="0.3">
      <c r="A327" s="160">
        <v>1</v>
      </c>
      <c r="B327" s="160">
        <v>5136190004</v>
      </c>
      <c r="C327" s="160" t="s">
        <v>2573</v>
      </c>
      <c r="D327" s="160" t="s">
        <v>2574</v>
      </c>
      <c r="F327" s="160" t="s">
        <v>2985</v>
      </c>
      <c r="G327" s="163">
        <v>4</v>
      </c>
      <c r="H327" s="160" t="s">
        <v>2982</v>
      </c>
      <c r="I327" s="164">
        <v>45889</v>
      </c>
      <c r="J327" s="165">
        <v>100000</v>
      </c>
      <c r="K327" s="160" t="s">
        <v>13</v>
      </c>
    </row>
    <row r="328" spans="1:11" x14ac:dyDescent="0.3">
      <c r="A328" s="160">
        <v>1</v>
      </c>
      <c r="B328" s="160" t="s">
        <v>2986</v>
      </c>
      <c r="C328" s="160" t="s">
        <v>2573</v>
      </c>
      <c r="D328" s="160" t="s">
        <v>2574</v>
      </c>
      <c r="E328" s="160" t="s">
        <v>2987</v>
      </c>
      <c r="F328" s="160" t="s">
        <v>2988</v>
      </c>
      <c r="G328" s="163">
        <v>1</v>
      </c>
      <c r="H328" s="160" t="s">
        <v>2989</v>
      </c>
      <c r="I328" s="164">
        <v>41660</v>
      </c>
      <c r="J328" s="166">
        <v>10000</v>
      </c>
      <c r="K328" s="168" t="s">
        <v>13</v>
      </c>
    </row>
    <row r="329" spans="1:11" x14ac:dyDescent="0.3">
      <c r="A329" s="160">
        <v>1</v>
      </c>
      <c r="C329" s="160" t="s">
        <v>2573</v>
      </c>
      <c r="D329" s="160" t="s">
        <v>2574</v>
      </c>
      <c r="E329" s="160" t="s">
        <v>2990</v>
      </c>
      <c r="F329" s="160" t="s">
        <v>2991</v>
      </c>
      <c r="G329" s="163">
        <v>1</v>
      </c>
      <c r="H329" s="160" t="s">
        <v>2992</v>
      </c>
      <c r="I329" s="164">
        <v>40518</v>
      </c>
      <c r="J329" s="166">
        <v>1000</v>
      </c>
      <c r="K329" s="168" t="s">
        <v>13</v>
      </c>
    </row>
    <row r="330" spans="1:11" x14ac:dyDescent="0.3">
      <c r="A330" s="160">
        <v>1</v>
      </c>
      <c r="C330" s="160" t="s">
        <v>2573</v>
      </c>
      <c r="D330" s="160" t="s">
        <v>2574</v>
      </c>
      <c r="E330" s="160" t="s">
        <v>2990</v>
      </c>
      <c r="F330" s="160" t="s">
        <v>2993</v>
      </c>
      <c r="G330" s="163">
        <v>2</v>
      </c>
      <c r="H330" s="160" t="s">
        <v>2992</v>
      </c>
      <c r="I330" s="164">
        <v>41106</v>
      </c>
      <c r="J330" s="166">
        <v>5000</v>
      </c>
      <c r="K330" s="175" t="s">
        <v>55</v>
      </c>
    </row>
    <row r="331" spans="1:11" x14ac:dyDescent="0.3">
      <c r="A331" s="160">
        <v>1</v>
      </c>
      <c r="B331" s="160" t="s">
        <v>2994</v>
      </c>
      <c r="C331" s="160" t="s">
        <v>2573</v>
      </c>
      <c r="D331" s="160" t="s">
        <v>2574</v>
      </c>
      <c r="E331" s="160" t="s">
        <v>2990</v>
      </c>
      <c r="F331" s="160" t="s">
        <v>2995</v>
      </c>
      <c r="G331" s="163">
        <v>3</v>
      </c>
      <c r="H331" s="160" t="s">
        <v>2992</v>
      </c>
      <c r="I331" s="164">
        <v>41541</v>
      </c>
      <c r="J331" s="166">
        <v>20000</v>
      </c>
      <c r="K331" s="167" t="s">
        <v>70</v>
      </c>
    </row>
    <row r="332" spans="1:11" ht="13" customHeight="1" x14ac:dyDescent="0.3">
      <c r="A332" s="160">
        <v>1</v>
      </c>
      <c r="B332" s="160">
        <v>158066</v>
      </c>
      <c r="C332" s="160" t="s">
        <v>2573</v>
      </c>
      <c r="D332" s="160" t="s">
        <v>2574</v>
      </c>
      <c r="F332" s="160" t="s">
        <v>2996</v>
      </c>
      <c r="G332" s="163">
        <v>1</v>
      </c>
      <c r="H332" s="160" t="s">
        <v>2997</v>
      </c>
      <c r="I332" s="164">
        <v>44846</v>
      </c>
      <c r="J332" s="165">
        <v>150000</v>
      </c>
      <c r="K332" s="160" t="s">
        <v>13</v>
      </c>
    </row>
    <row r="333" spans="1:11" ht="13" customHeight="1" x14ac:dyDescent="0.3">
      <c r="A333" s="160">
        <v>1</v>
      </c>
      <c r="B333" s="160">
        <v>5528720001</v>
      </c>
      <c r="C333" s="160" t="s">
        <v>2573</v>
      </c>
      <c r="D333" s="160" t="s">
        <v>2574</v>
      </c>
      <c r="F333" s="160" t="s">
        <v>2998</v>
      </c>
      <c r="G333" s="163">
        <v>2</v>
      </c>
      <c r="H333" s="160" t="s">
        <v>2997</v>
      </c>
      <c r="I333" s="164">
        <v>45911</v>
      </c>
      <c r="J333" s="165">
        <v>500000</v>
      </c>
      <c r="K333" s="160" t="s">
        <v>13</v>
      </c>
    </row>
    <row r="334" spans="1:11" ht="13" customHeight="1" x14ac:dyDescent="0.3">
      <c r="A334" s="160">
        <v>1</v>
      </c>
      <c r="B334" s="160">
        <v>99581</v>
      </c>
      <c r="C334" s="160" t="s">
        <v>2573</v>
      </c>
      <c r="D334" s="160" t="s">
        <v>2574</v>
      </c>
      <c r="F334" s="160" t="s">
        <v>2999</v>
      </c>
      <c r="G334" s="163">
        <v>1</v>
      </c>
      <c r="H334" s="160" t="s">
        <v>3000</v>
      </c>
      <c r="I334" s="164">
        <v>44368</v>
      </c>
      <c r="J334" s="165">
        <v>80000</v>
      </c>
      <c r="K334" s="160" t="s">
        <v>13</v>
      </c>
    </row>
    <row r="335" spans="1:11" x14ac:dyDescent="0.3">
      <c r="A335" s="160">
        <v>1</v>
      </c>
      <c r="B335" s="160">
        <v>123823</v>
      </c>
      <c r="C335" s="160" t="s">
        <v>2573</v>
      </c>
      <c r="D335" s="160" t="s">
        <v>2574</v>
      </c>
      <c r="F335" s="160" t="s">
        <v>3001</v>
      </c>
      <c r="G335" s="163">
        <v>2</v>
      </c>
      <c r="H335" s="160" t="s">
        <v>3000</v>
      </c>
      <c r="I335" s="164">
        <v>44547</v>
      </c>
      <c r="J335" s="165">
        <v>150000</v>
      </c>
      <c r="K335" s="160" t="s">
        <v>13</v>
      </c>
    </row>
    <row r="336" spans="1:11" x14ac:dyDescent="0.3">
      <c r="A336" s="160">
        <v>1</v>
      </c>
      <c r="B336" s="160">
        <v>4822700001</v>
      </c>
      <c r="C336" s="160" t="s">
        <v>2573</v>
      </c>
      <c r="D336" s="160" t="s">
        <v>2574</v>
      </c>
      <c r="F336" s="160" t="s">
        <v>3002</v>
      </c>
      <c r="G336" s="163">
        <v>3</v>
      </c>
      <c r="H336" s="160" t="s">
        <v>3000</v>
      </c>
      <c r="I336" s="164">
        <v>45197</v>
      </c>
      <c r="J336" s="165">
        <v>160000</v>
      </c>
      <c r="K336" s="160" t="s">
        <v>13</v>
      </c>
    </row>
    <row r="337" spans="1:11" x14ac:dyDescent="0.3">
      <c r="A337" s="160">
        <v>1</v>
      </c>
      <c r="B337" s="160">
        <v>4822700002</v>
      </c>
      <c r="C337" s="160" t="s">
        <v>2573</v>
      </c>
      <c r="D337" s="160" t="s">
        <v>2574</v>
      </c>
      <c r="F337" s="160" t="s">
        <v>3003</v>
      </c>
      <c r="G337" s="163">
        <v>4</v>
      </c>
      <c r="H337" s="160" t="s">
        <v>3000</v>
      </c>
      <c r="I337" s="164">
        <v>45741</v>
      </c>
      <c r="J337" s="165">
        <v>300000</v>
      </c>
      <c r="K337" s="160" t="s">
        <v>13</v>
      </c>
    </row>
    <row r="338" spans="1:11" x14ac:dyDescent="0.3">
      <c r="A338" s="160">
        <v>1</v>
      </c>
      <c r="B338" s="160">
        <v>99267</v>
      </c>
      <c r="C338" s="160" t="s">
        <v>2573</v>
      </c>
      <c r="D338" s="160" t="s">
        <v>2574</v>
      </c>
      <c r="F338" s="160" t="s">
        <v>3004</v>
      </c>
      <c r="G338" s="163">
        <v>1</v>
      </c>
      <c r="H338" s="160" t="s">
        <v>3005</v>
      </c>
      <c r="I338" s="164">
        <v>44365</v>
      </c>
      <c r="J338" s="165">
        <v>50000</v>
      </c>
      <c r="K338" s="160" t="s">
        <v>13</v>
      </c>
    </row>
    <row r="339" spans="1:11" x14ac:dyDescent="0.3">
      <c r="A339" s="160">
        <v>1</v>
      </c>
      <c r="B339" s="160">
        <v>10908971</v>
      </c>
      <c r="C339" s="160" t="s">
        <v>2573</v>
      </c>
      <c r="D339" s="160" t="s">
        <v>2574</v>
      </c>
      <c r="F339" s="160" t="s">
        <v>3006</v>
      </c>
      <c r="G339" s="163">
        <v>2</v>
      </c>
      <c r="H339" s="160" t="s">
        <v>3005</v>
      </c>
      <c r="I339" s="164">
        <v>44915</v>
      </c>
      <c r="J339" s="165">
        <v>100000</v>
      </c>
      <c r="K339" s="160" t="s">
        <v>13</v>
      </c>
    </row>
    <row r="340" spans="1:11" x14ac:dyDescent="0.3">
      <c r="A340" s="160">
        <v>1</v>
      </c>
      <c r="B340" s="160">
        <v>4863090001</v>
      </c>
      <c r="C340" s="160" t="s">
        <v>2573</v>
      </c>
      <c r="D340" s="160" t="s">
        <v>2574</v>
      </c>
      <c r="F340" s="160" t="s">
        <v>3007</v>
      </c>
      <c r="G340" s="163">
        <v>3</v>
      </c>
      <c r="H340" s="160" t="s">
        <v>3005</v>
      </c>
      <c r="I340" s="164">
        <v>45306</v>
      </c>
      <c r="J340" s="165">
        <v>50000</v>
      </c>
      <c r="K340" s="160" t="s">
        <v>13</v>
      </c>
    </row>
    <row r="341" spans="1:11" x14ac:dyDescent="0.3">
      <c r="A341" s="160">
        <v>1</v>
      </c>
      <c r="B341" s="160">
        <v>4863090002</v>
      </c>
      <c r="C341" s="160" t="s">
        <v>2573</v>
      </c>
      <c r="D341" s="160" t="s">
        <v>2574</v>
      </c>
      <c r="F341" s="160" t="s">
        <v>3008</v>
      </c>
      <c r="G341" s="163">
        <v>4</v>
      </c>
      <c r="H341" s="160" t="s">
        <v>3005</v>
      </c>
      <c r="I341" s="164">
        <v>45686</v>
      </c>
      <c r="J341" s="165">
        <v>30000</v>
      </c>
      <c r="K341" s="160" t="s">
        <v>13</v>
      </c>
    </row>
    <row r="342" spans="1:11" x14ac:dyDescent="0.3">
      <c r="A342" s="160">
        <v>1</v>
      </c>
      <c r="B342" s="160">
        <v>4863090003</v>
      </c>
      <c r="C342" s="160" t="s">
        <v>2573</v>
      </c>
      <c r="D342" s="160" t="s">
        <v>2574</v>
      </c>
      <c r="F342" s="160" t="s">
        <v>3009</v>
      </c>
      <c r="G342" s="163">
        <v>5</v>
      </c>
      <c r="H342" s="160" t="s">
        <v>3005</v>
      </c>
      <c r="I342" s="164">
        <v>45880</v>
      </c>
      <c r="J342" s="165">
        <v>30000</v>
      </c>
      <c r="K342" s="160" t="s">
        <v>13</v>
      </c>
    </row>
    <row r="343" spans="1:11" x14ac:dyDescent="0.3">
      <c r="A343" s="160">
        <v>1</v>
      </c>
      <c r="B343" s="160">
        <v>136666</v>
      </c>
      <c r="C343" s="160" t="s">
        <v>2573</v>
      </c>
      <c r="D343" s="160" t="s">
        <v>2574</v>
      </c>
      <c r="F343" s="160" t="s">
        <v>3010</v>
      </c>
      <c r="G343" s="163">
        <v>1</v>
      </c>
      <c r="H343" s="160" t="s">
        <v>3011</v>
      </c>
      <c r="I343" s="164">
        <v>44706</v>
      </c>
      <c r="J343" s="165">
        <v>70000</v>
      </c>
      <c r="K343" s="160" t="s">
        <v>13</v>
      </c>
    </row>
    <row r="344" spans="1:11" x14ac:dyDescent="0.3">
      <c r="A344" s="160">
        <v>1</v>
      </c>
      <c r="B344" s="160">
        <v>11160348</v>
      </c>
      <c r="C344" s="160" t="s">
        <v>2573</v>
      </c>
      <c r="D344" s="160" t="s">
        <v>2574</v>
      </c>
      <c r="F344" s="160" t="s">
        <v>3012</v>
      </c>
      <c r="G344" s="163">
        <v>2</v>
      </c>
      <c r="H344" s="160" t="s">
        <v>3011</v>
      </c>
      <c r="I344" s="164">
        <v>44993</v>
      </c>
      <c r="J344" s="165">
        <v>100000</v>
      </c>
      <c r="K344" s="160" t="s">
        <v>13</v>
      </c>
    </row>
    <row r="345" spans="1:11" x14ac:dyDescent="0.3">
      <c r="A345" s="160">
        <v>1</v>
      </c>
      <c r="B345" s="160">
        <v>5301740001</v>
      </c>
      <c r="C345" s="160" t="s">
        <v>2573</v>
      </c>
      <c r="D345" s="160" t="s">
        <v>2574</v>
      </c>
      <c r="F345" s="160" t="s">
        <v>3013</v>
      </c>
      <c r="G345" s="163">
        <v>3</v>
      </c>
      <c r="H345" s="160" t="s">
        <v>3011</v>
      </c>
      <c r="I345" s="164">
        <v>45259</v>
      </c>
      <c r="J345" s="165">
        <v>300000</v>
      </c>
      <c r="K345" s="160" t="s">
        <v>13</v>
      </c>
    </row>
    <row r="346" spans="1:11" x14ac:dyDescent="0.3">
      <c r="A346" s="160">
        <v>1</v>
      </c>
      <c r="B346" s="160">
        <v>5301740002</v>
      </c>
      <c r="C346" s="160" t="s">
        <v>2573</v>
      </c>
      <c r="D346" s="160" t="s">
        <v>2574</v>
      </c>
      <c r="F346" s="160" t="s">
        <v>3014</v>
      </c>
      <c r="G346" s="163">
        <v>4</v>
      </c>
      <c r="H346" s="160" t="s">
        <v>3011</v>
      </c>
      <c r="I346" s="164">
        <v>45880</v>
      </c>
      <c r="J346" s="165">
        <v>200000</v>
      </c>
      <c r="K346" s="160" t="s">
        <v>13</v>
      </c>
    </row>
    <row r="347" spans="1:11" x14ac:dyDescent="0.3">
      <c r="A347" s="160">
        <v>1</v>
      </c>
      <c r="B347" s="160">
        <v>131991</v>
      </c>
      <c r="C347" s="160" t="s">
        <v>2573</v>
      </c>
      <c r="D347" s="160" t="s">
        <v>2574</v>
      </c>
      <c r="F347" s="160" t="s">
        <v>3015</v>
      </c>
      <c r="G347" s="163">
        <v>1</v>
      </c>
      <c r="H347" s="160" t="s">
        <v>3016</v>
      </c>
      <c r="I347" s="164">
        <v>44636</v>
      </c>
      <c r="J347" s="165">
        <v>20000</v>
      </c>
      <c r="K347" s="160" t="s">
        <v>13</v>
      </c>
    </row>
    <row r="348" spans="1:11" x14ac:dyDescent="0.3">
      <c r="A348" s="160">
        <v>1</v>
      </c>
      <c r="B348" s="160">
        <v>148254</v>
      </c>
      <c r="C348" s="160" t="s">
        <v>2573</v>
      </c>
      <c r="D348" s="160" t="s">
        <v>2574</v>
      </c>
      <c r="F348" s="160" t="s">
        <v>3017</v>
      </c>
      <c r="G348" s="163">
        <v>1</v>
      </c>
      <c r="H348" s="160" t="s">
        <v>3018</v>
      </c>
      <c r="I348" s="164">
        <v>44798</v>
      </c>
      <c r="J348" s="165">
        <v>50000</v>
      </c>
      <c r="K348" s="160" t="s">
        <v>13</v>
      </c>
    </row>
    <row r="349" spans="1:11" x14ac:dyDescent="0.3">
      <c r="A349" s="160">
        <v>1</v>
      </c>
      <c r="B349" s="160">
        <v>119028</v>
      </c>
      <c r="C349" s="160" t="s">
        <v>2573</v>
      </c>
      <c r="D349" s="160" t="s">
        <v>2574</v>
      </c>
      <c r="F349" s="160" t="s">
        <v>3019</v>
      </c>
      <c r="G349" s="163">
        <v>1</v>
      </c>
      <c r="H349" s="160" t="s">
        <v>3020</v>
      </c>
      <c r="I349" s="164">
        <v>44515</v>
      </c>
      <c r="J349" s="165">
        <v>60000</v>
      </c>
      <c r="K349" s="160" t="s">
        <v>70</v>
      </c>
    </row>
    <row r="350" spans="1:11" x14ac:dyDescent="0.3">
      <c r="A350" s="160">
        <v>1</v>
      </c>
      <c r="B350" s="160">
        <v>147479</v>
      </c>
      <c r="C350" s="160" t="s">
        <v>2573</v>
      </c>
      <c r="D350" s="160" t="s">
        <v>2574</v>
      </c>
      <c r="F350" s="160" t="s">
        <v>3021</v>
      </c>
      <c r="G350" s="163">
        <v>2</v>
      </c>
      <c r="H350" s="160" t="s">
        <v>3020</v>
      </c>
      <c r="I350" s="164">
        <v>44761</v>
      </c>
      <c r="J350" s="165">
        <v>25000</v>
      </c>
      <c r="K350" s="160" t="s">
        <v>70</v>
      </c>
    </row>
    <row r="351" spans="1:11" x14ac:dyDescent="0.3">
      <c r="A351" s="160">
        <v>1</v>
      </c>
      <c r="B351" s="160">
        <v>3453790001</v>
      </c>
      <c r="C351" s="160" t="s">
        <v>2573</v>
      </c>
      <c r="D351" s="160" t="s">
        <v>2574</v>
      </c>
      <c r="F351" s="160" t="s">
        <v>3022</v>
      </c>
      <c r="G351" s="163">
        <v>3</v>
      </c>
      <c r="H351" s="160" t="s">
        <v>3020</v>
      </c>
      <c r="I351" s="164">
        <v>45162</v>
      </c>
      <c r="J351" s="165">
        <v>10000</v>
      </c>
      <c r="K351" s="160" t="s">
        <v>13</v>
      </c>
    </row>
    <row r="352" spans="1:11" x14ac:dyDescent="0.3">
      <c r="A352" s="160">
        <v>1</v>
      </c>
      <c r="B352" s="160">
        <v>3453790001</v>
      </c>
      <c r="C352" s="160" t="s">
        <v>2573</v>
      </c>
      <c r="D352" s="160" t="s">
        <v>2574</v>
      </c>
      <c r="F352" s="160" t="s">
        <v>3023</v>
      </c>
      <c r="G352" s="163">
        <v>4</v>
      </c>
      <c r="H352" s="160" t="s">
        <v>3020</v>
      </c>
      <c r="I352" s="164">
        <v>45315</v>
      </c>
      <c r="J352" s="165">
        <v>8000</v>
      </c>
      <c r="K352" s="160" t="s">
        <v>70</v>
      </c>
    </row>
    <row r="353" spans="1:11" x14ac:dyDescent="0.3">
      <c r="A353" s="160">
        <v>1</v>
      </c>
      <c r="B353" s="160">
        <v>3453790005</v>
      </c>
      <c r="C353" s="160" t="s">
        <v>2573</v>
      </c>
      <c r="D353" s="160" t="s">
        <v>2574</v>
      </c>
      <c r="F353" s="160" t="s">
        <v>3024</v>
      </c>
      <c r="G353" s="163">
        <v>5</v>
      </c>
      <c r="H353" s="160" t="s">
        <v>3020</v>
      </c>
      <c r="I353" s="164">
        <v>45709</v>
      </c>
      <c r="J353" s="165">
        <v>50000</v>
      </c>
      <c r="K353" s="160" t="s">
        <v>13</v>
      </c>
    </row>
    <row r="354" spans="1:11" x14ac:dyDescent="0.3">
      <c r="A354" s="160">
        <v>1</v>
      </c>
      <c r="B354" s="160">
        <v>111895</v>
      </c>
      <c r="C354" s="160" t="s">
        <v>2573</v>
      </c>
      <c r="D354" s="160" t="s">
        <v>2574</v>
      </c>
      <c r="F354" s="160" t="s">
        <v>3025</v>
      </c>
      <c r="G354" s="163">
        <v>1</v>
      </c>
      <c r="H354" s="160" t="s">
        <v>3026</v>
      </c>
      <c r="I354" s="164">
        <v>44454</v>
      </c>
      <c r="J354" s="165">
        <v>80000</v>
      </c>
      <c r="K354" s="160" t="s">
        <v>13</v>
      </c>
    </row>
    <row r="355" spans="1:11" x14ac:dyDescent="0.3">
      <c r="A355" s="160">
        <v>1</v>
      </c>
      <c r="B355" s="160">
        <v>118541</v>
      </c>
      <c r="C355" s="160" t="s">
        <v>2573</v>
      </c>
      <c r="D355" s="160" t="s">
        <v>2574</v>
      </c>
      <c r="F355" s="160" t="s">
        <v>3027</v>
      </c>
      <c r="G355" s="163">
        <v>2</v>
      </c>
      <c r="H355" s="160" t="s">
        <v>3026</v>
      </c>
      <c r="I355" s="164">
        <v>44510</v>
      </c>
      <c r="J355" s="165">
        <v>100000</v>
      </c>
      <c r="K355" s="160" t="s">
        <v>13</v>
      </c>
    </row>
    <row r="356" spans="1:11" x14ac:dyDescent="0.3">
      <c r="A356" s="160">
        <v>1</v>
      </c>
      <c r="B356" s="160">
        <v>5831610001</v>
      </c>
      <c r="C356" s="160" t="s">
        <v>2573</v>
      </c>
      <c r="D356" s="160" t="s">
        <v>2574</v>
      </c>
      <c r="F356" s="160" t="s">
        <v>3028</v>
      </c>
      <c r="G356" s="163">
        <v>1</v>
      </c>
      <c r="H356" s="160" t="s">
        <v>3029</v>
      </c>
      <c r="I356" s="164">
        <v>45120</v>
      </c>
      <c r="J356" s="165">
        <v>100000</v>
      </c>
      <c r="K356" s="160" t="s">
        <v>13</v>
      </c>
    </row>
    <row r="357" spans="1:11" x14ac:dyDescent="0.3">
      <c r="A357" s="160">
        <v>1</v>
      </c>
      <c r="C357" s="160" t="s">
        <v>2573</v>
      </c>
      <c r="D357" s="160" t="s">
        <v>2574</v>
      </c>
      <c r="E357" s="160" t="s">
        <v>3030</v>
      </c>
      <c r="F357" s="160" t="s">
        <v>3031</v>
      </c>
      <c r="G357" s="163">
        <v>1</v>
      </c>
      <c r="H357" s="160" t="s">
        <v>3032</v>
      </c>
      <c r="I357" s="164">
        <v>40798</v>
      </c>
      <c r="J357" s="166">
        <v>10000</v>
      </c>
      <c r="K357" s="168" t="s">
        <v>13</v>
      </c>
    </row>
    <row r="358" spans="1:11" ht="13" customHeight="1" x14ac:dyDescent="0.3">
      <c r="A358" s="160">
        <v>1</v>
      </c>
      <c r="B358" s="160" t="s">
        <v>3033</v>
      </c>
      <c r="C358" s="160" t="s">
        <v>2573</v>
      </c>
      <c r="D358" s="160" t="s">
        <v>2574</v>
      </c>
      <c r="E358" s="160" t="s">
        <v>3030</v>
      </c>
      <c r="F358" s="160" t="s">
        <v>3034</v>
      </c>
      <c r="G358" s="163">
        <v>2</v>
      </c>
      <c r="H358" s="160" t="s">
        <v>3032</v>
      </c>
      <c r="I358" s="164">
        <v>41667</v>
      </c>
      <c r="J358" s="166">
        <v>30000</v>
      </c>
      <c r="K358" s="167" t="s">
        <v>70</v>
      </c>
    </row>
    <row r="359" spans="1:11" x14ac:dyDescent="0.3">
      <c r="A359" s="160">
        <v>1</v>
      </c>
      <c r="B359" s="160" t="s">
        <v>3035</v>
      </c>
      <c r="C359" s="160" t="s">
        <v>2573</v>
      </c>
      <c r="D359" s="160" t="s">
        <v>2574</v>
      </c>
      <c r="E359" s="160" t="s">
        <v>3030</v>
      </c>
      <c r="F359" s="160" t="s">
        <v>3036</v>
      </c>
      <c r="G359" s="163">
        <v>3</v>
      </c>
      <c r="H359" s="160" t="s">
        <v>3032</v>
      </c>
      <c r="I359" s="164">
        <v>42313</v>
      </c>
      <c r="J359" s="166">
        <v>60000</v>
      </c>
      <c r="K359" s="168" t="s">
        <v>13</v>
      </c>
    </row>
    <row r="360" spans="1:11" x14ac:dyDescent="0.3">
      <c r="A360" s="160">
        <v>1</v>
      </c>
      <c r="B360" s="160" t="s">
        <v>3037</v>
      </c>
      <c r="C360" s="160" t="s">
        <v>2573</v>
      </c>
      <c r="D360" s="160" t="s">
        <v>2574</v>
      </c>
      <c r="E360" s="160" t="s">
        <v>3030</v>
      </c>
      <c r="F360" s="160" t="s">
        <v>3038</v>
      </c>
      <c r="G360" s="163">
        <v>4</v>
      </c>
      <c r="H360" s="160" t="s">
        <v>3039</v>
      </c>
      <c r="I360" s="164">
        <v>43073</v>
      </c>
      <c r="J360" s="169">
        <v>60000</v>
      </c>
      <c r="K360" s="160" t="s">
        <v>13</v>
      </c>
    </row>
    <row r="361" spans="1:11" x14ac:dyDescent="0.3">
      <c r="A361" s="160">
        <v>1</v>
      </c>
      <c r="B361" s="160" t="s">
        <v>3040</v>
      </c>
      <c r="C361" s="160" t="s">
        <v>2573</v>
      </c>
      <c r="D361" s="160" t="s">
        <v>2574</v>
      </c>
      <c r="E361" s="160" t="s">
        <v>3041</v>
      </c>
      <c r="F361" s="160" t="s">
        <v>3042</v>
      </c>
      <c r="G361" s="163">
        <v>1</v>
      </c>
      <c r="H361" s="160" t="s">
        <v>3043</v>
      </c>
      <c r="I361" s="164">
        <v>42443</v>
      </c>
      <c r="J361" s="166">
        <v>30000</v>
      </c>
      <c r="K361" s="167" t="s">
        <v>70</v>
      </c>
    </row>
    <row r="362" spans="1:11" x14ac:dyDescent="0.3">
      <c r="A362" s="160">
        <v>1</v>
      </c>
      <c r="B362" s="160" t="s">
        <v>3044</v>
      </c>
      <c r="C362" s="160" t="s">
        <v>2573</v>
      </c>
      <c r="D362" s="160" t="s">
        <v>2574</v>
      </c>
      <c r="E362" s="160" t="s">
        <v>3041</v>
      </c>
      <c r="F362" s="160" t="s">
        <v>3045</v>
      </c>
      <c r="G362" s="163">
        <v>2</v>
      </c>
      <c r="H362" s="160" t="s">
        <v>3043</v>
      </c>
      <c r="I362" s="164">
        <v>42935</v>
      </c>
      <c r="J362" s="169">
        <v>20000</v>
      </c>
      <c r="K362" s="160" t="s">
        <v>13</v>
      </c>
    </row>
    <row r="363" spans="1:11" x14ac:dyDescent="0.3">
      <c r="A363" s="160">
        <v>1</v>
      </c>
      <c r="B363" s="160">
        <v>123362</v>
      </c>
      <c r="C363" s="160" t="s">
        <v>2573</v>
      </c>
      <c r="D363" s="160" t="s">
        <v>2574</v>
      </c>
      <c r="E363" s="160" t="s">
        <v>3041</v>
      </c>
      <c r="F363" s="160" t="s">
        <v>3046</v>
      </c>
      <c r="G363" s="163">
        <v>3</v>
      </c>
      <c r="H363" s="160" t="s">
        <v>3043</v>
      </c>
      <c r="I363" s="164">
        <v>44545</v>
      </c>
      <c r="J363" s="169">
        <v>30000</v>
      </c>
      <c r="K363" s="160" t="s">
        <v>13</v>
      </c>
    </row>
    <row r="364" spans="1:11" x14ac:dyDescent="0.3">
      <c r="A364" s="160">
        <v>1</v>
      </c>
      <c r="B364" s="160">
        <v>3235340001</v>
      </c>
      <c r="C364" s="160" t="s">
        <v>2573</v>
      </c>
      <c r="D364" s="160" t="s">
        <v>2574</v>
      </c>
      <c r="E364" s="160" t="s">
        <v>3041</v>
      </c>
      <c r="F364" s="160" t="s">
        <v>3047</v>
      </c>
      <c r="G364" s="163">
        <v>4</v>
      </c>
      <c r="H364" s="160" t="s">
        <v>3043</v>
      </c>
      <c r="I364" s="164">
        <v>45530</v>
      </c>
      <c r="J364" s="169">
        <v>60000</v>
      </c>
      <c r="K364" s="160" t="s">
        <v>13</v>
      </c>
    </row>
    <row r="365" spans="1:11" x14ac:dyDescent="0.3">
      <c r="A365" s="160">
        <v>1</v>
      </c>
      <c r="B365" s="160">
        <v>3235340002</v>
      </c>
      <c r="C365" s="160" t="s">
        <v>2573</v>
      </c>
      <c r="D365" s="160" t="s">
        <v>2574</v>
      </c>
      <c r="E365" s="160" t="s">
        <v>3041</v>
      </c>
      <c r="F365" s="160" t="s">
        <v>3048</v>
      </c>
      <c r="G365" s="163">
        <v>5</v>
      </c>
      <c r="H365" s="160" t="s">
        <v>3043</v>
      </c>
      <c r="I365" s="164">
        <v>45833</v>
      </c>
      <c r="J365" s="169">
        <v>30000</v>
      </c>
      <c r="K365" s="160" t="s">
        <v>13</v>
      </c>
    </row>
    <row r="366" spans="1:11" x14ac:dyDescent="0.3">
      <c r="A366" s="160">
        <v>1</v>
      </c>
      <c r="B366" s="160" t="s">
        <v>3049</v>
      </c>
      <c r="C366" s="160" t="s">
        <v>2573</v>
      </c>
      <c r="D366" s="160" t="s">
        <v>2574</v>
      </c>
      <c r="E366" s="160" t="s">
        <v>3050</v>
      </c>
      <c r="F366" s="160" t="s">
        <v>3051</v>
      </c>
      <c r="G366" s="163">
        <v>1</v>
      </c>
      <c r="H366" s="160" t="s">
        <v>3052</v>
      </c>
      <c r="I366" s="164">
        <v>42669</v>
      </c>
      <c r="J366" s="166">
        <v>5000</v>
      </c>
      <c r="K366" s="168" t="s">
        <v>13</v>
      </c>
    </row>
    <row r="367" spans="1:11" x14ac:dyDescent="0.3">
      <c r="A367" s="160">
        <v>1</v>
      </c>
      <c r="B367" s="160" t="s">
        <v>3053</v>
      </c>
      <c r="C367" s="160" t="s">
        <v>2573</v>
      </c>
      <c r="D367" s="160" t="s">
        <v>2574</v>
      </c>
      <c r="E367" s="160" t="s">
        <v>3050</v>
      </c>
      <c r="F367" s="160" t="s">
        <v>3054</v>
      </c>
      <c r="G367" s="163">
        <v>2</v>
      </c>
      <c r="H367" s="160" t="s">
        <v>3052</v>
      </c>
      <c r="I367" s="164">
        <v>42985</v>
      </c>
      <c r="J367" s="169">
        <v>1500</v>
      </c>
      <c r="K367" s="160" t="s">
        <v>13</v>
      </c>
    </row>
    <row r="368" spans="1:11" x14ac:dyDescent="0.3">
      <c r="A368" s="160">
        <v>1</v>
      </c>
      <c r="B368" s="160">
        <v>151545</v>
      </c>
      <c r="C368" s="160" t="s">
        <v>2573</v>
      </c>
      <c r="D368" s="160" t="s">
        <v>2574</v>
      </c>
      <c r="F368" s="160" t="s">
        <v>3055</v>
      </c>
      <c r="G368" s="163">
        <v>1</v>
      </c>
      <c r="H368" s="160" t="s">
        <v>3056</v>
      </c>
      <c r="I368" s="164">
        <v>44795</v>
      </c>
      <c r="J368" s="169">
        <v>80000</v>
      </c>
      <c r="K368" s="160" t="s">
        <v>13</v>
      </c>
    </row>
    <row r="369" spans="1:11" x14ac:dyDescent="0.3">
      <c r="A369" s="160">
        <v>1</v>
      </c>
      <c r="B369" s="160">
        <v>5528750001</v>
      </c>
      <c r="C369" s="160" t="s">
        <v>2573</v>
      </c>
      <c r="D369" s="160" t="s">
        <v>2574</v>
      </c>
      <c r="F369" s="160" t="s">
        <v>3057</v>
      </c>
      <c r="G369" s="163">
        <v>2</v>
      </c>
      <c r="H369" s="160" t="s">
        <v>3056</v>
      </c>
      <c r="I369" s="164">
        <v>45155</v>
      </c>
      <c r="J369" s="169">
        <v>100000</v>
      </c>
      <c r="K369" s="160" t="s">
        <v>13</v>
      </c>
    </row>
    <row r="370" spans="1:11" x14ac:dyDescent="0.3">
      <c r="A370" s="160">
        <v>1</v>
      </c>
      <c r="C370" s="160" t="s">
        <v>2573</v>
      </c>
      <c r="D370" s="160" t="s">
        <v>2574</v>
      </c>
      <c r="F370" s="160" t="s">
        <v>3058</v>
      </c>
      <c r="G370" s="163">
        <v>1</v>
      </c>
      <c r="H370" s="160" t="s">
        <v>3059</v>
      </c>
      <c r="I370" s="164">
        <v>40779</v>
      </c>
      <c r="J370" s="166">
        <v>5000</v>
      </c>
      <c r="K370" s="168" t="s">
        <v>13</v>
      </c>
    </row>
    <row r="371" spans="1:11" x14ac:dyDescent="0.3">
      <c r="A371" s="160">
        <v>1</v>
      </c>
      <c r="B371" s="160">
        <v>106242</v>
      </c>
      <c r="C371" s="160" t="s">
        <v>2573</v>
      </c>
      <c r="D371" s="160" t="s">
        <v>2574</v>
      </c>
      <c r="F371" s="160" t="s">
        <v>3060</v>
      </c>
      <c r="G371" s="163">
        <v>1</v>
      </c>
      <c r="H371" s="160" t="s">
        <v>3061</v>
      </c>
      <c r="I371" s="164">
        <v>44466</v>
      </c>
      <c r="J371" s="165">
        <v>80000</v>
      </c>
      <c r="K371" s="160" t="s">
        <v>13</v>
      </c>
    </row>
    <row r="372" spans="1:11" x14ac:dyDescent="0.3">
      <c r="A372" s="160">
        <v>1</v>
      </c>
      <c r="B372" s="160">
        <v>5636840001</v>
      </c>
      <c r="C372" s="160" t="s">
        <v>2573</v>
      </c>
      <c r="D372" s="160" t="s">
        <v>2574</v>
      </c>
      <c r="F372" s="160" t="s">
        <v>3062</v>
      </c>
      <c r="G372" s="163">
        <v>1</v>
      </c>
      <c r="H372" s="160" t="s">
        <v>1027</v>
      </c>
      <c r="I372" s="164">
        <v>45076</v>
      </c>
      <c r="J372" s="165">
        <v>50000</v>
      </c>
      <c r="K372" s="160" t="s">
        <v>13</v>
      </c>
    </row>
    <row r="373" spans="1:11" x14ac:dyDescent="0.3">
      <c r="A373" s="160">
        <v>1</v>
      </c>
      <c r="B373" s="160">
        <v>106360</v>
      </c>
      <c r="C373" s="160" t="s">
        <v>2573</v>
      </c>
      <c r="D373" s="160" t="s">
        <v>2574</v>
      </c>
      <c r="F373" s="160" t="s">
        <v>3063</v>
      </c>
      <c r="G373" s="163">
        <v>1</v>
      </c>
      <c r="H373" s="160" t="s">
        <v>3064</v>
      </c>
      <c r="I373" s="164">
        <v>44466</v>
      </c>
      <c r="J373" s="165">
        <v>80000</v>
      </c>
      <c r="K373" s="160" t="s">
        <v>13</v>
      </c>
    </row>
    <row r="374" spans="1:11" x14ac:dyDescent="0.3">
      <c r="A374" s="160">
        <v>1</v>
      </c>
      <c r="B374" s="160">
        <v>136671</v>
      </c>
      <c r="C374" s="160" t="s">
        <v>2573</v>
      </c>
      <c r="D374" s="160" t="s">
        <v>2574</v>
      </c>
      <c r="F374" s="160" t="s">
        <v>3065</v>
      </c>
      <c r="G374" s="163">
        <v>2</v>
      </c>
      <c r="H374" s="160" t="s">
        <v>3064</v>
      </c>
      <c r="I374" s="164">
        <v>44673</v>
      </c>
      <c r="J374" s="165">
        <v>150000</v>
      </c>
      <c r="K374" s="160" t="s">
        <v>13</v>
      </c>
    </row>
    <row r="375" spans="1:11" x14ac:dyDescent="0.3">
      <c r="A375" s="160">
        <v>1</v>
      </c>
      <c r="B375" s="160">
        <v>6188500001</v>
      </c>
      <c r="C375" s="160" t="s">
        <v>2573</v>
      </c>
      <c r="D375" s="160" t="s">
        <v>2574</v>
      </c>
      <c r="F375" s="160" t="s">
        <v>3066</v>
      </c>
      <c r="G375" s="163">
        <v>1</v>
      </c>
      <c r="H375" s="160" t="s">
        <v>3067</v>
      </c>
      <c r="I375" s="164">
        <v>45397</v>
      </c>
      <c r="J375" s="165">
        <v>100000</v>
      </c>
      <c r="K375" s="160" t="s">
        <v>13</v>
      </c>
    </row>
    <row r="376" spans="1:11" x14ac:dyDescent="0.3">
      <c r="A376" s="160">
        <v>1</v>
      </c>
      <c r="B376" s="160">
        <v>5898560002</v>
      </c>
      <c r="C376" s="160" t="s">
        <v>2573</v>
      </c>
      <c r="D376" s="160" t="s">
        <v>2574</v>
      </c>
      <c r="F376" s="160" t="s">
        <v>3068</v>
      </c>
      <c r="G376" s="163">
        <v>1</v>
      </c>
      <c r="H376" s="160" t="s">
        <v>893</v>
      </c>
      <c r="I376" s="164">
        <v>45106</v>
      </c>
      <c r="J376" s="165">
        <v>50000</v>
      </c>
      <c r="K376" s="160" t="s">
        <v>13</v>
      </c>
    </row>
    <row r="377" spans="1:11" x14ac:dyDescent="0.3">
      <c r="A377" s="160">
        <v>1</v>
      </c>
      <c r="B377" s="160" t="s">
        <v>3069</v>
      </c>
      <c r="C377" s="160" t="s">
        <v>2573</v>
      </c>
      <c r="D377" s="160" t="s">
        <v>2574</v>
      </c>
      <c r="E377" s="160" t="s">
        <v>3070</v>
      </c>
      <c r="F377" s="160" t="s">
        <v>3071</v>
      </c>
      <c r="G377" s="163">
        <v>1</v>
      </c>
      <c r="H377" s="160" t="s">
        <v>3072</v>
      </c>
      <c r="I377" s="164">
        <v>42481</v>
      </c>
      <c r="J377" s="166">
        <v>80000</v>
      </c>
      <c r="K377" s="168" t="s">
        <v>13</v>
      </c>
    </row>
    <row r="378" spans="1:11" x14ac:dyDescent="0.3">
      <c r="A378" s="160">
        <v>1</v>
      </c>
      <c r="B378" s="160" t="s">
        <v>3073</v>
      </c>
      <c r="C378" s="160" t="s">
        <v>2573</v>
      </c>
      <c r="D378" s="160" t="s">
        <v>2574</v>
      </c>
      <c r="E378" s="160" t="s">
        <v>3070</v>
      </c>
      <c r="F378" s="160" t="s">
        <v>3074</v>
      </c>
      <c r="G378" s="163">
        <v>2</v>
      </c>
      <c r="H378" s="160" t="s">
        <v>3072</v>
      </c>
      <c r="I378" s="164">
        <v>43124</v>
      </c>
      <c r="J378" s="169">
        <v>150000</v>
      </c>
      <c r="K378" s="160" t="s">
        <v>13</v>
      </c>
    </row>
    <row r="379" spans="1:11" x14ac:dyDescent="0.3">
      <c r="A379" s="160">
        <v>1</v>
      </c>
      <c r="B379" s="160">
        <v>41036</v>
      </c>
      <c r="C379" s="160" t="s">
        <v>2573</v>
      </c>
      <c r="D379" s="160" t="s">
        <v>2574</v>
      </c>
      <c r="E379" s="160" t="s">
        <v>3070</v>
      </c>
      <c r="F379" s="160" t="s">
        <v>3075</v>
      </c>
      <c r="G379" s="163">
        <v>3</v>
      </c>
      <c r="H379" s="160" t="s">
        <v>3072</v>
      </c>
      <c r="I379" s="164">
        <v>43670</v>
      </c>
      <c r="J379" s="169">
        <v>30000</v>
      </c>
      <c r="K379" s="160" t="s">
        <v>13</v>
      </c>
    </row>
    <row r="380" spans="1:11" x14ac:dyDescent="0.3">
      <c r="A380" s="160">
        <v>1</v>
      </c>
      <c r="B380" s="160">
        <v>93495</v>
      </c>
      <c r="C380" s="160" t="s">
        <v>2573</v>
      </c>
      <c r="D380" s="160" t="s">
        <v>2574</v>
      </c>
      <c r="E380" s="160" t="s">
        <v>3070</v>
      </c>
      <c r="F380" s="160" t="s">
        <v>3076</v>
      </c>
      <c r="G380" s="163">
        <v>4</v>
      </c>
      <c r="H380" s="160" t="s">
        <v>3072</v>
      </c>
      <c r="I380" s="164">
        <v>44279</v>
      </c>
      <c r="J380" s="169">
        <v>50000</v>
      </c>
      <c r="K380" s="160" t="s">
        <v>13</v>
      </c>
    </row>
    <row r="381" spans="1:11" x14ac:dyDescent="0.3">
      <c r="A381" s="160">
        <v>1</v>
      </c>
      <c r="B381" s="160">
        <v>134713</v>
      </c>
      <c r="C381" s="160" t="s">
        <v>2573</v>
      </c>
      <c r="D381" s="160" t="s">
        <v>2574</v>
      </c>
      <c r="E381" s="160" t="s">
        <v>3070</v>
      </c>
      <c r="F381" s="160" t="s">
        <v>3077</v>
      </c>
      <c r="G381" s="163">
        <v>5</v>
      </c>
      <c r="H381" s="160" t="s">
        <v>3072</v>
      </c>
      <c r="I381" s="164">
        <v>44657</v>
      </c>
      <c r="J381" s="169">
        <v>150000</v>
      </c>
      <c r="K381" s="160" t="s">
        <v>13</v>
      </c>
    </row>
    <row r="382" spans="1:11" x14ac:dyDescent="0.3">
      <c r="A382" s="160">
        <v>1</v>
      </c>
      <c r="B382" s="160">
        <v>2827100003</v>
      </c>
      <c r="C382" s="160" t="s">
        <v>2573</v>
      </c>
      <c r="D382" s="160" t="s">
        <v>2574</v>
      </c>
      <c r="E382" s="160" t="s">
        <v>3070</v>
      </c>
      <c r="F382" s="160" t="s">
        <v>3078</v>
      </c>
      <c r="G382" s="163">
        <v>6</v>
      </c>
      <c r="H382" s="160" t="s">
        <v>3072</v>
      </c>
      <c r="I382" s="164">
        <v>45890</v>
      </c>
      <c r="J382" s="169">
        <v>50000</v>
      </c>
      <c r="K382" s="160" t="s">
        <v>13</v>
      </c>
    </row>
    <row r="383" spans="1:11" x14ac:dyDescent="0.3">
      <c r="A383" s="160">
        <v>1</v>
      </c>
      <c r="B383" s="160" t="s">
        <v>3079</v>
      </c>
      <c r="C383" s="160" t="s">
        <v>2573</v>
      </c>
      <c r="D383" s="160" t="s">
        <v>2574</v>
      </c>
      <c r="E383" s="160" t="s">
        <v>3080</v>
      </c>
      <c r="F383" s="160" t="s">
        <v>3081</v>
      </c>
      <c r="G383" s="163">
        <v>1</v>
      </c>
      <c r="H383" s="160" t="s">
        <v>3082</v>
      </c>
      <c r="I383" s="164">
        <v>42990</v>
      </c>
      <c r="J383" s="169">
        <v>45000</v>
      </c>
      <c r="K383" s="160" t="s">
        <v>70</v>
      </c>
    </row>
    <row r="384" spans="1:11" x14ac:dyDescent="0.3">
      <c r="A384" s="160">
        <v>1</v>
      </c>
      <c r="B384" s="160">
        <v>88019</v>
      </c>
      <c r="C384" s="160" t="s">
        <v>2573</v>
      </c>
      <c r="D384" s="160" t="s">
        <v>2574</v>
      </c>
      <c r="F384" s="160" t="s">
        <v>3083</v>
      </c>
      <c r="G384" s="163">
        <v>1</v>
      </c>
      <c r="H384" s="160" t="s">
        <v>3084</v>
      </c>
      <c r="I384" s="164">
        <v>44342</v>
      </c>
      <c r="J384" s="169">
        <v>40000</v>
      </c>
      <c r="K384" s="160" t="s">
        <v>13</v>
      </c>
    </row>
    <row r="385" spans="1:11" x14ac:dyDescent="0.3">
      <c r="A385" s="160">
        <v>1</v>
      </c>
      <c r="B385" s="160">
        <v>130895</v>
      </c>
      <c r="C385" s="160" t="s">
        <v>2573</v>
      </c>
      <c r="D385" s="160" t="s">
        <v>2574</v>
      </c>
      <c r="F385" s="160" t="s">
        <v>3085</v>
      </c>
      <c r="G385" s="163">
        <v>2</v>
      </c>
      <c r="H385" s="160" t="s">
        <v>3084</v>
      </c>
      <c r="I385" s="164">
        <v>44624</v>
      </c>
      <c r="J385" s="169">
        <v>40000</v>
      </c>
      <c r="K385" s="160" t="s">
        <v>13</v>
      </c>
    </row>
    <row r="386" spans="1:11" x14ac:dyDescent="0.3">
      <c r="A386" s="160">
        <v>1</v>
      </c>
      <c r="B386" s="160">
        <v>11431165</v>
      </c>
      <c r="C386" s="160" t="s">
        <v>2573</v>
      </c>
      <c r="D386" s="160" t="s">
        <v>2574</v>
      </c>
      <c r="F386" s="160" t="s">
        <v>3086</v>
      </c>
      <c r="G386" s="163">
        <v>3</v>
      </c>
      <c r="H386" s="160" t="s">
        <v>3084</v>
      </c>
      <c r="I386" s="164">
        <v>45054</v>
      </c>
      <c r="J386" s="169">
        <v>25000</v>
      </c>
      <c r="K386" s="160" t="s">
        <v>2410</v>
      </c>
    </row>
    <row r="387" spans="1:11" x14ac:dyDescent="0.3">
      <c r="A387" s="160">
        <v>1</v>
      </c>
      <c r="B387" s="160" t="s">
        <v>3087</v>
      </c>
      <c r="C387" s="160" t="s">
        <v>2573</v>
      </c>
      <c r="D387" s="160" t="s">
        <v>2574</v>
      </c>
      <c r="E387" s="160" t="s">
        <v>3088</v>
      </c>
      <c r="F387" s="160" t="s">
        <v>3089</v>
      </c>
      <c r="G387" s="163">
        <v>1</v>
      </c>
      <c r="H387" s="160" t="s">
        <v>3090</v>
      </c>
      <c r="I387" s="164">
        <v>41990</v>
      </c>
      <c r="J387" s="166">
        <v>3000</v>
      </c>
      <c r="K387" s="168" t="s">
        <v>13</v>
      </c>
    </row>
    <row r="388" spans="1:11" x14ac:dyDescent="0.3">
      <c r="A388" s="160">
        <v>1</v>
      </c>
      <c r="B388" s="160" t="s">
        <v>3091</v>
      </c>
      <c r="C388" s="160" t="s">
        <v>2573</v>
      </c>
      <c r="D388" s="160" t="s">
        <v>2574</v>
      </c>
      <c r="E388" s="160" t="s">
        <v>3088</v>
      </c>
      <c r="F388" s="160" t="s">
        <v>3092</v>
      </c>
      <c r="G388" s="163">
        <v>2</v>
      </c>
      <c r="H388" s="160" t="s">
        <v>3090</v>
      </c>
      <c r="I388" s="164">
        <v>42272</v>
      </c>
      <c r="J388" s="166">
        <v>2000</v>
      </c>
      <c r="K388" s="168" t="s">
        <v>13</v>
      </c>
    </row>
    <row r="389" spans="1:11" x14ac:dyDescent="0.3">
      <c r="A389" s="160">
        <v>1</v>
      </c>
      <c r="C389" s="160" t="s">
        <v>2573</v>
      </c>
      <c r="D389" s="160" t="s">
        <v>2574</v>
      </c>
      <c r="F389" s="160" t="s">
        <v>3093</v>
      </c>
      <c r="G389" s="163">
        <v>1</v>
      </c>
      <c r="H389" s="160" t="s">
        <v>3094</v>
      </c>
      <c r="I389" s="164">
        <v>40651</v>
      </c>
      <c r="J389" s="166">
        <v>7000</v>
      </c>
      <c r="K389" s="168" t="s">
        <v>13</v>
      </c>
    </row>
    <row r="390" spans="1:11" x14ac:dyDescent="0.3">
      <c r="A390" s="160">
        <v>1</v>
      </c>
      <c r="B390" s="160">
        <v>10906543</v>
      </c>
      <c r="C390" s="160" t="s">
        <v>2573</v>
      </c>
      <c r="D390" s="160" t="s">
        <v>2574</v>
      </c>
      <c r="F390" s="160" t="s">
        <v>3095</v>
      </c>
      <c r="G390" s="163">
        <v>1</v>
      </c>
      <c r="H390" s="160" t="s">
        <v>3096</v>
      </c>
      <c r="I390" s="164">
        <v>44900</v>
      </c>
      <c r="J390" s="165">
        <v>50000</v>
      </c>
      <c r="K390" s="160" t="s">
        <v>13</v>
      </c>
    </row>
    <row r="391" spans="1:11" x14ac:dyDescent="0.3">
      <c r="A391" s="160">
        <v>1</v>
      </c>
      <c r="B391" s="160">
        <v>5523200001</v>
      </c>
      <c r="C391" s="160" t="s">
        <v>2573</v>
      </c>
      <c r="D391" s="160" t="s">
        <v>2574</v>
      </c>
      <c r="F391" s="160" t="s">
        <v>3097</v>
      </c>
      <c r="G391" s="163">
        <v>2</v>
      </c>
      <c r="H391" s="160" t="s">
        <v>3096</v>
      </c>
      <c r="I391" s="164">
        <v>45355</v>
      </c>
      <c r="J391" s="165">
        <v>40000</v>
      </c>
      <c r="K391" s="160" t="s">
        <v>13</v>
      </c>
    </row>
    <row r="392" spans="1:11" x14ac:dyDescent="0.3">
      <c r="A392" s="160">
        <v>1</v>
      </c>
      <c r="B392" s="160">
        <v>5523200002</v>
      </c>
      <c r="C392" s="160" t="s">
        <v>2573</v>
      </c>
      <c r="D392" s="160" t="s">
        <v>2574</v>
      </c>
      <c r="F392" s="160" t="s">
        <v>3098</v>
      </c>
      <c r="G392" s="163">
        <v>3</v>
      </c>
      <c r="H392" s="160" t="s">
        <v>3096</v>
      </c>
      <c r="I392" s="164">
        <v>45684</v>
      </c>
      <c r="J392" s="165">
        <v>60000</v>
      </c>
      <c r="K392" s="160" t="s">
        <v>13</v>
      </c>
    </row>
    <row r="393" spans="1:11" x14ac:dyDescent="0.3">
      <c r="A393" s="160">
        <v>1</v>
      </c>
      <c r="B393" s="160">
        <v>5523200003</v>
      </c>
      <c r="C393" s="160" t="s">
        <v>2573</v>
      </c>
      <c r="D393" s="160" t="s">
        <v>2574</v>
      </c>
      <c r="F393" s="160" t="s">
        <v>3099</v>
      </c>
      <c r="G393" s="163">
        <v>4</v>
      </c>
      <c r="H393" s="160" t="s">
        <v>3096</v>
      </c>
      <c r="I393" s="164">
        <v>45903</v>
      </c>
      <c r="J393" s="165">
        <v>100000</v>
      </c>
      <c r="K393" s="160" t="s">
        <v>13</v>
      </c>
    </row>
    <row r="394" spans="1:11" x14ac:dyDescent="0.3">
      <c r="A394" s="160">
        <v>1</v>
      </c>
      <c r="B394" s="160">
        <v>145813</v>
      </c>
      <c r="C394" s="160" t="s">
        <v>2573</v>
      </c>
      <c r="D394" s="160" t="s">
        <v>2574</v>
      </c>
      <c r="F394" s="160" t="s">
        <v>3100</v>
      </c>
      <c r="G394" s="163">
        <v>1</v>
      </c>
      <c r="H394" s="160" t="s">
        <v>3101</v>
      </c>
      <c r="I394" s="164">
        <v>44743</v>
      </c>
      <c r="J394" s="165">
        <v>40000</v>
      </c>
      <c r="K394" s="160" t="s">
        <v>13</v>
      </c>
    </row>
    <row r="395" spans="1:11" x14ac:dyDescent="0.3">
      <c r="A395" s="160">
        <v>1</v>
      </c>
      <c r="B395" s="160">
        <v>6051030001</v>
      </c>
      <c r="C395" s="160" t="s">
        <v>2573</v>
      </c>
      <c r="D395" s="160" t="s">
        <v>2574</v>
      </c>
      <c r="F395" s="160" t="s">
        <v>3102</v>
      </c>
      <c r="G395" s="163">
        <v>1</v>
      </c>
      <c r="H395" s="160" t="s">
        <v>1583</v>
      </c>
      <c r="I395" s="164">
        <v>45201</v>
      </c>
      <c r="J395" s="165">
        <v>80000</v>
      </c>
      <c r="K395" s="160" t="s">
        <v>13</v>
      </c>
    </row>
    <row r="396" spans="1:11" x14ac:dyDescent="0.3">
      <c r="A396" s="160">
        <v>1</v>
      </c>
      <c r="B396" s="160">
        <v>153345</v>
      </c>
      <c r="C396" s="160" t="s">
        <v>2573</v>
      </c>
      <c r="D396" s="160" t="s">
        <v>2574</v>
      </c>
      <c r="F396" s="160" t="s">
        <v>3103</v>
      </c>
      <c r="G396" s="163">
        <v>1</v>
      </c>
      <c r="H396" s="160" t="s">
        <v>3104</v>
      </c>
      <c r="I396" s="164">
        <v>44805</v>
      </c>
      <c r="J396" s="165">
        <v>50000</v>
      </c>
      <c r="K396" s="160" t="s">
        <v>13</v>
      </c>
    </row>
    <row r="397" spans="1:11" x14ac:dyDescent="0.3">
      <c r="A397" s="160">
        <v>1</v>
      </c>
      <c r="B397" s="160" t="s">
        <v>3105</v>
      </c>
      <c r="C397" s="160" t="s">
        <v>2573</v>
      </c>
      <c r="D397" s="160" t="s">
        <v>2574</v>
      </c>
      <c r="E397" s="160" t="s">
        <v>3106</v>
      </c>
      <c r="F397" s="160" t="s">
        <v>3107</v>
      </c>
      <c r="G397" s="163">
        <v>1</v>
      </c>
      <c r="H397" s="160" t="s">
        <v>3108</v>
      </c>
      <c r="I397" s="164">
        <v>41982</v>
      </c>
      <c r="J397" s="166">
        <v>40000</v>
      </c>
      <c r="K397" s="168" t="s">
        <v>13</v>
      </c>
    </row>
    <row r="398" spans="1:11" x14ac:dyDescent="0.3">
      <c r="A398" s="160">
        <v>1</v>
      </c>
      <c r="B398" s="160" t="s">
        <v>3109</v>
      </c>
      <c r="C398" s="160" t="s">
        <v>2573</v>
      </c>
      <c r="D398" s="160" t="s">
        <v>2574</v>
      </c>
      <c r="E398" s="160" t="s">
        <v>3106</v>
      </c>
      <c r="F398" s="160" t="s">
        <v>3110</v>
      </c>
      <c r="G398" s="163">
        <v>2</v>
      </c>
      <c r="H398" s="160" t="s">
        <v>3108</v>
      </c>
      <c r="I398" s="164">
        <v>42510</v>
      </c>
      <c r="J398" s="166">
        <v>30000</v>
      </c>
      <c r="K398" s="168" t="s">
        <v>13</v>
      </c>
    </row>
    <row r="399" spans="1:11" x14ac:dyDescent="0.3">
      <c r="A399" s="160">
        <v>1</v>
      </c>
      <c r="B399" s="160" t="s">
        <v>3111</v>
      </c>
      <c r="C399" s="160" t="s">
        <v>2573</v>
      </c>
      <c r="D399" s="160" t="s">
        <v>2574</v>
      </c>
      <c r="E399" s="160" t="s">
        <v>3106</v>
      </c>
      <c r="F399" s="160" t="s">
        <v>3112</v>
      </c>
      <c r="G399" s="163">
        <v>3</v>
      </c>
      <c r="H399" s="160" t="s">
        <v>3108</v>
      </c>
      <c r="I399" s="164">
        <v>42930</v>
      </c>
      <c r="J399" s="169">
        <v>25000</v>
      </c>
      <c r="K399" s="160" t="s">
        <v>13</v>
      </c>
    </row>
    <row r="400" spans="1:11" x14ac:dyDescent="0.3">
      <c r="A400" s="160">
        <v>1</v>
      </c>
      <c r="B400" s="160">
        <v>42900</v>
      </c>
      <c r="C400" s="160" t="s">
        <v>2573</v>
      </c>
      <c r="D400" s="160" t="s">
        <v>2574</v>
      </c>
      <c r="E400" s="160" t="s">
        <v>3106</v>
      </c>
      <c r="F400" s="160" t="s">
        <v>3113</v>
      </c>
      <c r="G400" s="163">
        <v>4</v>
      </c>
      <c r="H400" s="160" t="s">
        <v>3114</v>
      </c>
      <c r="I400" s="164">
        <v>43705</v>
      </c>
      <c r="J400" s="169">
        <v>30000</v>
      </c>
      <c r="K400" s="160" t="s">
        <v>13</v>
      </c>
    </row>
    <row r="401" spans="1:11" x14ac:dyDescent="0.3">
      <c r="A401" s="160">
        <v>1</v>
      </c>
      <c r="B401" s="160" t="s">
        <v>3115</v>
      </c>
      <c r="C401" s="160" t="s">
        <v>2573</v>
      </c>
      <c r="D401" s="160" t="s">
        <v>2574</v>
      </c>
      <c r="E401" s="160" t="s">
        <v>3116</v>
      </c>
      <c r="F401" s="160" t="s">
        <v>3117</v>
      </c>
      <c r="G401" s="163">
        <v>1</v>
      </c>
      <c r="H401" s="160" t="s">
        <v>3118</v>
      </c>
      <c r="I401" s="164">
        <v>42579</v>
      </c>
      <c r="J401" s="166">
        <v>5000</v>
      </c>
      <c r="K401" s="168" t="s">
        <v>13</v>
      </c>
    </row>
    <row r="402" spans="1:11" x14ac:dyDescent="0.3">
      <c r="A402" s="160">
        <v>1</v>
      </c>
      <c r="B402" s="160">
        <v>108478</v>
      </c>
      <c r="C402" s="160" t="s">
        <v>2573</v>
      </c>
      <c r="D402" s="160" t="s">
        <v>2574</v>
      </c>
      <c r="F402" s="160" t="s">
        <v>3119</v>
      </c>
      <c r="G402" s="163">
        <v>1</v>
      </c>
      <c r="H402" s="160" t="s">
        <v>3120</v>
      </c>
      <c r="I402" s="164">
        <v>44456</v>
      </c>
      <c r="J402" s="165">
        <v>80000</v>
      </c>
      <c r="K402" s="160" t="s">
        <v>13</v>
      </c>
    </row>
    <row r="403" spans="1:11" x14ac:dyDescent="0.3">
      <c r="A403" s="160">
        <v>1</v>
      </c>
      <c r="B403" s="160">
        <v>152495</v>
      </c>
      <c r="C403" s="160" t="s">
        <v>2573</v>
      </c>
      <c r="D403" s="160" t="s">
        <v>2574</v>
      </c>
      <c r="F403" s="160" t="s">
        <v>3121</v>
      </c>
      <c r="G403" s="163">
        <v>2</v>
      </c>
      <c r="H403" s="160" t="s">
        <v>3120</v>
      </c>
      <c r="I403" s="164">
        <v>44799</v>
      </c>
      <c r="J403" s="165">
        <v>80000</v>
      </c>
      <c r="K403" s="160" t="s">
        <v>13</v>
      </c>
    </row>
    <row r="404" spans="1:11" x14ac:dyDescent="0.3">
      <c r="A404" s="160">
        <v>1</v>
      </c>
      <c r="B404" s="160">
        <v>4898270001</v>
      </c>
      <c r="C404" s="160" t="s">
        <v>2573</v>
      </c>
      <c r="D404" s="160" t="s">
        <v>2574</v>
      </c>
      <c r="F404" s="160" t="s">
        <v>3122</v>
      </c>
      <c r="G404" s="163">
        <v>3</v>
      </c>
      <c r="H404" s="160" t="s">
        <v>3120</v>
      </c>
      <c r="I404" s="164">
        <v>45686</v>
      </c>
      <c r="J404" s="165">
        <v>100000</v>
      </c>
      <c r="K404" s="160" t="s">
        <v>13</v>
      </c>
    </row>
    <row r="405" spans="1:11" x14ac:dyDescent="0.3">
      <c r="A405" s="160">
        <v>1</v>
      </c>
      <c r="B405" s="160">
        <v>10906297</v>
      </c>
      <c r="C405" s="160" t="s">
        <v>2573</v>
      </c>
      <c r="D405" s="160" t="s">
        <v>2574</v>
      </c>
      <c r="F405" s="160" t="s">
        <v>3123</v>
      </c>
      <c r="G405" s="163">
        <v>1</v>
      </c>
      <c r="H405" s="160" t="s">
        <v>1004</v>
      </c>
      <c r="I405" s="164">
        <v>44896</v>
      </c>
      <c r="J405" s="165">
        <v>50000</v>
      </c>
      <c r="K405" s="160" t="s">
        <v>13</v>
      </c>
    </row>
    <row r="406" spans="1:11" x14ac:dyDescent="0.3">
      <c r="A406" s="160">
        <v>1</v>
      </c>
      <c r="B406" s="160">
        <v>5486260004</v>
      </c>
      <c r="C406" s="160" t="s">
        <v>2573</v>
      </c>
      <c r="D406" s="160" t="s">
        <v>2574</v>
      </c>
      <c r="F406" s="160" t="s">
        <v>3124</v>
      </c>
      <c r="G406" s="163">
        <v>2</v>
      </c>
      <c r="H406" s="160" t="s">
        <v>1004</v>
      </c>
      <c r="I406" s="164">
        <v>45734</v>
      </c>
      <c r="J406" s="165">
        <v>100000</v>
      </c>
      <c r="K406" s="160" t="s">
        <v>13</v>
      </c>
    </row>
    <row r="407" spans="1:11" x14ac:dyDescent="0.3">
      <c r="A407" s="160">
        <v>1</v>
      </c>
      <c r="B407" s="160">
        <v>1723900001</v>
      </c>
      <c r="C407" s="160" t="s">
        <v>2573</v>
      </c>
      <c r="D407" s="160" t="s">
        <v>2574</v>
      </c>
      <c r="F407" s="160" t="s">
        <v>3125</v>
      </c>
      <c r="G407" s="163">
        <v>1</v>
      </c>
      <c r="H407" s="160" t="s">
        <v>3126</v>
      </c>
      <c r="I407" s="164">
        <v>45791</v>
      </c>
      <c r="J407" s="165">
        <v>40000</v>
      </c>
      <c r="K407" s="160" t="s">
        <v>13</v>
      </c>
    </row>
    <row r="408" spans="1:11" x14ac:dyDescent="0.3">
      <c r="A408" s="160">
        <v>1</v>
      </c>
      <c r="B408" s="160">
        <v>157290</v>
      </c>
      <c r="C408" s="160" t="s">
        <v>2573</v>
      </c>
      <c r="D408" s="160" t="s">
        <v>2574</v>
      </c>
      <c r="F408" s="160" t="s">
        <v>3127</v>
      </c>
      <c r="G408" s="163">
        <v>1</v>
      </c>
      <c r="H408" s="160" t="s">
        <v>3128</v>
      </c>
      <c r="I408" s="164">
        <v>44838</v>
      </c>
      <c r="J408" s="165">
        <v>50000</v>
      </c>
      <c r="K408" s="160" t="s">
        <v>13</v>
      </c>
    </row>
    <row r="409" spans="1:11" x14ac:dyDescent="0.3">
      <c r="A409" s="160">
        <v>1</v>
      </c>
      <c r="B409" s="160">
        <v>5751170001</v>
      </c>
      <c r="C409" s="160" t="s">
        <v>2573</v>
      </c>
      <c r="D409" s="160" t="s">
        <v>2574</v>
      </c>
      <c r="F409" s="160" t="s">
        <v>3129</v>
      </c>
      <c r="G409" s="163">
        <v>1</v>
      </c>
      <c r="H409" s="160" t="s">
        <v>3130</v>
      </c>
      <c r="I409" s="164">
        <v>45222</v>
      </c>
      <c r="J409" s="165">
        <v>50000</v>
      </c>
      <c r="K409" s="160" t="s">
        <v>13</v>
      </c>
    </row>
    <row r="410" spans="1:11" x14ac:dyDescent="0.3">
      <c r="A410" s="160">
        <v>1</v>
      </c>
      <c r="B410" s="160">
        <v>5751170002</v>
      </c>
      <c r="C410" s="160" t="s">
        <v>2573</v>
      </c>
      <c r="D410" s="160" t="s">
        <v>2574</v>
      </c>
      <c r="F410" s="160" t="s">
        <v>3131</v>
      </c>
      <c r="G410" s="163">
        <v>2</v>
      </c>
      <c r="H410" s="160" t="s">
        <v>3130</v>
      </c>
      <c r="I410" s="164">
        <v>45708</v>
      </c>
      <c r="J410" s="165">
        <v>25000</v>
      </c>
      <c r="K410" s="160" t="s">
        <v>13</v>
      </c>
    </row>
    <row r="411" spans="1:11" x14ac:dyDescent="0.3">
      <c r="A411" s="160">
        <v>1</v>
      </c>
      <c r="C411" s="160" t="s">
        <v>2573</v>
      </c>
      <c r="D411" s="160" t="s">
        <v>2574</v>
      </c>
      <c r="F411" s="160" t="s">
        <v>3132</v>
      </c>
      <c r="G411" s="163">
        <v>1</v>
      </c>
      <c r="H411" s="160" t="s">
        <v>3133</v>
      </c>
      <c r="I411" s="164">
        <v>40444</v>
      </c>
      <c r="J411" s="166">
        <v>2000</v>
      </c>
      <c r="K411" s="168" t="s">
        <v>13</v>
      </c>
    </row>
    <row r="412" spans="1:11" x14ac:dyDescent="0.3">
      <c r="A412" s="160">
        <v>1</v>
      </c>
      <c r="B412" s="160">
        <v>148044</v>
      </c>
      <c r="C412" s="160" t="s">
        <v>2573</v>
      </c>
      <c r="D412" s="160" t="s">
        <v>2574</v>
      </c>
      <c r="F412" s="160" t="s">
        <v>3134</v>
      </c>
      <c r="G412" s="163">
        <v>1</v>
      </c>
      <c r="H412" s="160" t="s">
        <v>3135</v>
      </c>
      <c r="I412" s="164">
        <v>44795</v>
      </c>
      <c r="J412" s="165">
        <v>80000</v>
      </c>
      <c r="K412" s="160" t="s">
        <v>13</v>
      </c>
    </row>
    <row r="413" spans="1:11" x14ac:dyDescent="0.3">
      <c r="A413" s="160">
        <v>1</v>
      </c>
      <c r="B413" s="160">
        <v>11354317</v>
      </c>
      <c r="C413" s="160" t="s">
        <v>2573</v>
      </c>
      <c r="D413" s="160" t="s">
        <v>2574</v>
      </c>
      <c r="F413" s="160" t="s">
        <v>3136</v>
      </c>
      <c r="G413" s="163">
        <v>2</v>
      </c>
      <c r="H413" s="160" t="s">
        <v>3135</v>
      </c>
      <c r="I413" s="164">
        <v>45036</v>
      </c>
      <c r="J413" s="165">
        <v>50000</v>
      </c>
      <c r="K413" s="160" t="s">
        <v>13</v>
      </c>
    </row>
    <row r="414" spans="1:11" x14ac:dyDescent="0.3">
      <c r="A414" s="160">
        <v>1</v>
      </c>
      <c r="B414" s="160">
        <v>5446230001</v>
      </c>
      <c r="C414" s="160" t="s">
        <v>2573</v>
      </c>
      <c r="D414" s="160" t="s">
        <v>2574</v>
      </c>
      <c r="F414" s="160" t="s">
        <v>3137</v>
      </c>
      <c r="G414" s="163">
        <v>3</v>
      </c>
      <c r="H414" s="160" t="s">
        <v>3135</v>
      </c>
      <c r="I414" s="164">
        <v>45504</v>
      </c>
      <c r="J414" s="165">
        <v>100000</v>
      </c>
      <c r="K414" s="160" t="s">
        <v>13</v>
      </c>
    </row>
    <row r="415" spans="1:11" x14ac:dyDescent="0.3">
      <c r="A415" s="160">
        <v>1</v>
      </c>
      <c r="B415" s="160">
        <v>5446230002</v>
      </c>
      <c r="C415" s="160" t="s">
        <v>2573</v>
      </c>
      <c r="D415" s="160" t="s">
        <v>2574</v>
      </c>
      <c r="F415" s="160" t="s">
        <v>3138</v>
      </c>
      <c r="G415" s="163">
        <v>4</v>
      </c>
      <c r="H415" s="160" t="s">
        <v>3135</v>
      </c>
      <c r="I415" s="164">
        <v>45572</v>
      </c>
      <c r="J415" s="165">
        <v>100000</v>
      </c>
      <c r="K415" s="160" t="s">
        <v>13</v>
      </c>
    </row>
    <row r="416" spans="1:11" x14ac:dyDescent="0.3">
      <c r="A416" s="160">
        <v>1</v>
      </c>
      <c r="B416" s="160">
        <v>5446230003</v>
      </c>
      <c r="C416" s="160" t="s">
        <v>2573</v>
      </c>
      <c r="D416" s="160" t="s">
        <v>2574</v>
      </c>
      <c r="F416" s="160" t="s">
        <v>3139</v>
      </c>
      <c r="G416" s="163">
        <v>5</v>
      </c>
      <c r="H416" s="160" t="s">
        <v>3135</v>
      </c>
      <c r="I416" s="164">
        <v>45691</v>
      </c>
      <c r="J416" s="165">
        <v>150000</v>
      </c>
      <c r="K416" s="160" t="s">
        <v>70</v>
      </c>
    </row>
    <row r="417" spans="1:11" x14ac:dyDescent="0.3">
      <c r="A417" s="160">
        <v>1</v>
      </c>
      <c r="C417" s="160" t="s">
        <v>2573</v>
      </c>
      <c r="D417" s="160" t="s">
        <v>2574</v>
      </c>
      <c r="F417" s="160" t="s">
        <v>3140</v>
      </c>
      <c r="G417" s="163">
        <v>1</v>
      </c>
      <c r="H417" s="160" t="s">
        <v>3141</v>
      </c>
      <c r="I417" s="164">
        <v>40526</v>
      </c>
      <c r="J417" s="166">
        <v>1500</v>
      </c>
      <c r="K417" s="168" t="s">
        <v>13</v>
      </c>
    </row>
    <row r="418" spans="1:11" x14ac:dyDescent="0.3">
      <c r="A418" s="160">
        <v>1</v>
      </c>
      <c r="B418" s="160">
        <v>10906588</v>
      </c>
      <c r="C418" s="160" t="s">
        <v>2573</v>
      </c>
      <c r="D418" s="160" t="s">
        <v>2574</v>
      </c>
      <c r="F418" s="160" t="s">
        <v>3142</v>
      </c>
      <c r="G418" s="163">
        <v>1</v>
      </c>
      <c r="H418" s="160" t="s">
        <v>954</v>
      </c>
      <c r="I418" s="164">
        <v>44901</v>
      </c>
      <c r="J418" s="165">
        <v>60000</v>
      </c>
      <c r="K418" s="160" t="s">
        <v>13</v>
      </c>
    </row>
    <row r="419" spans="1:11" x14ac:dyDescent="0.3">
      <c r="A419" s="160">
        <v>1</v>
      </c>
      <c r="C419" s="160" t="s">
        <v>2573</v>
      </c>
      <c r="D419" s="160" t="s">
        <v>2574</v>
      </c>
      <c r="F419" s="160" t="s">
        <v>3143</v>
      </c>
      <c r="G419" s="163">
        <v>1</v>
      </c>
      <c r="H419" s="160" t="s">
        <v>3144</v>
      </c>
      <c r="I419" s="164">
        <v>40308</v>
      </c>
      <c r="J419" s="166">
        <v>5000</v>
      </c>
      <c r="K419" s="168" t="s">
        <v>13</v>
      </c>
    </row>
    <row r="420" spans="1:11" x14ac:dyDescent="0.3">
      <c r="A420" s="160">
        <v>1</v>
      </c>
      <c r="C420" s="160" t="s">
        <v>2573</v>
      </c>
      <c r="D420" s="160" t="s">
        <v>2574</v>
      </c>
      <c r="F420" s="160" t="s">
        <v>3145</v>
      </c>
      <c r="G420" s="163">
        <v>2</v>
      </c>
      <c r="H420" s="160" t="s">
        <v>3144</v>
      </c>
      <c r="I420" s="164">
        <v>40977</v>
      </c>
      <c r="J420" s="166">
        <v>10000</v>
      </c>
      <c r="K420" s="168" t="s">
        <v>13</v>
      </c>
    </row>
    <row r="421" spans="1:11" x14ac:dyDescent="0.3">
      <c r="A421" s="160">
        <v>1</v>
      </c>
      <c r="B421" s="160">
        <v>6243820001</v>
      </c>
      <c r="C421" s="160" t="s">
        <v>2573</v>
      </c>
      <c r="D421" s="160" t="s">
        <v>2574</v>
      </c>
      <c r="F421" s="160" t="s">
        <v>3146</v>
      </c>
      <c r="G421" s="163">
        <v>1</v>
      </c>
      <c r="H421" s="160" t="s">
        <v>1974</v>
      </c>
      <c r="I421" s="164">
        <v>45378</v>
      </c>
      <c r="J421" s="165">
        <v>100000</v>
      </c>
      <c r="K421" s="160" t="s">
        <v>13</v>
      </c>
    </row>
    <row r="422" spans="1:11" x14ac:dyDescent="0.3">
      <c r="A422" s="160">
        <v>1</v>
      </c>
      <c r="B422" s="160">
        <v>110008</v>
      </c>
      <c r="C422" s="160" t="s">
        <v>2573</v>
      </c>
      <c r="D422" s="160" t="s">
        <v>2574</v>
      </c>
      <c r="F422" s="160" t="s">
        <v>3147</v>
      </c>
      <c r="G422" s="163">
        <v>1</v>
      </c>
      <c r="H422" s="160" t="s">
        <v>3148</v>
      </c>
      <c r="I422" s="164">
        <v>44438</v>
      </c>
      <c r="J422" s="165">
        <v>50000</v>
      </c>
      <c r="K422" s="160" t="s">
        <v>13</v>
      </c>
    </row>
    <row r="423" spans="1:11" x14ac:dyDescent="0.3">
      <c r="A423" s="160">
        <v>1</v>
      </c>
      <c r="B423" s="160">
        <v>4856900001</v>
      </c>
      <c r="C423" s="160" t="s">
        <v>2573</v>
      </c>
      <c r="D423" s="160" t="s">
        <v>2574</v>
      </c>
      <c r="F423" s="160" t="s">
        <v>3149</v>
      </c>
      <c r="G423" s="163">
        <v>2</v>
      </c>
      <c r="H423" s="160" t="s">
        <v>3148</v>
      </c>
      <c r="I423" s="164">
        <v>45218</v>
      </c>
      <c r="J423" s="165">
        <v>70000</v>
      </c>
      <c r="K423" s="160" t="s">
        <v>13</v>
      </c>
    </row>
    <row r="424" spans="1:11" x14ac:dyDescent="0.3">
      <c r="A424" s="160">
        <v>1</v>
      </c>
      <c r="B424" s="160">
        <v>4856900002</v>
      </c>
      <c r="C424" s="160" t="s">
        <v>2573</v>
      </c>
      <c r="D424" s="160" t="s">
        <v>2574</v>
      </c>
      <c r="F424" s="160" t="s">
        <v>3150</v>
      </c>
      <c r="G424" s="163">
        <v>3</v>
      </c>
      <c r="H424" s="160" t="s">
        <v>3148</v>
      </c>
      <c r="I424" s="164">
        <v>45414</v>
      </c>
      <c r="J424" s="165">
        <v>100000</v>
      </c>
      <c r="K424" s="160" t="s">
        <v>13</v>
      </c>
    </row>
    <row r="425" spans="1:11" x14ac:dyDescent="0.3">
      <c r="A425" s="160">
        <v>1</v>
      </c>
      <c r="B425" s="160">
        <v>152942</v>
      </c>
      <c r="C425" s="160" t="s">
        <v>2573</v>
      </c>
      <c r="D425" s="160" t="s">
        <v>2574</v>
      </c>
      <c r="F425" s="160" t="s">
        <v>3151</v>
      </c>
      <c r="G425" s="163">
        <v>1</v>
      </c>
      <c r="H425" s="160" t="s">
        <v>3152</v>
      </c>
      <c r="I425" s="164">
        <v>44834</v>
      </c>
      <c r="J425" s="165">
        <v>40000</v>
      </c>
      <c r="K425" s="160" t="s">
        <v>13</v>
      </c>
    </row>
    <row r="426" spans="1:11" x14ac:dyDescent="0.3">
      <c r="A426" s="160">
        <v>1</v>
      </c>
      <c r="B426" s="160">
        <v>115610</v>
      </c>
      <c r="C426" s="160" t="s">
        <v>2573</v>
      </c>
      <c r="D426" s="160" t="s">
        <v>2574</v>
      </c>
      <c r="F426" s="160" t="s">
        <v>3153</v>
      </c>
      <c r="G426" s="163">
        <v>1</v>
      </c>
      <c r="H426" s="160" t="s">
        <v>3154</v>
      </c>
      <c r="I426" s="164">
        <v>44488</v>
      </c>
      <c r="J426" s="165">
        <v>150000</v>
      </c>
      <c r="K426" s="160" t="s">
        <v>13</v>
      </c>
    </row>
    <row r="427" spans="1:11" x14ac:dyDescent="0.3">
      <c r="A427" s="160">
        <v>1</v>
      </c>
      <c r="B427" s="160">
        <v>153068</v>
      </c>
      <c r="C427" s="160" t="s">
        <v>2573</v>
      </c>
      <c r="D427" s="160" t="s">
        <v>2574</v>
      </c>
      <c r="F427" s="160" t="s">
        <v>3155</v>
      </c>
      <c r="G427" s="163">
        <v>2</v>
      </c>
      <c r="H427" s="160" t="s">
        <v>3154</v>
      </c>
      <c r="I427" s="164">
        <v>44834</v>
      </c>
      <c r="J427" s="165">
        <v>60000</v>
      </c>
      <c r="K427" s="160" t="s">
        <v>13</v>
      </c>
    </row>
    <row r="428" spans="1:11" x14ac:dyDescent="0.3">
      <c r="A428" s="160">
        <v>1</v>
      </c>
      <c r="B428" s="160">
        <v>5054850001</v>
      </c>
      <c r="C428" s="160" t="s">
        <v>2573</v>
      </c>
      <c r="D428" s="160" t="s">
        <v>2574</v>
      </c>
      <c r="F428" s="160" t="s">
        <v>3156</v>
      </c>
      <c r="G428" s="163">
        <v>3</v>
      </c>
      <c r="H428" s="160" t="s">
        <v>3154</v>
      </c>
      <c r="I428" s="164">
        <v>45217</v>
      </c>
      <c r="J428" s="165">
        <v>150000</v>
      </c>
      <c r="K428" s="160" t="s">
        <v>13</v>
      </c>
    </row>
    <row r="429" spans="1:11" x14ac:dyDescent="0.3">
      <c r="A429" s="160">
        <v>1</v>
      </c>
      <c r="B429" s="160">
        <v>54155</v>
      </c>
      <c r="C429" s="160" t="s">
        <v>3157</v>
      </c>
      <c r="D429" s="160" t="s">
        <v>3158</v>
      </c>
      <c r="F429" s="160" t="s">
        <v>3159</v>
      </c>
      <c r="G429" s="163">
        <v>1</v>
      </c>
      <c r="H429" s="160" t="s">
        <v>3160</v>
      </c>
      <c r="I429" s="164">
        <v>43878</v>
      </c>
      <c r="J429" s="165">
        <v>6000</v>
      </c>
      <c r="K429" s="160" t="s">
        <v>2410</v>
      </c>
    </row>
    <row r="430" spans="1:11" x14ac:dyDescent="0.3">
      <c r="A430" s="160">
        <v>1</v>
      </c>
      <c r="B430" s="160">
        <v>10905573</v>
      </c>
      <c r="C430" s="160" t="s">
        <v>3157</v>
      </c>
      <c r="D430" s="160" t="s">
        <v>3158</v>
      </c>
      <c r="F430" s="160" t="s">
        <v>3161</v>
      </c>
      <c r="G430" s="163">
        <v>1</v>
      </c>
      <c r="H430" s="160" t="s">
        <v>3162</v>
      </c>
      <c r="I430" s="164">
        <v>44895</v>
      </c>
      <c r="J430" s="165">
        <v>80000</v>
      </c>
      <c r="K430" s="160" t="s">
        <v>13</v>
      </c>
    </row>
    <row r="431" spans="1:11" x14ac:dyDescent="0.3">
      <c r="A431" s="160">
        <v>1</v>
      </c>
      <c r="B431" s="160">
        <v>142856</v>
      </c>
      <c r="C431" s="160" t="s">
        <v>3157</v>
      </c>
      <c r="D431" s="160" t="s">
        <v>3158</v>
      </c>
      <c r="F431" s="160" t="s">
        <v>3163</v>
      </c>
      <c r="G431" s="163">
        <v>1</v>
      </c>
      <c r="H431" s="160" t="s">
        <v>3164</v>
      </c>
      <c r="I431" s="164">
        <v>44722</v>
      </c>
      <c r="J431" s="165">
        <v>50000</v>
      </c>
      <c r="K431" s="160" t="s">
        <v>13</v>
      </c>
    </row>
    <row r="432" spans="1:11" x14ac:dyDescent="0.3">
      <c r="A432" s="160">
        <v>1</v>
      </c>
      <c r="B432" s="160">
        <v>4784460001</v>
      </c>
      <c r="C432" s="160" t="s">
        <v>3157</v>
      </c>
      <c r="D432" s="160" t="s">
        <v>3158</v>
      </c>
      <c r="F432" s="160" t="s">
        <v>3165</v>
      </c>
      <c r="G432" s="163">
        <v>2</v>
      </c>
      <c r="H432" s="160" t="s">
        <v>3164</v>
      </c>
      <c r="I432" s="164">
        <v>45520</v>
      </c>
      <c r="J432" s="165">
        <v>100000</v>
      </c>
      <c r="K432" s="160" t="s">
        <v>13</v>
      </c>
    </row>
    <row r="433" spans="1:11" x14ac:dyDescent="0.3">
      <c r="A433" s="160">
        <v>1</v>
      </c>
      <c r="B433" s="160">
        <v>4784460002</v>
      </c>
      <c r="C433" s="160" t="s">
        <v>3157</v>
      </c>
      <c r="D433" s="160" t="s">
        <v>3158</v>
      </c>
      <c r="F433" s="160" t="s">
        <v>3166</v>
      </c>
      <c r="G433" s="163">
        <v>3</v>
      </c>
      <c r="H433" s="160" t="s">
        <v>3164</v>
      </c>
      <c r="I433" s="164">
        <v>45838</v>
      </c>
      <c r="J433" s="165">
        <v>300000</v>
      </c>
      <c r="K433" s="160" t="s">
        <v>13</v>
      </c>
    </row>
    <row r="434" spans="1:11" x14ac:dyDescent="0.3">
      <c r="A434" s="160">
        <v>1</v>
      </c>
      <c r="B434" s="160">
        <v>1289000001</v>
      </c>
      <c r="C434" s="160" t="s">
        <v>3157</v>
      </c>
      <c r="D434" s="160" t="s">
        <v>3158</v>
      </c>
      <c r="F434" s="160" t="s">
        <v>3167</v>
      </c>
      <c r="G434" s="163">
        <v>1</v>
      </c>
      <c r="H434" s="160" t="s">
        <v>3168</v>
      </c>
      <c r="I434" s="164">
        <v>45091</v>
      </c>
      <c r="J434" s="165">
        <v>50000</v>
      </c>
      <c r="K434" s="160" t="s">
        <v>13</v>
      </c>
    </row>
    <row r="435" spans="1:11" x14ac:dyDescent="0.3">
      <c r="A435" s="160">
        <v>1</v>
      </c>
      <c r="B435" s="160">
        <v>1289000002</v>
      </c>
      <c r="C435" s="160" t="s">
        <v>3157</v>
      </c>
      <c r="D435" s="160" t="s">
        <v>3158</v>
      </c>
      <c r="F435" s="160" t="s">
        <v>3169</v>
      </c>
      <c r="G435" s="163">
        <v>2</v>
      </c>
      <c r="H435" s="160" t="s">
        <v>3168</v>
      </c>
      <c r="I435" s="164">
        <v>45498</v>
      </c>
      <c r="J435" s="165">
        <v>120000</v>
      </c>
      <c r="K435" s="160" t="s">
        <v>13</v>
      </c>
    </row>
    <row r="436" spans="1:11" x14ac:dyDescent="0.3">
      <c r="A436" s="160">
        <v>1</v>
      </c>
      <c r="B436" s="160">
        <v>1289000004</v>
      </c>
      <c r="C436" s="160" t="s">
        <v>3157</v>
      </c>
      <c r="D436" s="160" t="s">
        <v>3158</v>
      </c>
      <c r="F436" s="160" t="s">
        <v>3170</v>
      </c>
      <c r="G436" s="163">
        <v>3</v>
      </c>
      <c r="H436" s="160" t="s">
        <v>3168</v>
      </c>
      <c r="I436" s="164">
        <v>45734</v>
      </c>
      <c r="J436" s="165">
        <v>200000</v>
      </c>
      <c r="K436" s="160" t="s">
        <v>13</v>
      </c>
    </row>
    <row r="437" spans="1:11" x14ac:dyDescent="0.3">
      <c r="A437" s="160">
        <v>1</v>
      </c>
      <c r="C437" s="160" t="s">
        <v>3157</v>
      </c>
      <c r="D437" s="160" t="s">
        <v>3158</v>
      </c>
      <c r="F437" s="160" t="s">
        <v>3171</v>
      </c>
      <c r="G437" s="163">
        <v>1</v>
      </c>
      <c r="H437" s="160" t="s">
        <v>3172</v>
      </c>
      <c r="I437" s="164">
        <v>40562</v>
      </c>
      <c r="J437" s="166">
        <v>3000</v>
      </c>
      <c r="K437" s="168" t="s">
        <v>13</v>
      </c>
    </row>
    <row r="438" spans="1:11" ht="13" customHeight="1" x14ac:dyDescent="0.3">
      <c r="A438" s="160">
        <v>1</v>
      </c>
      <c r="B438" s="160">
        <v>56334</v>
      </c>
      <c r="C438" s="160" t="s">
        <v>3173</v>
      </c>
      <c r="D438" s="160" t="s">
        <v>3174</v>
      </c>
      <c r="E438" s="160" t="s">
        <v>3175</v>
      </c>
      <c r="F438" s="160" t="s">
        <v>3176</v>
      </c>
      <c r="G438" s="163">
        <v>1</v>
      </c>
      <c r="H438" s="160" t="s">
        <v>3177</v>
      </c>
      <c r="I438" s="164">
        <v>43852</v>
      </c>
      <c r="J438" s="169">
        <v>50000</v>
      </c>
      <c r="K438" s="160" t="s">
        <v>13</v>
      </c>
    </row>
    <row r="439" spans="1:11" ht="13" customHeight="1" x14ac:dyDescent="0.3">
      <c r="A439" s="160">
        <v>1</v>
      </c>
      <c r="B439" s="160">
        <v>47117</v>
      </c>
      <c r="C439" s="160" t="s">
        <v>3173</v>
      </c>
      <c r="D439" s="160" t="s">
        <v>3174</v>
      </c>
      <c r="E439" s="160" t="s">
        <v>3178</v>
      </c>
      <c r="F439" s="160" t="s">
        <v>3179</v>
      </c>
      <c r="G439" s="163">
        <v>1</v>
      </c>
      <c r="H439" s="160" t="s">
        <v>3180</v>
      </c>
      <c r="I439" s="164">
        <v>43747</v>
      </c>
      <c r="J439" s="169">
        <v>15000</v>
      </c>
      <c r="K439" s="160" t="s">
        <v>55</v>
      </c>
    </row>
    <row r="440" spans="1:11" ht="13" customHeight="1" x14ac:dyDescent="0.3">
      <c r="A440" s="160">
        <v>1</v>
      </c>
      <c r="B440" s="160">
        <v>121963</v>
      </c>
      <c r="C440" s="160" t="s">
        <v>3173</v>
      </c>
      <c r="D440" s="160" t="s">
        <v>3174</v>
      </c>
      <c r="E440" s="160" t="s">
        <v>3178</v>
      </c>
      <c r="F440" s="160" t="s">
        <v>3181</v>
      </c>
      <c r="G440" s="163">
        <v>2</v>
      </c>
      <c r="H440" s="160" t="s">
        <v>3180</v>
      </c>
      <c r="I440" s="164">
        <v>44532</v>
      </c>
      <c r="J440" s="169">
        <v>40000</v>
      </c>
      <c r="K440" s="160" t="s">
        <v>13</v>
      </c>
    </row>
    <row r="441" spans="1:11" x14ac:dyDescent="0.3">
      <c r="A441" s="160">
        <v>1</v>
      </c>
      <c r="B441" s="160">
        <v>43330</v>
      </c>
      <c r="C441" s="160" t="s">
        <v>3173</v>
      </c>
      <c r="D441" s="160" t="s">
        <v>3174</v>
      </c>
      <c r="E441" s="160" t="s">
        <v>3182</v>
      </c>
      <c r="F441" s="160" t="s">
        <v>3183</v>
      </c>
      <c r="G441" s="163">
        <v>1</v>
      </c>
      <c r="H441" s="160" t="s">
        <v>3184</v>
      </c>
      <c r="I441" s="164">
        <v>43713</v>
      </c>
      <c r="J441" s="169">
        <v>6000</v>
      </c>
      <c r="K441" s="160" t="s">
        <v>13</v>
      </c>
    </row>
    <row r="442" spans="1:11" x14ac:dyDescent="0.3">
      <c r="A442" s="171">
        <v>1</v>
      </c>
      <c r="B442" s="171">
        <v>113495</v>
      </c>
      <c r="C442" s="171" t="s">
        <v>3173</v>
      </c>
      <c r="D442" s="171" t="s">
        <v>3174</v>
      </c>
      <c r="E442" s="171" t="s">
        <v>3182</v>
      </c>
      <c r="F442" s="171" t="s">
        <v>3185</v>
      </c>
      <c r="G442" s="172">
        <v>2</v>
      </c>
      <c r="H442" s="171" t="s">
        <v>3184</v>
      </c>
      <c r="I442" s="173">
        <v>44468</v>
      </c>
      <c r="J442" s="177">
        <v>15000</v>
      </c>
      <c r="K442" s="171" t="s">
        <v>13</v>
      </c>
    </row>
    <row r="443" spans="1:11" x14ac:dyDescent="0.3">
      <c r="A443" s="171">
        <v>1</v>
      </c>
      <c r="B443" s="171">
        <v>152775</v>
      </c>
      <c r="C443" s="171" t="s">
        <v>3173</v>
      </c>
      <c r="D443" s="171" t="s">
        <v>3174</v>
      </c>
      <c r="E443" s="171" t="s">
        <v>3182</v>
      </c>
      <c r="F443" s="171" t="s">
        <v>3186</v>
      </c>
      <c r="G443" s="172">
        <v>3</v>
      </c>
      <c r="H443" s="171" t="s">
        <v>3184</v>
      </c>
      <c r="I443" s="173">
        <v>44802</v>
      </c>
      <c r="J443" s="177">
        <v>30000</v>
      </c>
      <c r="K443" s="171" t="s">
        <v>13</v>
      </c>
    </row>
    <row r="444" spans="1:11" x14ac:dyDescent="0.3">
      <c r="A444" s="171">
        <v>1</v>
      </c>
      <c r="B444" s="171">
        <v>5071440001</v>
      </c>
      <c r="C444" s="171" t="s">
        <v>3173</v>
      </c>
      <c r="D444" s="171" t="s">
        <v>3174</v>
      </c>
      <c r="E444" s="171" t="s">
        <v>3182</v>
      </c>
      <c r="F444" s="171" t="s">
        <v>3187</v>
      </c>
      <c r="G444" s="172">
        <v>4</v>
      </c>
      <c r="H444" s="171" t="s">
        <v>3184</v>
      </c>
      <c r="I444" s="173">
        <v>45372</v>
      </c>
      <c r="J444" s="177">
        <v>100000</v>
      </c>
      <c r="K444" s="171" t="s">
        <v>70</v>
      </c>
    </row>
    <row r="445" spans="1:11" x14ac:dyDescent="0.3">
      <c r="A445" s="171">
        <v>1</v>
      </c>
      <c r="B445" s="171">
        <v>5071440002</v>
      </c>
      <c r="C445" s="171" t="s">
        <v>3173</v>
      </c>
      <c r="D445" s="171" t="s">
        <v>3174</v>
      </c>
      <c r="E445" s="171" t="s">
        <v>3182</v>
      </c>
      <c r="F445" s="171" t="s">
        <v>3188</v>
      </c>
      <c r="G445" s="172">
        <v>5</v>
      </c>
      <c r="H445" s="171" t="s">
        <v>3184</v>
      </c>
      <c r="I445" s="173">
        <v>45889</v>
      </c>
      <c r="J445" s="177">
        <v>200000</v>
      </c>
      <c r="K445" s="171" t="s">
        <v>13</v>
      </c>
    </row>
    <row r="446" spans="1:11" x14ac:dyDescent="0.3">
      <c r="A446" s="160">
        <v>1</v>
      </c>
      <c r="B446" s="160">
        <v>217748</v>
      </c>
      <c r="C446" s="160" t="s">
        <v>3173</v>
      </c>
      <c r="D446" s="160" t="s">
        <v>3174</v>
      </c>
      <c r="F446" s="160" t="s">
        <v>3189</v>
      </c>
      <c r="G446" s="163">
        <v>1</v>
      </c>
      <c r="H446" s="160" t="s">
        <v>3190</v>
      </c>
      <c r="I446" s="164">
        <v>43885</v>
      </c>
      <c r="J446" s="169">
        <v>40000</v>
      </c>
      <c r="K446" s="160" t="s">
        <v>13</v>
      </c>
    </row>
    <row r="447" spans="1:11" x14ac:dyDescent="0.3">
      <c r="A447" s="160">
        <v>1</v>
      </c>
      <c r="B447" s="160">
        <v>145544</v>
      </c>
      <c r="C447" s="160" t="s">
        <v>3173</v>
      </c>
      <c r="D447" s="160" t="s">
        <v>3174</v>
      </c>
      <c r="F447" s="160" t="s">
        <v>3191</v>
      </c>
      <c r="G447" s="163">
        <v>2</v>
      </c>
      <c r="H447" s="160" t="s">
        <v>3190</v>
      </c>
      <c r="I447" s="164">
        <v>44742</v>
      </c>
      <c r="J447" s="169">
        <v>100000</v>
      </c>
      <c r="K447" s="160" t="s">
        <v>13</v>
      </c>
    </row>
    <row r="448" spans="1:11" x14ac:dyDescent="0.3">
      <c r="A448" s="160">
        <v>1</v>
      </c>
      <c r="B448" s="160">
        <v>5450300001</v>
      </c>
      <c r="C448" s="160" t="s">
        <v>3173</v>
      </c>
      <c r="D448" s="160" t="s">
        <v>3174</v>
      </c>
      <c r="F448" s="160" t="s">
        <v>3192</v>
      </c>
      <c r="G448" s="163">
        <v>3</v>
      </c>
      <c r="H448" s="160" t="s">
        <v>3190</v>
      </c>
      <c r="I448" s="164">
        <v>45358</v>
      </c>
      <c r="J448" s="169">
        <v>200000</v>
      </c>
      <c r="K448" s="160" t="s">
        <v>13</v>
      </c>
    </row>
    <row r="449" spans="1:11" x14ac:dyDescent="0.3">
      <c r="A449" s="160">
        <v>1</v>
      </c>
      <c r="B449" s="160">
        <v>5450300002</v>
      </c>
      <c r="C449" s="160" t="s">
        <v>3173</v>
      </c>
      <c r="D449" s="160" t="s">
        <v>3174</v>
      </c>
      <c r="F449" s="160" t="s">
        <v>3193</v>
      </c>
      <c r="G449" s="163">
        <v>4</v>
      </c>
      <c r="H449" s="160" t="s">
        <v>3190</v>
      </c>
      <c r="I449" s="164">
        <v>45635</v>
      </c>
      <c r="J449" s="169">
        <v>60000</v>
      </c>
      <c r="K449" s="160" t="s">
        <v>13</v>
      </c>
    </row>
    <row r="450" spans="1:11" x14ac:dyDescent="0.3">
      <c r="A450" s="160">
        <v>1</v>
      </c>
      <c r="B450" s="160">
        <v>6332530001</v>
      </c>
      <c r="C450" s="160" t="s">
        <v>3173</v>
      </c>
      <c r="D450" s="160" t="s">
        <v>3174</v>
      </c>
      <c r="F450" s="160" t="s">
        <v>3194</v>
      </c>
      <c r="G450" s="163">
        <v>1</v>
      </c>
      <c r="H450" s="160" t="s">
        <v>3195</v>
      </c>
      <c r="I450" s="164">
        <v>45404</v>
      </c>
      <c r="J450" s="169">
        <v>75000</v>
      </c>
      <c r="K450" s="160" t="s">
        <v>13</v>
      </c>
    </row>
    <row r="451" spans="1:11" x14ac:dyDescent="0.3">
      <c r="A451" s="160">
        <v>1</v>
      </c>
      <c r="B451" s="160">
        <v>37042</v>
      </c>
      <c r="C451" s="160" t="s">
        <v>3173</v>
      </c>
      <c r="D451" s="160" t="s">
        <v>3174</v>
      </c>
      <c r="E451" s="160" t="s">
        <v>3196</v>
      </c>
      <c r="F451" s="160" t="s">
        <v>3197</v>
      </c>
      <c r="G451" s="163">
        <v>1</v>
      </c>
      <c r="H451" s="160" t="s">
        <v>3198</v>
      </c>
      <c r="I451" s="164">
        <v>43723</v>
      </c>
      <c r="J451" s="169">
        <v>3000</v>
      </c>
      <c r="K451" s="160" t="s">
        <v>70</v>
      </c>
    </row>
    <row r="452" spans="1:11" x14ac:dyDescent="0.3">
      <c r="A452" s="160">
        <v>1</v>
      </c>
      <c r="B452" s="160">
        <v>135524</v>
      </c>
      <c r="C452" s="160" t="s">
        <v>3173</v>
      </c>
      <c r="D452" s="160" t="s">
        <v>3174</v>
      </c>
      <c r="E452" s="160" t="s">
        <v>3196</v>
      </c>
      <c r="F452" s="160" t="s">
        <v>3199</v>
      </c>
      <c r="G452" s="163">
        <v>2</v>
      </c>
      <c r="H452" s="160" t="s">
        <v>3198</v>
      </c>
      <c r="I452" s="164">
        <v>44664</v>
      </c>
      <c r="J452" s="169">
        <v>5000</v>
      </c>
      <c r="K452" s="160" t="s">
        <v>70</v>
      </c>
    </row>
    <row r="453" spans="1:11" x14ac:dyDescent="0.3">
      <c r="A453" s="160">
        <v>1</v>
      </c>
      <c r="B453" s="160">
        <v>6069760001</v>
      </c>
      <c r="C453" s="160" t="s">
        <v>3173</v>
      </c>
      <c r="D453" s="160" t="s">
        <v>3174</v>
      </c>
      <c r="E453" s="160" t="s">
        <v>3196</v>
      </c>
      <c r="F453" s="160" t="s">
        <v>3200</v>
      </c>
      <c r="G453" s="163">
        <v>3</v>
      </c>
      <c r="H453" s="160" t="s">
        <v>3198</v>
      </c>
      <c r="I453" s="164">
        <v>45173</v>
      </c>
      <c r="J453" s="169">
        <v>40000</v>
      </c>
      <c r="K453" s="160" t="s">
        <v>70</v>
      </c>
    </row>
    <row r="454" spans="1:11" x14ac:dyDescent="0.3">
      <c r="A454" s="160">
        <v>1</v>
      </c>
      <c r="B454" s="160">
        <v>145106</v>
      </c>
      <c r="C454" s="160" t="s">
        <v>3173</v>
      </c>
      <c r="D454" s="160" t="s">
        <v>3174</v>
      </c>
      <c r="F454" s="160" t="s">
        <v>3201</v>
      </c>
      <c r="G454" s="163">
        <v>1</v>
      </c>
      <c r="H454" s="160" t="s">
        <v>3202</v>
      </c>
      <c r="I454" s="164">
        <v>44740</v>
      </c>
      <c r="J454" s="169">
        <v>50000</v>
      </c>
      <c r="K454" s="160" t="s">
        <v>13</v>
      </c>
    </row>
    <row r="455" spans="1:11" ht="13" customHeight="1" x14ac:dyDescent="0.3">
      <c r="A455" s="160">
        <v>1</v>
      </c>
      <c r="B455" s="160">
        <v>53122</v>
      </c>
      <c r="C455" s="160" t="s">
        <v>3173</v>
      </c>
      <c r="D455" s="160" t="s">
        <v>3174</v>
      </c>
      <c r="E455" s="160" t="s">
        <v>3203</v>
      </c>
      <c r="F455" s="160" t="s">
        <v>3204</v>
      </c>
      <c r="G455" s="163">
        <v>1</v>
      </c>
      <c r="H455" s="160" t="s">
        <v>3205</v>
      </c>
      <c r="I455" s="164">
        <v>43804</v>
      </c>
      <c r="J455" s="169">
        <v>40000</v>
      </c>
      <c r="K455" s="160" t="s">
        <v>55</v>
      </c>
    </row>
    <row r="456" spans="1:11" ht="13" customHeight="1" x14ac:dyDescent="0.3">
      <c r="A456" s="160">
        <v>1</v>
      </c>
      <c r="B456" s="160">
        <v>122443</v>
      </c>
      <c r="C456" s="160" t="s">
        <v>3173</v>
      </c>
      <c r="D456" s="160" t="s">
        <v>3174</v>
      </c>
      <c r="E456" s="160" t="s">
        <v>3203</v>
      </c>
      <c r="F456" s="160" t="s">
        <v>3206</v>
      </c>
      <c r="G456" s="163">
        <v>2</v>
      </c>
      <c r="H456" s="160" t="s">
        <v>3205</v>
      </c>
      <c r="I456" s="164">
        <v>44538</v>
      </c>
      <c r="J456" s="169">
        <v>20000</v>
      </c>
      <c r="K456" s="160" t="s">
        <v>13</v>
      </c>
    </row>
    <row r="457" spans="1:11" ht="13" customHeight="1" x14ac:dyDescent="0.3">
      <c r="A457" s="160">
        <v>1</v>
      </c>
      <c r="B457" s="160">
        <v>5168560001</v>
      </c>
      <c r="C457" s="160" t="s">
        <v>3173</v>
      </c>
      <c r="D457" s="160" t="s">
        <v>3174</v>
      </c>
      <c r="E457" s="160" t="s">
        <v>3203</v>
      </c>
      <c r="F457" s="160" t="s">
        <v>3207</v>
      </c>
      <c r="G457" s="163">
        <v>3</v>
      </c>
      <c r="H457" s="160" t="s">
        <v>3205</v>
      </c>
      <c r="I457" s="164">
        <v>45835</v>
      </c>
      <c r="J457" s="169">
        <v>100000</v>
      </c>
      <c r="K457" s="160" t="s">
        <v>13</v>
      </c>
    </row>
    <row r="458" spans="1:11" ht="13" customHeight="1" x14ac:dyDescent="0.3">
      <c r="A458" s="160">
        <v>1</v>
      </c>
      <c r="B458" s="160">
        <v>445460</v>
      </c>
      <c r="C458" s="160" t="s">
        <v>3173</v>
      </c>
      <c r="D458" s="160" t="s">
        <v>3174</v>
      </c>
      <c r="F458" s="160" t="s">
        <v>3208</v>
      </c>
      <c r="G458" s="163">
        <v>1</v>
      </c>
      <c r="H458" s="160" t="s">
        <v>3209</v>
      </c>
      <c r="I458" s="164">
        <v>44006</v>
      </c>
      <c r="J458" s="169">
        <v>50000</v>
      </c>
      <c r="K458" s="160" t="s">
        <v>13</v>
      </c>
    </row>
    <row r="459" spans="1:11" ht="13" customHeight="1" x14ac:dyDescent="0.3">
      <c r="A459" s="160">
        <v>1</v>
      </c>
      <c r="C459" s="160" t="s">
        <v>3173</v>
      </c>
      <c r="D459" s="160" t="s">
        <v>3174</v>
      </c>
      <c r="F459" s="160" t="s">
        <v>3210</v>
      </c>
      <c r="G459" s="163">
        <v>1</v>
      </c>
      <c r="H459" s="160" t="s">
        <v>3211</v>
      </c>
      <c r="I459" s="164">
        <v>40156</v>
      </c>
      <c r="J459" s="166">
        <v>3000</v>
      </c>
      <c r="K459" s="168" t="s">
        <v>13</v>
      </c>
    </row>
    <row r="460" spans="1:11" ht="14.5" customHeight="1" x14ac:dyDescent="0.3">
      <c r="A460" s="160">
        <v>1</v>
      </c>
      <c r="B460" s="160" t="s">
        <v>3212</v>
      </c>
      <c r="C460" s="160" t="s">
        <v>3173</v>
      </c>
      <c r="D460" s="160" t="s">
        <v>3174</v>
      </c>
      <c r="E460" s="160" t="s">
        <v>3213</v>
      </c>
      <c r="F460" s="160" t="s">
        <v>3214</v>
      </c>
      <c r="G460" s="163">
        <v>1</v>
      </c>
      <c r="H460" s="160" t="s">
        <v>3215</v>
      </c>
      <c r="I460" s="164">
        <v>41843</v>
      </c>
      <c r="J460" s="166">
        <v>10000</v>
      </c>
      <c r="K460" s="168" t="s">
        <v>13</v>
      </c>
    </row>
    <row r="461" spans="1:11" ht="13" customHeight="1" x14ac:dyDescent="0.3">
      <c r="A461" s="160">
        <v>1</v>
      </c>
      <c r="B461" s="160" t="s">
        <v>3216</v>
      </c>
      <c r="C461" s="160" t="s">
        <v>3173</v>
      </c>
      <c r="D461" s="160" t="s">
        <v>3174</v>
      </c>
      <c r="E461" s="160" t="s">
        <v>3213</v>
      </c>
      <c r="F461" s="160" t="s">
        <v>3217</v>
      </c>
      <c r="G461" s="163">
        <v>2</v>
      </c>
      <c r="H461" s="160" t="s">
        <v>3218</v>
      </c>
      <c r="I461" s="164">
        <v>42670</v>
      </c>
      <c r="J461" s="166">
        <v>10000</v>
      </c>
      <c r="K461" s="170" t="s">
        <v>2410</v>
      </c>
    </row>
    <row r="462" spans="1:11" s="171" customFormat="1" ht="13" customHeight="1" x14ac:dyDescent="0.3">
      <c r="A462" s="160">
        <v>1</v>
      </c>
      <c r="B462" s="160" t="s">
        <v>3219</v>
      </c>
      <c r="C462" s="160" t="s">
        <v>3173</v>
      </c>
      <c r="D462" s="160" t="s">
        <v>3174</v>
      </c>
      <c r="E462" s="160" t="s">
        <v>3213</v>
      </c>
      <c r="F462" s="160" t="s">
        <v>3220</v>
      </c>
      <c r="G462" s="163">
        <v>3</v>
      </c>
      <c r="H462" s="160" t="s">
        <v>3218</v>
      </c>
      <c r="I462" s="164">
        <v>43213</v>
      </c>
      <c r="J462" s="169">
        <v>15000</v>
      </c>
      <c r="K462" s="160" t="s">
        <v>13</v>
      </c>
    </row>
    <row r="463" spans="1:11" ht="14.5" customHeight="1" x14ac:dyDescent="0.3">
      <c r="A463" s="160">
        <v>1</v>
      </c>
      <c r="B463" s="160" t="s">
        <v>3221</v>
      </c>
      <c r="C463" s="160" t="s">
        <v>3173</v>
      </c>
      <c r="D463" s="160" t="s">
        <v>3174</v>
      </c>
      <c r="E463" s="160" t="s">
        <v>3222</v>
      </c>
      <c r="F463" s="160" t="s">
        <v>3223</v>
      </c>
      <c r="G463" s="163">
        <v>1</v>
      </c>
      <c r="H463" s="160" t="s">
        <v>3224</v>
      </c>
      <c r="I463" s="164">
        <v>43237</v>
      </c>
      <c r="J463" s="169">
        <v>40000</v>
      </c>
      <c r="K463" s="160" t="s">
        <v>13</v>
      </c>
    </row>
    <row r="464" spans="1:11" ht="13" customHeight="1" x14ac:dyDescent="0.3">
      <c r="A464" s="160">
        <v>1</v>
      </c>
      <c r="B464" s="160">
        <v>44847</v>
      </c>
      <c r="C464" s="160" t="s">
        <v>3173</v>
      </c>
      <c r="D464" s="160" t="s">
        <v>3174</v>
      </c>
      <c r="E464" s="160" t="s">
        <v>3222</v>
      </c>
      <c r="F464" s="160" t="s">
        <v>3225</v>
      </c>
      <c r="G464" s="163">
        <v>2</v>
      </c>
      <c r="H464" s="160" t="s">
        <v>3224</v>
      </c>
      <c r="I464" s="164">
        <v>43732</v>
      </c>
      <c r="J464" s="169">
        <v>20000</v>
      </c>
      <c r="K464" s="160" t="s">
        <v>70</v>
      </c>
    </row>
    <row r="465" spans="1:11" ht="13" customHeight="1" x14ac:dyDescent="0.3">
      <c r="A465" s="160">
        <v>1</v>
      </c>
      <c r="B465" s="160">
        <v>112415</v>
      </c>
      <c r="C465" s="160" t="s">
        <v>3173</v>
      </c>
      <c r="D465" s="160" t="s">
        <v>3174</v>
      </c>
      <c r="E465" s="160" t="s">
        <v>3222</v>
      </c>
      <c r="F465" s="160" t="s">
        <v>3226</v>
      </c>
      <c r="G465" s="163">
        <v>3</v>
      </c>
      <c r="H465" s="160" t="s">
        <v>3224</v>
      </c>
      <c r="I465" s="164">
        <v>44459</v>
      </c>
      <c r="J465" s="169">
        <v>50000</v>
      </c>
      <c r="K465" s="160" t="s">
        <v>13</v>
      </c>
    </row>
    <row r="466" spans="1:11" ht="13" customHeight="1" x14ac:dyDescent="0.3">
      <c r="A466" s="160">
        <v>1</v>
      </c>
      <c r="B466" s="160">
        <v>5055540001</v>
      </c>
      <c r="C466" s="160" t="s">
        <v>3173</v>
      </c>
      <c r="D466" s="160" t="s">
        <v>3174</v>
      </c>
      <c r="E466" s="160" t="s">
        <v>3222</v>
      </c>
      <c r="F466" s="160" t="s">
        <v>3227</v>
      </c>
      <c r="G466" s="163">
        <v>4</v>
      </c>
      <c r="H466" s="160" t="s">
        <v>3224</v>
      </c>
      <c r="I466" s="164">
        <v>45838</v>
      </c>
      <c r="J466" s="169">
        <v>150000</v>
      </c>
      <c r="K466" s="160" t="s">
        <v>13</v>
      </c>
    </row>
    <row r="467" spans="1:11" ht="13" customHeight="1" x14ac:dyDescent="0.3">
      <c r="A467" s="160">
        <v>1</v>
      </c>
      <c r="C467" s="160" t="s">
        <v>3173</v>
      </c>
      <c r="D467" s="160" t="s">
        <v>3174</v>
      </c>
      <c r="F467" s="160" t="s">
        <v>3228</v>
      </c>
      <c r="G467" s="163">
        <v>1</v>
      </c>
      <c r="H467" s="160" t="s">
        <v>3229</v>
      </c>
      <c r="I467" s="164">
        <v>40170</v>
      </c>
      <c r="J467" s="166">
        <v>8000</v>
      </c>
      <c r="K467" s="167" t="s">
        <v>70</v>
      </c>
    </row>
    <row r="468" spans="1:11" ht="13" customHeight="1" x14ac:dyDescent="0.3">
      <c r="A468" s="160">
        <v>1</v>
      </c>
      <c r="B468" s="160" t="s">
        <v>3230</v>
      </c>
      <c r="C468" s="160" t="s">
        <v>3173</v>
      </c>
      <c r="D468" s="160" t="s">
        <v>3174</v>
      </c>
      <c r="E468" s="160" t="s">
        <v>3231</v>
      </c>
      <c r="F468" s="160" t="s">
        <v>3232</v>
      </c>
      <c r="G468" s="163">
        <v>1</v>
      </c>
      <c r="H468" s="160" t="s">
        <v>3233</v>
      </c>
      <c r="I468" s="164">
        <v>41857</v>
      </c>
      <c r="J468" s="166">
        <v>10000</v>
      </c>
      <c r="K468" s="168" t="s">
        <v>13</v>
      </c>
    </row>
    <row r="469" spans="1:11" ht="13" customHeight="1" x14ac:dyDescent="0.3">
      <c r="A469" s="160">
        <v>1</v>
      </c>
      <c r="B469" s="160" t="s">
        <v>3234</v>
      </c>
      <c r="C469" s="160" t="s">
        <v>3173</v>
      </c>
      <c r="D469" s="160" t="s">
        <v>3174</v>
      </c>
      <c r="E469" s="160" t="s">
        <v>3231</v>
      </c>
      <c r="F469" s="160" t="s">
        <v>3235</v>
      </c>
      <c r="G469" s="163">
        <v>2</v>
      </c>
      <c r="H469" s="160" t="s">
        <v>3236</v>
      </c>
      <c r="I469" s="164">
        <v>43213</v>
      </c>
      <c r="J469" s="169">
        <v>15000</v>
      </c>
      <c r="K469" s="160" t="s">
        <v>13</v>
      </c>
    </row>
    <row r="470" spans="1:11" ht="13" customHeight="1" x14ac:dyDescent="0.3">
      <c r="A470" s="160">
        <v>1</v>
      </c>
      <c r="B470" s="160">
        <v>113582</v>
      </c>
      <c r="C470" s="160" t="s">
        <v>3173</v>
      </c>
      <c r="D470" s="160" t="s">
        <v>3174</v>
      </c>
      <c r="F470" s="160" t="s">
        <v>3237</v>
      </c>
      <c r="G470" s="163">
        <v>1</v>
      </c>
      <c r="H470" s="160" t="s">
        <v>3238</v>
      </c>
      <c r="I470" s="164">
        <v>44468</v>
      </c>
      <c r="J470" s="169">
        <v>100000</v>
      </c>
      <c r="K470" s="160" t="s">
        <v>13</v>
      </c>
    </row>
    <row r="471" spans="1:11" ht="13" customHeight="1" x14ac:dyDescent="0.3">
      <c r="A471" s="160">
        <v>1</v>
      </c>
      <c r="B471" s="160">
        <v>40715</v>
      </c>
      <c r="C471" s="160" t="s">
        <v>3173</v>
      </c>
      <c r="D471" s="160" t="s">
        <v>3174</v>
      </c>
      <c r="E471" s="160" t="s">
        <v>3239</v>
      </c>
      <c r="F471" s="160" t="s">
        <v>3240</v>
      </c>
      <c r="G471" s="163">
        <v>1</v>
      </c>
      <c r="H471" s="160" t="s">
        <v>3241</v>
      </c>
      <c r="I471" s="164">
        <v>43727</v>
      </c>
      <c r="J471" s="169">
        <v>70000</v>
      </c>
      <c r="K471" s="160" t="s">
        <v>70</v>
      </c>
    </row>
    <row r="472" spans="1:11" ht="13" customHeight="1" x14ac:dyDescent="0.3">
      <c r="A472" s="160">
        <v>1</v>
      </c>
      <c r="B472" s="160">
        <v>6469720001</v>
      </c>
      <c r="C472" s="160" t="s">
        <v>3173</v>
      </c>
      <c r="D472" s="160" t="s">
        <v>3174</v>
      </c>
      <c r="E472" s="160" t="s">
        <v>3239</v>
      </c>
      <c r="F472" s="160" t="s">
        <v>3242</v>
      </c>
      <c r="G472" s="163">
        <v>2</v>
      </c>
      <c r="H472" s="160" t="s">
        <v>3241</v>
      </c>
      <c r="I472" s="164">
        <v>45516</v>
      </c>
      <c r="J472" s="169">
        <v>120000</v>
      </c>
      <c r="K472" s="160" t="s">
        <v>13</v>
      </c>
    </row>
    <row r="473" spans="1:11" ht="13" customHeight="1" x14ac:dyDescent="0.3">
      <c r="A473" s="160">
        <v>1</v>
      </c>
      <c r="B473" s="160">
        <v>6469720002</v>
      </c>
      <c r="C473" s="160" t="s">
        <v>3173</v>
      </c>
      <c r="D473" s="160" t="s">
        <v>3174</v>
      </c>
      <c r="E473" s="160" t="s">
        <v>3239</v>
      </c>
      <c r="F473" s="160" t="s">
        <v>3243</v>
      </c>
      <c r="G473" s="163">
        <v>3</v>
      </c>
      <c r="H473" s="160" t="s">
        <v>3241</v>
      </c>
      <c r="I473" s="164">
        <v>45867</v>
      </c>
      <c r="J473" s="169">
        <v>200000</v>
      </c>
      <c r="K473" s="160" t="s">
        <v>13</v>
      </c>
    </row>
    <row r="474" spans="1:11" ht="13" customHeight="1" x14ac:dyDescent="0.3">
      <c r="A474" s="160">
        <v>1</v>
      </c>
      <c r="B474" s="160">
        <v>37151</v>
      </c>
      <c r="C474" s="160" t="s">
        <v>3173</v>
      </c>
      <c r="D474" s="160" t="s">
        <v>3174</v>
      </c>
      <c r="E474" s="160" t="s">
        <v>3244</v>
      </c>
      <c r="F474" s="160" t="s">
        <v>3245</v>
      </c>
      <c r="G474" s="163">
        <v>1</v>
      </c>
      <c r="H474" s="160" t="s">
        <v>3246</v>
      </c>
      <c r="I474" s="164">
        <v>43727</v>
      </c>
      <c r="J474" s="169">
        <v>10000</v>
      </c>
      <c r="K474" s="160" t="s">
        <v>70</v>
      </c>
    </row>
    <row r="475" spans="1:11" ht="13" customHeight="1" x14ac:dyDescent="0.3">
      <c r="A475" s="160">
        <v>1</v>
      </c>
      <c r="B475" s="160">
        <v>117145</v>
      </c>
      <c r="C475" s="160" t="s">
        <v>3173</v>
      </c>
      <c r="D475" s="160" t="s">
        <v>3174</v>
      </c>
      <c r="E475" s="160" t="s">
        <v>3244</v>
      </c>
      <c r="F475" s="160" t="s">
        <v>3247</v>
      </c>
      <c r="G475" s="163">
        <v>2</v>
      </c>
      <c r="H475" s="160" t="s">
        <v>3246</v>
      </c>
      <c r="I475" s="164">
        <v>44498</v>
      </c>
      <c r="J475" s="169">
        <v>30000</v>
      </c>
      <c r="K475" s="160" t="s">
        <v>13</v>
      </c>
    </row>
    <row r="476" spans="1:11" ht="13" customHeight="1" x14ac:dyDescent="0.3">
      <c r="A476" s="160">
        <v>1</v>
      </c>
      <c r="B476" s="160">
        <v>5109140001</v>
      </c>
      <c r="C476" s="160" t="s">
        <v>3173</v>
      </c>
      <c r="D476" s="160" t="s">
        <v>3174</v>
      </c>
      <c r="E476" s="160" t="s">
        <v>3244</v>
      </c>
      <c r="F476" s="160" t="s">
        <v>3248</v>
      </c>
      <c r="G476" s="163">
        <v>3</v>
      </c>
      <c r="H476" s="160" t="s">
        <v>3246</v>
      </c>
      <c r="I476" s="164">
        <v>45873</v>
      </c>
      <c r="J476" s="169">
        <v>40000</v>
      </c>
      <c r="K476" s="160" t="s">
        <v>13</v>
      </c>
    </row>
    <row r="477" spans="1:11" ht="13" customHeight="1" x14ac:dyDescent="0.3">
      <c r="A477" s="160">
        <v>1</v>
      </c>
      <c r="B477" s="160">
        <v>53905</v>
      </c>
      <c r="C477" s="160" t="s">
        <v>3173</v>
      </c>
      <c r="D477" s="160" t="s">
        <v>3174</v>
      </c>
      <c r="E477" s="160" t="s">
        <v>3249</v>
      </c>
      <c r="F477" s="160" t="s">
        <v>3250</v>
      </c>
      <c r="G477" s="163">
        <v>1</v>
      </c>
      <c r="H477" s="160" t="s">
        <v>3251</v>
      </c>
      <c r="I477" s="164">
        <v>43812</v>
      </c>
      <c r="J477" s="169">
        <v>40000</v>
      </c>
      <c r="K477" s="160" t="s">
        <v>13</v>
      </c>
    </row>
    <row r="478" spans="1:11" ht="13" customHeight="1" x14ac:dyDescent="0.3">
      <c r="A478" s="160">
        <v>1</v>
      </c>
      <c r="C478" s="160" t="s">
        <v>3173</v>
      </c>
      <c r="D478" s="160" t="s">
        <v>3174</v>
      </c>
      <c r="F478" s="160" t="s">
        <v>3252</v>
      </c>
      <c r="G478" s="163">
        <v>1</v>
      </c>
      <c r="H478" s="160" t="s">
        <v>3253</v>
      </c>
      <c r="I478" s="164">
        <v>40472</v>
      </c>
      <c r="J478" s="166">
        <v>800</v>
      </c>
      <c r="K478" s="168" t="s">
        <v>13</v>
      </c>
    </row>
    <row r="479" spans="1:11" ht="13" customHeight="1" x14ac:dyDescent="0.3">
      <c r="A479" s="160">
        <v>1</v>
      </c>
      <c r="B479" s="160" t="s">
        <v>3254</v>
      </c>
      <c r="C479" s="160" t="s">
        <v>3173</v>
      </c>
      <c r="D479" s="160" t="s">
        <v>3174</v>
      </c>
      <c r="E479" s="160" t="s">
        <v>3255</v>
      </c>
      <c r="F479" s="160" t="s">
        <v>3256</v>
      </c>
      <c r="G479" s="163">
        <v>1</v>
      </c>
      <c r="H479" s="160" t="s">
        <v>3257</v>
      </c>
      <c r="I479" s="164">
        <v>43069</v>
      </c>
      <c r="J479" s="169">
        <v>7000</v>
      </c>
      <c r="K479" s="160" t="s">
        <v>70</v>
      </c>
    </row>
    <row r="480" spans="1:11" ht="13" customHeight="1" x14ac:dyDescent="0.3">
      <c r="A480" s="160">
        <v>1</v>
      </c>
      <c r="B480" s="160" t="s">
        <v>3258</v>
      </c>
      <c r="C480" s="160" t="s">
        <v>3173</v>
      </c>
      <c r="D480" s="160" t="s">
        <v>3174</v>
      </c>
      <c r="E480" s="160" t="s">
        <v>3255</v>
      </c>
      <c r="F480" s="160" t="s">
        <v>3259</v>
      </c>
      <c r="G480" s="163">
        <v>2</v>
      </c>
      <c r="H480" s="160" t="s">
        <v>3257</v>
      </c>
      <c r="I480" s="164">
        <v>43208</v>
      </c>
      <c r="J480" s="169">
        <v>17000</v>
      </c>
      <c r="K480" s="160" t="s">
        <v>70</v>
      </c>
    </row>
    <row r="481" spans="1:11" ht="13" customHeight="1" x14ac:dyDescent="0.3">
      <c r="A481" s="160">
        <v>1</v>
      </c>
      <c r="B481" s="160">
        <v>41020</v>
      </c>
      <c r="C481" s="160" t="s">
        <v>3173</v>
      </c>
      <c r="D481" s="160" t="s">
        <v>3174</v>
      </c>
      <c r="E481" s="160" t="s">
        <v>3255</v>
      </c>
      <c r="F481" s="160" t="s">
        <v>3260</v>
      </c>
      <c r="G481" s="163">
        <v>3</v>
      </c>
      <c r="H481" s="160" t="s">
        <v>3257</v>
      </c>
      <c r="I481" s="164">
        <v>43884</v>
      </c>
      <c r="J481" s="169">
        <v>50000</v>
      </c>
      <c r="K481" s="160" t="s">
        <v>13</v>
      </c>
    </row>
    <row r="482" spans="1:11" ht="13" customHeight="1" x14ac:dyDescent="0.3">
      <c r="A482" s="160">
        <v>1</v>
      </c>
      <c r="B482" s="160">
        <v>132861</v>
      </c>
      <c r="C482" s="160" t="s">
        <v>3173</v>
      </c>
      <c r="D482" s="160" t="s">
        <v>3174</v>
      </c>
      <c r="E482" s="160" t="s">
        <v>3255</v>
      </c>
      <c r="F482" s="160" t="s">
        <v>3261</v>
      </c>
      <c r="G482" s="163">
        <v>4</v>
      </c>
      <c r="H482" s="160" t="s">
        <v>3257</v>
      </c>
      <c r="I482" s="164">
        <v>44642</v>
      </c>
      <c r="J482" s="169">
        <v>50000</v>
      </c>
      <c r="K482" s="160" t="s">
        <v>70</v>
      </c>
    </row>
    <row r="483" spans="1:11" x14ac:dyDescent="0.3">
      <c r="A483" s="160">
        <v>1</v>
      </c>
      <c r="B483" s="160">
        <v>3310570001</v>
      </c>
      <c r="C483" s="160" t="s">
        <v>3173</v>
      </c>
      <c r="D483" s="160" t="s">
        <v>3174</v>
      </c>
      <c r="E483" s="160" t="s">
        <v>3255</v>
      </c>
      <c r="F483" s="160" t="s">
        <v>3262</v>
      </c>
      <c r="G483" s="163">
        <v>5</v>
      </c>
      <c r="H483" s="160" t="s">
        <v>3257</v>
      </c>
      <c r="I483" s="164">
        <v>45525</v>
      </c>
      <c r="J483" s="169">
        <v>100000</v>
      </c>
      <c r="K483" s="160" t="s">
        <v>13</v>
      </c>
    </row>
    <row r="484" spans="1:11" x14ac:dyDescent="0.3">
      <c r="A484" s="160">
        <v>1</v>
      </c>
      <c r="B484" s="160" t="s">
        <v>3263</v>
      </c>
      <c r="C484" s="160" t="s">
        <v>3264</v>
      </c>
      <c r="D484" s="160" t="s">
        <v>3265</v>
      </c>
      <c r="E484" s="160" t="s">
        <v>3266</v>
      </c>
      <c r="F484" s="160" t="s">
        <v>3267</v>
      </c>
      <c r="G484" s="163">
        <v>1</v>
      </c>
      <c r="H484" s="160" t="s">
        <v>3268</v>
      </c>
      <c r="I484" s="164">
        <v>41901</v>
      </c>
      <c r="J484" s="166">
        <v>30000</v>
      </c>
      <c r="K484" s="168" t="s">
        <v>13</v>
      </c>
    </row>
    <row r="485" spans="1:11" ht="13" customHeight="1" x14ac:dyDescent="0.3">
      <c r="A485" s="160">
        <v>1</v>
      </c>
      <c r="B485" s="160" t="s">
        <v>3269</v>
      </c>
      <c r="C485" s="160" t="s">
        <v>3264</v>
      </c>
      <c r="D485" s="160" t="s">
        <v>3265</v>
      </c>
      <c r="E485" s="160" t="s">
        <v>3266</v>
      </c>
      <c r="F485" s="160" t="s">
        <v>3270</v>
      </c>
      <c r="G485" s="163">
        <v>2</v>
      </c>
      <c r="H485" s="160" t="s">
        <v>3268</v>
      </c>
      <c r="I485" s="164">
        <v>42444</v>
      </c>
      <c r="J485" s="166">
        <v>80000</v>
      </c>
      <c r="K485" s="168" t="s">
        <v>13</v>
      </c>
    </row>
    <row r="486" spans="1:11" ht="13" customHeight="1" x14ac:dyDescent="0.3">
      <c r="A486" s="160">
        <v>1</v>
      </c>
      <c r="B486" s="160" t="s">
        <v>3271</v>
      </c>
      <c r="C486" s="160" t="s">
        <v>3264</v>
      </c>
      <c r="D486" s="160" t="s">
        <v>3265</v>
      </c>
      <c r="E486" s="160" t="s">
        <v>3266</v>
      </c>
      <c r="F486" s="160" t="s">
        <v>3272</v>
      </c>
      <c r="G486" s="163">
        <v>3</v>
      </c>
      <c r="H486" s="160" t="s">
        <v>3273</v>
      </c>
      <c r="I486" s="164">
        <v>43187</v>
      </c>
      <c r="J486" s="169">
        <v>50000</v>
      </c>
      <c r="K486" s="160" t="s">
        <v>13</v>
      </c>
    </row>
    <row r="487" spans="1:11" ht="13" customHeight="1" x14ac:dyDescent="0.3">
      <c r="A487" s="160">
        <v>1</v>
      </c>
      <c r="B487" s="160" t="s">
        <v>3274</v>
      </c>
      <c r="C487" s="160" t="s">
        <v>3264</v>
      </c>
      <c r="D487" s="160" t="s">
        <v>3265</v>
      </c>
      <c r="E487" s="160" t="s">
        <v>3266</v>
      </c>
      <c r="F487" s="160" t="s">
        <v>3275</v>
      </c>
      <c r="G487" s="163">
        <v>4</v>
      </c>
      <c r="H487" s="160" t="s">
        <v>3273</v>
      </c>
      <c r="I487" s="164">
        <v>43235</v>
      </c>
      <c r="J487" s="169">
        <v>50000</v>
      </c>
      <c r="K487" s="160" t="s">
        <v>13</v>
      </c>
    </row>
    <row r="488" spans="1:11" ht="14.5" customHeight="1" x14ac:dyDescent="0.3">
      <c r="A488" s="160">
        <v>1</v>
      </c>
      <c r="B488" s="160">
        <v>96637</v>
      </c>
      <c r="C488" s="160" t="s">
        <v>3264</v>
      </c>
      <c r="D488" s="160" t="s">
        <v>3265</v>
      </c>
      <c r="E488" s="160" t="s">
        <v>3266</v>
      </c>
      <c r="F488" s="160" t="s">
        <v>3276</v>
      </c>
      <c r="G488" s="163">
        <v>5</v>
      </c>
      <c r="H488" s="160" t="s">
        <v>3273</v>
      </c>
      <c r="I488" s="164">
        <v>44312</v>
      </c>
      <c r="J488" s="169">
        <v>65000</v>
      </c>
      <c r="K488" s="160" t="s">
        <v>13</v>
      </c>
    </row>
    <row r="489" spans="1:11" ht="14.5" customHeight="1" x14ac:dyDescent="0.3">
      <c r="A489" s="160">
        <v>1</v>
      </c>
      <c r="B489" s="160" t="s">
        <v>3277</v>
      </c>
      <c r="C489" s="160" t="s">
        <v>3264</v>
      </c>
      <c r="D489" s="160" t="s">
        <v>3265</v>
      </c>
      <c r="E489" s="160" t="s">
        <v>3278</v>
      </c>
      <c r="F489" s="160" t="s">
        <v>3279</v>
      </c>
      <c r="G489" s="163">
        <v>1</v>
      </c>
      <c r="H489" s="160" t="s">
        <v>3280</v>
      </c>
      <c r="I489" s="164">
        <v>42153</v>
      </c>
      <c r="J489" s="166">
        <v>40000</v>
      </c>
      <c r="K489" s="168" t="s">
        <v>13</v>
      </c>
    </row>
    <row r="490" spans="1:11" ht="13" customHeight="1" x14ac:dyDescent="0.3">
      <c r="A490" s="160">
        <v>1</v>
      </c>
      <c r="B490" s="160">
        <v>118394</v>
      </c>
      <c r="C490" s="160" t="s">
        <v>3264</v>
      </c>
      <c r="D490" s="160" t="s">
        <v>3265</v>
      </c>
      <c r="E490" s="160" t="s">
        <v>3278</v>
      </c>
      <c r="F490" s="160" t="s">
        <v>3281</v>
      </c>
      <c r="G490" s="163">
        <v>10</v>
      </c>
      <c r="H490" s="160" t="s">
        <v>3280</v>
      </c>
      <c r="I490" s="164">
        <v>44509</v>
      </c>
      <c r="J490" s="169">
        <v>100000</v>
      </c>
      <c r="K490" s="160" t="s">
        <v>13</v>
      </c>
    </row>
    <row r="491" spans="1:11" x14ac:dyDescent="0.3">
      <c r="A491" s="160">
        <v>1</v>
      </c>
      <c r="B491" s="160" t="s">
        <v>3282</v>
      </c>
      <c r="C491" s="160" t="s">
        <v>3264</v>
      </c>
      <c r="D491" s="160" t="s">
        <v>3265</v>
      </c>
      <c r="E491" s="160" t="s">
        <v>3278</v>
      </c>
      <c r="F491" s="160" t="s">
        <v>3283</v>
      </c>
      <c r="G491" s="163">
        <v>2</v>
      </c>
      <c r="H491" s="160" t="s">
        <v>3280</v>
      </c>
      <c r="I491" s="164">
        <v>42334</v>
      </c>
      <c r="J491" s="166">
        <v>30000</v>
      </c>
      <c r="K491" s="168" t="s">
        <v>13</v>
      </c>
    </row>
    <row r="492" spans="1:11" x14ac:dyDescent="0.3">
      <c r="A492" s="160">
        <v>1</v>
      </c>
      <c r="B492" s="160" t="s">
        <v>3284</v>
      </c>
      <c r="C492" s="160" t="s">
        <v>3264</v>
      </c>
      <c r="D492" s="160" t="s">
        <v>3265</v>
      </c>
      <c r="E492" s="160" t="s">
        <v>3278</v>
      </c>
      <c r="F492" s="160" t="s">
        <v>3285</v>
      </c>
      <c r="G492" s="163">
        <v>3</v>
      </c>
      <c r="H492" s="160" t="s">
        <v>3280</v>
      </c>
      <c r="I492" s="164">
        <v>42898</v>
      </c>
      <c r="J492" s="169">
        <v>40000</v>
      </c>
      <c r="K492" s="160" t="s">
        <v>13</v>
      </c>
    </row>
    <row r="493" spans="1:11" x14ac:dyDescent="0.3">
      <c r="A493" s="160">
        <v>1</v>
      </c>
      <c r="B493" s="160" t="s">
        <v>3286</v>
      </c>
      <c r="C493" s="160" t="s">
        <v>3264</v>
      </c>
      <c r="D493" s="160" t="s">
        <v>3265</v>
      </c>
      <c r="E493" s="160" t="s">
        <v>3278</v>
      </c>
      <c r="F493" s="160" t="s">
        <v>3287</v>
      </c>
      <c r="G493" s="163">
        <v>4</v>
      </c>
      <c r="H493" s="160" t="s">
        <v>3280</v>
      </c>
      <c r="I493" s="164">
        <v>42957</v>
      </c>
      <c r="J493" s="169">
        <v>20000</v>
      </c>
      <c r="K493" s="160" t="s">
        <v>13</v>
      </c>
    </row>
    <row r="494" spans="1:11" x14ac:dyDescent="0.3">
      <c r="A494" s="160">
        <v>1</v>
      </c>
      <c r="B494" s="160" t="s">
        <v>3288</v>
      </c>
      <c r="C494" s="160" t="s">
        <v>3264</v>
      </c>
      <c r="D494" s="160" t="s">
        <v>3265</v>
      </c>
      <c r="E494" s="160" t="s">
        <v>3278</v>
      </c>
      <c r="F494" s="160" t="s">
        <v>3289</v>
      </c>
      <c r="G494" s="163">
        <v>5</v>
      </c>
      <c r="H494" s="160" t="s">
        <v>3280</v>
      </c>
      <c r="I494" s="164">
        <v>43049</v>
      </c>
      <c r="J494" s="169">
        <v>40000</v>
      </c>
      <c r="K494" s="160" t="s">
        <v>13</v>
      </c>
    </row>
    <row r="495" spans="1:11" x14ac:dyDescent="0.3">
      <c r="A495" s="160">
        <v>1</v>
      </c>
      <c r="B495" s="160">
        <v>31478</v>
      </c>
      <c r="C495" s="160" t="s">
        <v>3264</v>
      </c>
      <c r="D495" s="160" t="s">
        <v>3265</v>
      </c>
      <c r="E495" s="160" t="s">
        <v>3278</v>
      </c>
      <c r="F495" s="160" t="s">
        <v>3290</v>
      </c>
      <c r="G495" s="163">
        <v>6</v>
      </c>
      <c r="H495" s="160" t="s">
        <v>3280</v>
      </c>
      <c r="I495" s="164">
        <v>43514</v>
      </c>
      <c r="J495" s="169">
        <v>60000</v>
      </c>
      <c r="K495" s="160" t="s">
        <v>13</v>
      </c>
    </row>
    <row r="496" spans="1:11" ht="13" customHeight="1" x14ac:dyDescent="0.3">
      <c r="A496" s="160">
        <v>1</v>
      </c>
      <c r="B496" s="160">
        <v>42086</v>
      </c>
      <c r="C496" s="160" t="s">
        <v>3264</v>
      </c>
      <c r="D496" s="160" t="s">
        <v>3265</v>
      </c>
      <c r="E496" s="160" t="s">
        <v>3278</v>
      </c>
      <c r="F496" s="160" t="s">
        <v>3291</v>
      </c>
      <c r="G496" s="163">
        <v>7</v>
      </c>
      <c r="H496" s="160" t="s">
        <v>3280</v>
      </c>
      <c r="I496" s="164">
        <v>43684</v>
      </c>
      <c r="J496" s="169">
        <v>50000</v>
      </c>
      <c r="K496" s="160" t="s">
        <v>13</v>
      </c>
    </row>
    <row r="497" spans="1:11" ht="13" customHeight="1" x14ac:dyDescent="0.3">
      <c r="A497" s="160">
        <v>1</v>
      </c>
      <c r="B497" s="160">
        <v>65332</v>
      </c>
      <c r="C497" s="160" t="s">
        <v>3264</v>
      </c>
      <c r="D497" s="160" t="s">
        <v>3265</v>
      </c>
      <c r="E497" s="160" t="s">
        <v>3278</v>
      </c>
      <c r="F497" s="160" t="s">
        <v>3292</v>
      </c>
      <c r="G497" s="163">
        <v>8</v>
      </c>
      <c r="H497" s="160" t="s">
        <v>3280</v>
      </c>
      <c r="I497" s="164">
        <v>43978</v>
      </c>
      <c r="J497" s="169">
        <v>40000</v>
      </c>
      <c r="K497" s="160" t="s">
        <v>13</v>
      </c>
    </row>
    <row r="498" spans="1:11" x14ac:dyDescent="0.3">
      <c r="A498" s="160">
        <v>1</v>
      </c>
      <c r="B498" s="160">
        <v>107380</v>
      </c>
      <c r="C498" s="160" t="s">
        <v>3264</v>
      </c>
      <c r="D498" s="160" t="s">
        <v>3265</v>
      </c>
      <c r="E498" s="160" t="s">
        <v>3278</v>
      </c>
      <c r="F498" s="160" t="s">
        <v>3293</v>
      </c>
      <c r="G498" s="163">
        <v>9</v>
      </c>
      <c r="H498" s="160" t="s">
        <v>3280</v>
      </c>
      <c r="I498" s="164">
        <v>44414</v>
      </c>
      <c r="J498" s="169">
        <v>100000</v>
      </c>
      <c r="K498" s="160" t="s">
        <v>13</v>
      </c>
    </row>
    <row r="499" spans="1:11" ht="14.5" customHeight="1" x14ac:dyDescent="0.3">
      <c r="A499" s="160">
        <v>1</v>
      </c>
      <c r="C499" s="160" t="s">
        <v>3294</v>
      </c>
      <c r="D499" s="160" t="s">
        <v>3295</v>
      </c>
      <c r="F499" s="160" t="s">
        <v>3296</v>
      </c>
      <c r="G499" s="163">
        <v>1</v>
      </c>
      <c r="H499" s="160" t="s">
        <v>3297</v>
      </c>
      <c r="I499" s="164">
        <v>40612</v>
      </c>
      <c r="J499" s="166">
        <v>2500</v>
      </c>
      <c r="K499" s="168" t="s">
        <v>13</v>
      </c>
    </row>
    <row r="500" spans="1:11" ht="14.5" customHeight="1" x14ac:dyDescent="0.3">
      <c r="A500" s="160">
        <v>1</v>
      </c>
      <c r="C500" s="160" t="s">
        <v>3294</v>
      </c>
      <c r="D500" s="160" t="s">
        <v>3295</v>
      </c>
      <c r="F500" s="160" t="s">
        <v>3298</v>
      </c>
      <c r="G500" s="163">
        <v>1</v>
      </c>
      <c r="H500" s="160" t="s">
        <v>3299</v>
      </c>
      <c r="I500" s="164">
        <v>40428</v>
      </c>
      <c r="J500" s="166">
        <v>6000</v>
      </c>
      <c r="K500" s="168" t="s">
        <v>13</v>
      </c>
    </row>
    <row r="501" spans="1:11" ht="13" customHeight="1" x14ac:dyDescent="0.3">
      <c r="A501" s="160">
        <v>1</v>
      </c>
      <c r="C501" s="160" t="s">
        <v>3294</v>
      </c>
      <c r="D501" s="160" t="s">
        <v>3295</v>
      </c>
      <c r="F501" s="160" t="s">
        <v>3300</v>
      </c>
      <c r="G501" s="163">
        <v>1</v>
      </c>
      <c r="H501" s="160" t="s">
        <v>3301</v>
      </c>
      <c r="I501" s="164">
        <v>40611</v>
      </c>
      <c r="J501" s="166">
        <v>2000</v>
      </c>
      <c r="K501" s="170" t="s">
        <v>2410</v>
      </c>
    </row>
    <row r="502" spans="1:11" ht="13" customHeight="1" x14ac:dyDescent="0.3">
      <c r="A502" s="160">
        <v>1</v>
      </c>
      <c r="C502" s="160" t="s">
        <v>3294</v>
      </c>
      <c r="D502" s="160" t="s">
        <v>3295</v>
      </c>
      <c r="F502" s="160" t="s">
        <v>3302</v>
      </c>
      <c r="G502" s="163">
        <v>2</v>
      </c>
      <c r="H502" s="160" t="s">
        <v>3301</v>
      </c>
      <c r="I502" s="164">
        <v>40855</v>
      </c>
      <c r="J502" s="166">
        <v>3000</v>
      </c>
      <c r="K502" s="170" t="s">
        <v>2410</v>
      </c>
    </row>
    <row r="503" spans="1:11" ht="13" customHeight="1" x14ac:dyDescent="0.3">
      <c r="A503" s="160">
        <v>1</v>
      </c>
      <c r="C503" s="160" t="s">
        <v>3294</v>
      </c>
      <c r="D503" s="160" t="s">
        <v>3295</v>
      </c>
      <c r="F503" s="160" t="s">
        <v>3303</v>
      </c>
      <c r="G503" s="163">
        <v>3</v>
      </c>
      <c r="H503" s="160" t="s">
        <v>3301</v>
      </c>
      <c r="I503" s="164">
        <v>41246</v>
      </c>
      <c r="J503" s="166">
        <v>5000</v>
      </c>
      <c r="K503" s="168" t="s">
        <v>13</v>
      </c>
    </row>
    <row r="504" spans="1:11" ht="13" customHeight="1" x14ac:dyDescent="0.3">
      <c r="A504" s="160">
        <v>1</v>
      </c>
      <c r="C504" s="160" t="s">
        <v>3294</v>
      </c>
      <c r="D504" s="160" t="s">
        <v>3295</v>
      </c>
      <c r="F504" s="160" t="s">
        <v>3304</v>
      </c>
      <c r="G504" s="163">
        <v>1</v>
      </c>
      <c r="H504" s="160" t="s">
        <v>3305</v>
      </c>
      <c r="I504" s="164">
        <v>40597</v>
      </c>
      <c r="J504" s="166">
        <v>3500</v>
      </c>
      <c r="K504" s="168" t="s">
        <v>13</v>
      </c>
    </row>
    <row r="505" spans="1:11" ht="13" customHeight="1" x14ac:dyDescent="0.3">
      <c r="A505" s="160">
        <v>1</v>
      </c>
      <c r="C505" s="160" t="s">
        <v>3294</v>
      </c>
      <c r="D505" s="160" t="s">
        <v>3295</v>
      </c>
      <c r="E505" s="160" t="s">
        <v>3306</v>
      </c>
      <c r="F505" s="160" t="s">
        <v>3307</v>
      </c>
      <c r="G505" s="163">
        <v>1</v>
      </c>
      <c r="H505" s="160" t="s">
        <v>3308</v>
      </c>
      <c r="I505" s="164">
        <v>40567</v>
      </c>
      <c r="J505" s="166">
        <v>4500</v>
      </c>
      <c r="K505" s="168" t="s">
        <v>13</v>
      </c>
    </row>
    <row r="506" spans="1:11" ht="13" customHeight="1" x14ac:dyDescent="0.3">
      <c r="A506" s="160">
        <v>1</v>
      </c>
      <c r="C506" s="160" t="s">
        <v>3294</v>
      </c>
      <c r="D506" s="160" t="s">
        <v>3295</v>
      </c>
      <c r="E506" s="160" t="s">
        <v>3306</v>
      </c>
      <c r="F506" s="160" t="s">
        <v>3309</v>
      </c>
      <c r="G506" s="163">
        <v>2</v>
      </c>
      <c r="H506" s="160" t="s">
        <v>3308</v>
      </c>
      <c r="I506" s="164">
        <v>40668</v>
      </c>
      <c r="J506" s="166">
        <v>10000</v>
      </c>
      <c r="K506" s="168" t="s">
        <v>13</v>
      </c>
    </row>
    <row r="507" spans="1:11" ht="13" customHeight="1" x14ac:dyDescent="0.3">
      <c r="A507" s="160">
        <v>1</v>
      </c>
      <c r="C507" s="160" t="s">
        <v>3294</v>
      </c>
      <c r="D507" s="160" t="s">
        <v>3295</v>
      </c>
      <c r="E507" s="160" t="s">
        <v>3306</v>
      </c>
      <c r="F507" s="160" t="s">
        <v>3310</v>
      </c>
      <c r="G507" s="163">
        <v>3</v>
      </c>
      <c r="H507" s="160" t="s">
        <v>3308</v>
      </c>
      <c r="I507" s="164">
        <v>41044</v>
      </c>
      <c r="J507" s="166">
        <v>15000</v>
      </c>
      <c r="K507" s="168" t="s">
        <v>13</v>
      </c>
    </row>
    <row r="508" spans="1:11" ht="13" customHeight="1" x14ac:dyDescent="0.3">
      <c r="A508" s="160">
        <v>1</v>
      </c>
      <c r="B508" s="160" t="s">
        <v>3311</v>
      </c>
      <c r="C508" s="160" t="s">
        <v>3294</v>
      </c>
      <c r="D508" s="160" t="s">
        <v>3295</v>
      </c>
      <c r="E508" s="160" t="s">
        <v>3306</v>
      </c>
      <c r="F508" s="160" t="s">
        <v>3312</v>
      </c>
      <c r="G508" s="163">
        <v>4</v>
      </c>
      <c r="H508" s="160" t="s">
        <v>3308</v>
      </c>
      <c r="I508" s="164">
        <v>42381</v>
      </c>
      <c r="J508" s="166">
        <v>15000</v>
      </c>
      <c r="K508" s="168" t="s">
        <v>13</v>
      </c>
    </row>
    <row r="509" spans="1:11" ht="13" customHeight="1" x14ac:dyDescent="0.3">
      <c r="A509" s="160">
        <v>1</v>
      </c>
      <c r="B509" s="160">
        <v>11446234</v>
      </c>
      <c r="C509" s="160" t="s">
        <v>3294</v>
      </c>
      <c r="D509" s="160" t="s">
        <v>3295</v>
      </c>
      <c r="E509" s="160" t="s">
        <v>3306</v>
      </c>
      <c r="F509" s="160" t="s">
        <v>3313</v>
      </c>
      <c r="G509" s="163">
        <v>5</v>
      </c>
      <c r="H509" s="160" t="s">
        <v>3308</v>
      </c>
      <c r="I509" s="164">
        <v>45057</v>
      </c>
      <c r="J509" s="165">
        <v>40000</v>
      </c>
      <c r="K509" s="160" t="s">
        <v>13</v>
      </c>
    </row>
    <row r="510" spans="1:11" ht="13" customHeight="1" x14ac:dyDescent="0.3">
      <c r="A510" s="160">
        <v>1</v>
      </c>
      <c r="C510" s="160" t="s">
        <v>3294</v>
      </c>
      <c r="D510" s="160" t="s">
        <v>3295</v>
      </c>
      <c r="F510" s="160" t="s">
        <v>3314</v>
      </c>
      <c r="G510" s="163">
        <v>1</v>
      </c>
      <c r="H510" s="160" t="s">
        <v>3315</v>
      </c>
      <c r="I510" s="164">
        <v>40613</v>
      </c>
      <c r="J510" s="166">
        <v>4000</v>
      </c>
      <c r="K510" s="168" t="s">
        <v>13</v>
      </c>
    </row>
    <row r="511" spans="1:11" ht="13" customHeight="1" x14ac:dyDescent="0.3">
      <c r="A511" s="160">
        <v>1</v>
      </c>
      <c r="C511" s="160" t="s">
        <v>3294</v>
      </c>
      <c r="D511" s="160" t="s">
        <v>3295</v>
      </c>
      <c r="E511" s="160" t="s">
        <v>3316</v>
      </c>
      <c r="F511" s="160" t="s">
        <v>3317</v>
      </c>
      <c r="G511" s="163">
        <v>1</v>
      </c>
      <c r="H511" s="160" t="s">
        <v>3318</v>
      </c>
      <c r="I511" s="164">
        <v>40758</v>
      </c>
      <c r="J511" s="166">
        <v>3500</v>
      </c>
      <c r="K511" s="168" t="s">
        <v>13</v>
      </c>
    </row>
    <row r="512" spans="1:11" ht="13" customHeight="1" x14ac:dyDescent="0.3">
      <c r="A512" s="160">
        <v>1</v>
      </c>
      <c r="B512" s="160" t="s">
        <v>3319</v>
      </c>
      <c r="C512" s="160" t="s">
        <v>3294</v>
      </c>
      <c r="D512" s="160" t="s">
        <v>3295</v>
      </c>
      <c r="E512" s="160" t="s">
        <v>3316</v>
      </c>
      <c r="F512" s="160" t="s">
        <v>3320</v>
      </c>
      <c r="G512" s="163">
        <v>2</v>
      </c>
      <c r="H512" s="160" t="s">
        <v>3318</v>
      </c>
      <c r="I512" s="164">
        <v>41319</v>
      </c>
      <c r="J512" s="166">
        <v>10000</v>
      </c>
      <c r="K512" s="168" t="s">
        <v>13</v>
      </c>
    </row>
    <row r="513" spans="1:11" x14ac:dyDescent="0.3">
      <c r="A513" s="160">
        <v>1</v>
      </c>
      <c r="C513" s="160" t="s">
        <v>3294</v>
      </c>
      <c r="D513" s="160" t="s">
        <v>3295</v>
      </c>
      <c r="E513" s="160" t="s">
        <v>3321</v>
      </c>
      <c r="F513" s="160" t="s">
        <v>3322</v>
      </c>
      <c r="G513" s="163">
        <v>1</v>
      </c>
      <c r="H513" s="160" t="s">
        <v>3323</v>
      </c>
      <c r="I513" s="164">
        <v>40428</v>
      </c>
      <c r="J513" s="166">
        <v>10000</v>
      </c>
      <c r="K513" s="168" t="s">
        <v>13</v>
      </c>
    </row>
    <row r="514" spans="1:11" x14ac:dyDescent="0.3">
      <c r="A514" s="160">
        <v>1</v>
      </c>
      <c r="C514" s="160" t="s">
        <v>3294</v>
      </c>
      <c r="D514" s="160" t="s">
        <v>3295</v>
      </c>
      <c r="E514" s="160" t="s">
        <v>3321</v>
      </c>
      <c r="F514" s="160" t="s">
        <v>3324</v>
      </c>
      <c r="G514" s="163">
        <v>2</v>
      </c>
      <c r="H514" s="160" t="s">
        <v>3323</v>
      </c>
      <c r="I514" s="164">
        <v>40730</v>
      </c>
      <c r="J514" s="166">
        <v>10000</v>
      </c>
      <c r="K514" s="168" t="s">
        <v>13</v>
      </c>
    </row>
    <row r="515" spans="1:11" x14ac:dyDescent="0.3">
      <c r="A515" s="160">
        <v>1</v>
      </c>
      <c r="C515" s="160" t="s">
        <v>3294</v>
      </c>
      <c r="D515" s="160" t="s">
        <v>3295</v>
      </c>
      <c r="E515" s="160" t="s">
        <v>3321</v>
      </c>
      <c r="F515" s="160" t="s">
        <v>3325</v>
      </c>
      <c r="G515" s="163">
        <v>3</v>
      </c>
      <c r="H515" s="160" t="s">
        <v>3323</v>
      </c>
      <c r="I515" s="164">
        <v>40715</v>
      </c>
      <c r="J515" s="166">
        <v>5000</v>
      </c>
      <c r="K515" s="168" t="s">
        <v>13</v>
      </c>
    </row>
    <row r="516" spans="1:11" ht="13" customHeight="1" x14ac:dyDescent="0.3">
      <c r="A516" s="160">
        <v>1</v>
      </c>
      <c r="C516" s="160" t="s">
        <v>3294</v>
      </c>
      <c r="D516" s="160" t="s">
        <v>3295</v>
      </c>
      <c r="E516" s="160" t="s">
        <v>3321</v>
      </c>
      <c r="F516" s="160" t="s">
        <v>3326</v>
      </c>
      <c r="G516" s="163">
        <v>4</v>
      </c>
      <c r="H516" s="160" t="s">
        <v>3323</v>
      </c>
      <c r="I516" s="164">
        <v>40988</v>
      </c>
      <c r="J516" s="166">
        <v>30000</v>
      </c>
      <c r="K516" s="168" t="s">
        <v>13</v>
      </c>
    </row>
    <row r="517" spans="1:11" ht="13" customHeight="1" x14ac:dyDescent="0.3">
      <c r="A517" s="160">
        <v>1</v>
      </c>
      <c r="B517" s="160" t="s">
        <v>3327</v>
      </c>
      <c r="C517" s="160" t="s">
        <v>3294</v>
      </c>
      <c r="D517" s="160" t="s">
        <v>3295</v>
      </c>
      <c r="E517" s="160" t="s">
        <v>3321</v>
      </c>
      <c r="F517" s="160" t="s">
        <v>3328</v>
      </c>
      <c r="G517" s="163">
        <v>5</v>
      </c>
      <c r="H517" s="160" t="s">
        <v>3323</v>
      </c>
      <c r="I517" s="164">
        <v>41541</v>
      </c>
      <c r="J517" s="166">
        <v>50000</v>
      </c>
      <c r="K517" s="168" t="s">
        <v>13</v>
      </c>
    </row>
    <row r="518" spans="1:11" ht="13" customHeight="1" x14ac:dyDescent="0.3">
      <c r="A518" s="160">
        <v>1</v>
      </c>
      <c r="C518" s="160" t="s">
        <v>3294</v>
      </c>
      <c r="D518" s="160" t="s">
        <v>3295</v>
      </c>
      <c r="F518" s="160" t="s">
        <v>3329</v>
      </c>
      <c r="G518" s="163">
        <v>1</v>
      </c>
      <c r="H518" s="160" t="s">
        <v>3330</v>
      </c>
      <c r="I518" s="164">
        <v>40791</v>
      </c>
      <c r="J518" s="166">
        <v>4000</v>
      </c>
      <c r="K518" s="168" t="s">
        <v>13</v>
      </c>
    </row>
    <row r="519" spans="1:11" ht="13" customHeight="1" x14ac:dyDescent="0.3">
      <c r="A519" s="160">
        <v>1</v>
      </c>
      <c r="B519" s="160" t="s">
        <v>3331</v>
      </c>
      <c r="C519" s="160" t="s">
        <v>3332</v>
      </c>
      <c r="D519" s="160" t="s">
        <v>3333</v>
      </c>
      <c r="E519" s="160" t="s">
        <v>3334</v>
      </c>
      <c r="F519" s="160" t="s">
        <v>3335</v>
      </c>
      <c r="G519" s="163">
        <v>1</v>
      </c>
      <c r="H519" s="160" t="s">
        <v>3336</v>
      </c>
      <c r="I519" s="164">
        <v>42916</v>
      </c>
      <c r="J519" s="169">
        <v>3000</v>
      </c>
      <c r="K519" s="160" t="s">
        <v>2410</v>
      </c>
    </row>
    <row r="520" spans="1:11" ht="13" customHeight="1" x14ac:dyDescent="0.3">
      <c r="A520" s="160">
        <v>1</v>
      </c>
      <c r="B520" s="160" t="s">
        <v>3337</v>
      </c>
      <c r="C520" s="160" t="s">
        <v>3332</v>
      </c>
      <c r="D520" s="160" t="s">
        <v>3333</v>
      </c>
      <c r="E520" s="160" t="s">
        <v>3338</v>
      </c>
      <c r="F520" s="160" t="s">
        <v>3339</v>
      </c>
      <c r="G520" s="163">
        <v>1</v>
      </c>
      <c r="H520" s="160" t="s">
        <v>3340</v>
      </c>
      <c r="I520" s="164">
        <v>42817</v>
      </c>
      <c r="J520" s="169">
        <v>3000</v>
      </c>
      <c r="K520" s="160" t="s">
        <v>13</v>
      </c>
    </row>
    <row r="521" spans="1:11" ht="13" customHeight="1" x14ac:dyDescent="0.3">
      <c r="A521" s="160">
        <v>1</v>
      </c>
      <c r="B521" s="160" t="s">
        <v>3341</v>
      </c>
      <c r="C521" s="160" t="s">
        <v>3332</v>
      </c>
      <c r="D521" s="160" t="s">
        <v>3333</v>
      </c>
      <c r="E521" s="160" t="s">
        <v>3338</v>
      </c>
      <c r="F521" s="160" t="s">
        <v>3342</v>
      </c>
      <c r="G521" s="163">
        <v>2</v>
      </c>
      <c r="H521" s="160" t="s">
        <v>3340</v>
      </c>
      <c r="I521" s="164">
        <v>43035</v>
      </c>
      <c r="J521" s="169">
        <v>9000</v>
      </c>
      <c r="K521" s="160" t="s">
        <v>13</v>
      </c>
    </row>
    <row r="522" spans="1:11" ht="13" customHeight="1" x14ac:dyDescent="0.3">
      <c r="A522" s="160">
        <v>1</v>
      </c>
      <c r="B522" s="160">
        <v>30203</v>
      </c>
      <c r="C522" s="160" t="s">
        <v>3332</v>
      </c>
      <c r="D522" s="160" t="s">
        <v>3333</v>
      </c>
      <c r="E522" s="160" t="s">
        <v>3338</v>
      </c>
      <c r="F522" s="160" t="s">
        <v>3343</v>
      </c>
      <c r="G522" s="163">
        <v>3</v>
      </c>
      <c r="H522" s="160" t="s">
        <v>3344</v>
      </c>
      <c r="I522" s="164">
        <v>43494</v>
      </c>
      <c r="J522" s="169">
        <v>9000</v>
      </c>
      <c r="K522" s="160" t="s">
        <v>2410</v>
      </c>
    </row>
    <row r="523" spans="1:11" ht="13" customHeight="1" x14ac:dyDescent="0.3">
      <c r="A523" s="160">
        <v>1</v>
      </c>
      <c r="B523" s="160">
        <v>124754</v>
      </c>
      <c r="C523" s="160" t="s">
        <v>3332</v>
      </c>
      <c r="D523" s="160" t="s">
        <v>3333</v>
      </c>
      <c r="E523" s="160" t="s">
        <v>3338</v>
      </c>
      <c r="F523" s="160" t="s">
        <v>3345</v>
      </c>
      <c r="G523" s="163">
        <v>4</v>
      </c>
      <c r="H523" s="160" t="s">
        <v>3344</v>
      </c>
      <c r="I523" s="164">
        <v>44554</v>
      </c>
      <c r="J523" s="169">
        <v>10000</v>
      </c>
      <c r="K523" s="160" t="s">
        <v>13</v>
      </c>
    </row>
    <row r="524" spans="1:11" ht="13" customHeight="1" x14ac:dyDescent="0.3">
      <c r="A524" s="160">
        <v>1</v>
      </c>
      <c r="B524" s="160">
        <v>10911374</v>
      </c>
      <c r="C524" s="160" t="s">
        <v>3332</v>
      </c>
      <c r="D524" s="160" t="s">
        <v>3333</v>
      </c>
      <c r="E524" s="160" t="s">
        <v>3338</v>
      </c>
      <c r="F524" s="160" t="s">
        <v>3346</v>
      </c>
      <c r="G524" s="163">
        <v>5</v>
      </c>
      <c r="H524" s="160" t="s">
        <v>3344</v>
      </c>
      <c r="I524" s="164">
        <v>44939</v>
      </c>
      <c r="J524" s="169">
        <v>10000</v>
      </c>
      <c r="K524" s="160" t="s">
        <v>70</v>
      </c>
    </row>
    <row r="525" spans="1:11" ht="13" customHeight="1" x14ac:dyDescent="0.3">
      <c r="A525" s="160">
        <v>1</v>
      </c>
      <c r="B525" s="160">
        <v>5729950001</v>
      </c>
      <c r="C525" s="160" t="s">
        <v>3332</v>
      </c>
      <c r="D525" s="160" t="s">
        <v>3333</v>
      </c>
      <c r="E525" s="160" t="s">
        <v>3338</v>
      </c>
      <c r="F525" s="160" t="s">
        <v>3347</v>
      </c>
      <c r="G525" s="163">
        <v>6</v>
      </c>
      <c r="H525" s="160" t="s">
        <v>3344</v>
      </c>
      <c r="I525" s="164">
        <v>45230</v>
      </c>
      <c r="J525" s="169">
        <v>12000</v>
      </c>
      <c r="K525" s="160" t="s">
        <v>13</v>
      </c>
    </row>
    <row r="526" spans="1:11" ht="13" customHeight="1" x14ac:dyDescent="0.3">
      <c r="A526" s="160">
        <v>1</v>
      </c>
      <c r="B526" s="160">
        <v>5729950002</v>
      </c>
      <c r="C526" s="160" t="s">
        <v>3332</v>
      </c>
      <c r="D526" s="160" t="s">
        <v>3333</v>
      </c>
      <c r="E526" s="160" t="s">
        <v>3338</v>
      </c>
      <c r="F526" s="160" t="s">
        <v>3348</v>
      </c>
      <c r="G526" s="163">
        <v>7</v>
      </c>
      <c r="H526" s="160" t="s">
        <v>3344</v>
      </c>
      <c r="I526" s="164">
        <v>45559</v>
      </c>
      <c r="J526" s="169">
        <v>12000</v>
      </c>
      <c r="K526" s="160" t="s">
        <v>13</v>
      </c>
    </row>
    <row r="527" spans="1:11" ht="13" customHeight="1" x14ac:dyDescent="0.3">
      <c r="A527" s="160">
        <v>1</v>
      </c>
      <c r="B527" s="160">
        <v>5729950003</v>
      </c>
      <c r="C527" s="160" t="s">
        <v>3332</v>
      </c>
      <c r="D527" s="160" t="s">
        <v>3333</v>
      </c>
      <c r="E527" s="160" t="s">
        <v>3338</v>
      </c>
      <c r="F527" s="160" t="s">
        <v>3349</v>
      </c>
      <c r="G527" s="163">
        <v>8</v>
      </c>
      <c r="H527" s="160" t="s">
        <v>3344</v>
      </c>
      <c r="I527" s="164">
        <v>45896</v>
      </c>
      <c r="J527" s="169">
        <v>12000</v>
      </c>
      <c r="K527" s="160" t="s">
        <v>13</v>
      </c>
    </row>
    <row r="528" spans="1:11" x14ac:dyDescent="0.3">
      <c r="A528" s="160">
        <v>1</v>
      </c>
      <c r="B528" s="160" t="s">
        <v>3350</v>
      </c>
      <c r="C528" s="160" t="s">
        <v>3332</v>
      </c>
      <c r="D528" s="160" t="s">
        <v>3333</v>
      </c>
      <c r="E528" s="160" t="s">
        <v>3351</v>
      </c>
      <c r="F528" s="160" t="s">
        <v>3352</v>
      </c>
      <c r="G528" s="163">
        <v>1</v>
      </c>
      <c r="H528" s="160" t="s">
        <v>3353</v>
      </c>
      <c r="I528" s="164">
        <v>42482</v>
      </c>
      <c r="J528" s="166">
        <v>38000</v>
      </c>
      <c r="K528" s="167" t="s">
        <v>70</v>
      </c>
    </row>
    <row r="529" spans="1:11" x14ac:dyDescent="0.3">
      <c r="A529" s="160">
        <v>1</v>
      </c>
      <c r="B529" s="160">
        <v>119224</v>
      </c>
      <c r="C529" s="160" t="s">
        <v>3332</v>
      </c>
      <c r="D529" s="160" t="s">
        <v>3333</v>
      </c>
      <c r="E529" s="160" t="s">
        <v>3351</v>
      </c>
      <c r="F529" s="160" t="s">
        <v>3354</v>
      </c>
      <c r="G529" s="163">
        <v>2</v>
      </c>
      <c r="H529" s="160" t="s">
        <v>3353</v>
      </c>
      <c r="I529" s="164">
        <v>44516</v>
      </c>
      <c r="J529" s="165">
        <v>70000</v>
      </c>
      <c r="K529" s="160" t="s">
        <v>70</v>
      </c>
    </row>
    <row r="530" spans="1:11" ht="13" customHeight="1" x14ac:dyDescent="0.3">
      <c r="A530" s="160">
        <v>1</v>
      </c>
      <c r="B530" s="160" t="s">
        <v>3355</v>
      </c>
      <c r="C530" s="160" t="s">
        <v>3332</v>
      </c>
      <c r="D530" s="160" t="s">
        <v>3333</v>
      </c>
      <c r="E530" s="160" t="s">
        <v>3356</v>
      </c>
      <c r="F530" s="160" t="s">
        <v>3357</v>
      </c>
      <c r="G530" s="163">
        <v>1</v>
      </c>
      <c r="H530" s="160" t="s">
        <v>3358</v>
      </c>
      <c r="I530" s="164">
        <v>42727</v>
      </c>
      <c r="J530" s="166">
        <v>5000</v>
      </c>
      <c r="K530" s="168" t="s">
        <v>13</v>
      </c>
    </row>
    <row r="531" spans="1:11" ht="13" customHeight="1" x14ac:dyDescent="0.3">
      <c r="A531" s="160">
        <v>1</v>
      </c>
      <c r="B531" s="160" t="s">
        <v>3359</v>
      </c>
      <c r="C531" s="160" t="s">
        <v>3332</v>
      </c>
      <c r="D531" s="160" t="s">
        <v>3333</v>
      </c>
      <c r="E531" s="160" t="s">
        <v>3356</v>
      </c>
      <c r="F531" s="160" t="s">
        <v>3360</v>
      </c>
      <c r="G531" s="163">
        <v>2</v>
      </c>
      <c r="H531" s="160" t="s">
        <v>3358</v>
      </c>
      <c r="I531" s="164">
        <v>43000</v>
      </c>
      <c r="J531" s="169">
        <v>2000</v>
      </c>
      <c r="K531" s="160" t="s">
        <v>13</v>
      </c>
    </row>
    <row r="532" spans="1:11" ht="13" customHeight="1" x14ac:dyDescent="0.3">
      <c r="A532" s="160">
        <v>1</v>
      </c>
      <c r="B532" s="160" t="s">
        <v>3361</v>
      </c>
      <c r="C532" s="160" t="s">
        <v>3332</v>
      </c>
      <c r="D532" s="160" t="s">
        <v>3333</v>
      </c>
      <c r="E532" s="160" t="s">
        <v>3356</v>
      </c>
      <c r="F532" s="160" t="s">
        <v>3362</v>
      </c>
      <c r="G532" s="163">
        <v>3</v>
      </c>
      <c r="H532" s="160" t="s">
        <v>3358</v>
      </c>
      <c r="I532" s="164">
        <v>43210</v>
      </c>
      <c r="J532" s="169">
        <v>5000</v>
      </c>
      <c r="K532" s="160" t="s">
        <v>13</v>
      </c>
    </row>
    <row r="533" spans="1:11" ht="13" customHeight="1" x14ac:dyDescent="0.3">
      <c r="A533" s="160">
        <v>1</v>
      </c>
      <c r="B533" s="160">
        <v>34221</v>
      </c>
      <c r="C533" s="160" t="s">
        <v>3332</v>
      </c>
      <c r="D533" s="160" t="s">
        <v>3333</v>
      </c>
      <c r="E533" s="160" t="s">
        <v>3356</v>
      </c>
      <c r="F533" s="160" t="s">
        <v>3363</v>
      </c>
      <c r="G533" s="163">
        <v>4</v>
      </c>
      <c r="H533" s="160" t="s">
        <v>3364</v>
      </c>
      <c r="I533" s="164">
        <v>43553</v>
      </c>
      <c r="J533" s="169">
        <v>3000</v>
      </c>
      <c r="K533" s="160" t="s">
        <v>2410</v>
      </c>
    </row>
    <row r="534" spans="1:11" ht="13" customHeight="1" x14ac:dyDescent="0.3">
      <c r="A534" s="160">
        <v>1</v>
      </c>
      <c r="B534" s="160">
        <v>51415</v>
      </c>
      <c r="C534" s="160" t="s">
        <v>3332</v>
      </c>
      <c r="D534" s="160" t="s">
        <v>3333</v>
      </c>
      <c r="E534" s="160" t="s">
        <v>3356</v>
      </c>
      <c r="F534" s="160" t="s">
        <v>3365</v>
      </c>
      <c r="G534" s="163">
        <v>5</v>
      </c>
      <c r="H534" s="160" t="s">
        <v>3364</v>
      </c>
      <c r="I534" s="164">
        <v>43788</v>
      </c>
      <c r="J534" s="169">
        <v>4000</v>
      </c>
      <c r="K534" s="160" t="s">
        <v>2410</v>
      </c>
    </row>
    <row r="535" spans="1:11" ht="13" customHeight="1" x14ac:dyDescent="0.3">
      <c r="A535" s="160">
        <v>1</v>
      </c>
      <c r="B535" s="160">
        <v>108812</v>
      </c>
      <c r="C535" s="160" t="s">
        <v>3332</v>
      </c>
      <c r="D535" s="160" t="s">
        <v>3333</v>
      </c>
      <c r="E535" s="160" t="s">
        <v>3356</v>
      </c>
      <c r="F535" s="160" t="s">
        <v>3366</v>
      </c>
      <c r="G535" s="163">
        <v>6</v>
      </c>
      <c r="H535" s="160" t="s">
        <v>3364</v>
      </c>
      <c r="I535" s="164">
        <v>44428</v>
      </c>
      <c r="J535" s="169">
        <v>4000</v>
      </c>
      <c r="K535" s="160" t="s">
        <v>2410</v>
      </c>
    </row>
    <row r="536" spans="1:11" x14ac:dyDescent="0.3">
      <c r="A536" s="160">
        <v>1</v>
      </c>
      <c r="B536" s="160">
        <v>135452</v>
      </c>
      <c r="C536" s="160" t="s">
        <v>3332</v>
      </c>
      <c r="D536" s="160" t="s">
        <v>3333</v>
      </c>
      <c r="E536" s="160" t="s">
        <v>3356</v>
      </c>
      <c r="F536" s="160" t="s">
        <v>3367</v>
      </c>
      <c r="G536" s="163">
        <v>7</v>
      </c>
      <c r="H536" s="160" t="s">
        <v>3364</v>
      </c>
      <c r="I536" s="164">
        <v>44664</v>
      </c>
      <c r="J536" s="169">
        <v>5000</v>
      </c>
      <c r="K536" s="160" t="s">
        <v>2410</v>
      </c>
    </row>
    <row r="537" spans="1:11" ht="13" customHeight="1" x14ac:dyDescent="0.3">
      <c r="A537" s="160">
        <v>1</v>
      </c>
      <c r="B537" s="160" t="s">
        <v>3368</v>
      </c>
      <c r="C537" s="160" t="s">
        <v>3332</v>
      </c>
      <c r="D537" s="160" t="s">
        <v>3333</v>
      </c>
      <c r="E537" s="160" t="s">
        <v>3369</v>
      </c>
      <c r="F537" s="160" t="s">
        <v>3370</v>
      </c>
      <c r="G537" s="163">
        <v>1</v>
      </c>
      <c r="H537" s="160" t="s">
        <v>3371</v>
      </c>
      <c r="I537" s="164">
        <v>42636</v>
      </c>
      <c r="J537" s="166">
        <v>9000</v>
      </c>
      <c r="K537" s="170" t="s">
        <v>2410</v>
      </c>
    </row>
    <row r="538" spans="1:11" ht="13" customHeight="1" x14ac:dyDescent="0.3">
      <c r="A538" s="160">
        <v>1</v>
      </c>
      <c r="B538" s="160" t="s">
        <v>3372</v>
      </c>
      <c r="C538" s="160" t="s">
        <v>3332</v>
      </c>
      <c r="D538" s="160" t="s">
        <v>3333</v>
      </c>
      <c r="E538" s="160" t="s">
        <v>3369</v>
      </c>
      <c r="F538" s="160" t="s">
        <v>3373</v>
      </c>
      <c r="G538" s="163">
        <v>2</v>
      </c>
      <c r="H538" s="160" t="s">
        <v>3371</v>
      </c>
      <c r="I538" s="164">
        <v>42913</v>
      </c>
      <c r="J538" s="169">
        <v>50000</v>
      </c>
      <c r="K538" s="160" t="s">
        <v>70</v>
      </c>
    </row>
    <row r="539" spans="1:11" ht="13" customHeight="1" x14ac:dyDescent="0.3">
      <c r="A539" s="160">
        <v>1</v>
      </c>
      <c r="B539" s="160">
        <v>112416</v>
      </c>
      <c r="C539" s="160" t="s">
        <v>3332</v>
      </c>
      <c r="D539" s="160" t="s">
        <v>3333</v>
      </c>
      <c r="F539" s="160" t="s">
        <v>3374</v>
      </c>
      <c r="G539" s="163">
        <v>1</v>
      </c>
      <c r="H539" s="160" t="s">
        <v>3375</v>
      </c>
      <c r="I539" s="164">
        <v>44459</v>
      </c>
      <c r="J539" s="169">
        <v>65000</v>
      </c>
      <c r="K539" s="160" t="s">
        <v>13</v>
      </c>
    </row>
    <row r="540" spans="1:11" x14ac:dyDescent="0.3">
      <c r="A540" s="160">
        <v>1</v>
      </c>
      <c r="B540" s="160">
        <v>4684140001</v>
      </c>
      <c r="C540" s="160" t="s">
        <v>3332</v>
      </c>
      <c r="D540" s="160" t="s">
        <v>3333</v>
      </c>
      <c r="F540" s="160" t="s">
        <v>3376</v>
      </c>
      <c r="G540" s="163">
        <v>2</v>
      </c>
      <c r="H540" s="160" t="s">
        <v>3375</v>
      </c>
      <c r="I540" s="164">
        <v>45313</v>
      </c>
      <c r="J540" s="169">
        <v>50000</v>
      </c>
      <c r="K540" s="160" t="s">
        <v>13</v>
      </c>
    </row>
    <row r="541" spans="1:11" x14ac:dyDescent="0.3">
      <c r="A541" s="160">
        <v>1</v>
      </c>
      <c r="B541" s="160">
        <v>4684140002</v>
      </c>
      <c r="C541" s="160" t="s">
        <v>3332</v>
      </c>
      <c r="D541" s="160" t="s">
        <v>3333</v>
      </c>
      <c r="F541" s="160" t="s">
        <v>3377</v>
      </c>
      <c r="G541" s="163">
        <v>3</v>
      </c>
      <c r="H541" s="160" t="s">
        <v>3375</v>
      </c>
      <c r="I541" s="164">
        <v>45702</v>
      </c>
      <c r="J541" s="169">
        <v>130000</v>
      </c>
      <c r="K541" s="160" t="s">
        <v>13</v>
      </c>
    </row>
    <row r="542" spans="1:11" x14ac:dyDescent="0.3">
      <c r="A542" s="160">
        <v>1</v>
      </c>
      <c r="B542" s="160" t="s">
        <v>3378</v>
      </c>
      <c r="C542" s="160" t="s">
        <v>3332</v>
      </c>
      <c r="D542" s="160" t="s">
        <v>3333</v>
      </c>
      <c r="E542" s="160" t="s">
        <v>3379</v>
      </c>
      <c r="F542" s="160" t="s">
        <v>3380</v>
      </c>
      <c r="G542" s="163">
        <v>1</v>
      </c>
      <c r="H542" s="160" t="s">
        <v>3381</v>
      </c>
      <c r="I542" s="164">
        <v>42618</v>
      </c>
      <c r="J542" s="166">
        <v>5000</v>
      </c>
      <c r="K542" s="170" t="s">
        <v>2410</v>
      </c>
    </row>
    <row r="543" spans="1:11" x14ac:dyDescent="0.3">
      <c r="A543" s="160">
        <v>1</v>
      </c>
      <c r="B543" s="160" t="s">
        <v>3382</v>
      </c>
      <c r="C543" s="160" t="s">
        <v>3332</v>
      </c>
      <c r="D543" s="160" t="s">
        <v>3333</v>
      </c>
      <c r="E543" s="160" t="s">
        <v>3379</v>
      </c>
      <c r="F543" s="160" t="s">
        <v>3383</v>
      </c>
      <c r="G543" s="163">
        <v>2</v>
      </c>
      <c r="H543" s="160" t="s">
        <v>3381</v>
      </c>
      <c r="I543" s="164">
        <v>42818</v>
      </c>
      <c r="J543" s="169">
        <v>50000</v>
      </c>
      <c r="K543" s="160" t="s">
        <v>70</v>
      </c>
    </row>
    <row r="544" spans="1:11" x14ac:dyDescent="0.3">
      <c r="A544" s="160">
        <v>1</v>
      </c>
      <c r="B544" s="160" t="s">
        <v>3384</v>
      </c>
      <c r="C544" s="160" t="s">
        <v>3332</v>
      </c>
      <c r="D544" s="160" t="s">
        <v>3333</v>
      </c>
      <c r="E544" s="160" t="s">
        <v>3385</v>
      </c>
      <c r="F544" s="160" t="s">
        <v>3386</v>
      </c>
      <c r="G544" s="163">
        <v>1</v>
      </c>
      <c r="H544" s="160" t="s">
        <v>3387</v>
      </c>
      <c r="I544" s="164">
        <v>42544</v>
      </c>
      <c r="J544" s="166">
        <v>4000</v>
      </c>
      <c r="K544" s="168" t="s">
        <v>13</v>
      </c>
    </row>
    <row r="545" spans="1:11" x14ac:dyDescent="0.3">
      <c r="A545" s="160">
        <v>1</v>
      </c>
      <c r="B545" s="160" t="s">
        <v>3388</v>
      </c>
      <c r="C545" s="160" t="s">
        <v>3332</v>
      </c>
      <c r="D545" s="160" t="s">
        <v>3333</v>
      </c>
      <c r="E545" s="160" t="s">
        <v>3389</v>
      </c>
      <c r="F545" s="160" t="s">
        <v>3390</v>
      </c>
      <c r="G545" s="163">
        <v>1</v>
      </c>
      <c r="H545" s="160" t="s">
        <v>3391</v>
      </c>
      <c r="I545" s="164">
        <v>43318</v>
      </c>
      <c r="J545" s="169">
        <v>12000</v>
      </c>
      <c r="K545" s="160" t="s">
        <v>13</v>
      </c>
    </row>
    <row r="546" spans="1:11" x14ac:dyDescent="0.3">
      <c r="A546" s="160">
        <v>1</v>
      </c>
      <c r="B546" s="160" t="s">
        <v>3392</v>
      </c>
      <c r="C546" s="160" t="s">
        <v>3332</v>
      </c>
      <c r="D546" s="160" t="s">
        <v>3333</v>
      </c>
      <c r="E546" s="160" t="s">
        <v>3393</v>
      </c>
      <c r="F546" s="160" t="s">
        <v>3394</v>
      </c>
      <c r="G546" s="163">
        <v>1</v>
      </c>
      <c r="H546" s="160" t="s">
        <v>3395</v>
      </c>
      <c r="I546" s="164">
        <v>42412</v>
      </c>
      <c r="J546" s="166">
        <v>5000</v>
      </c>
      <c r="K546" s="168" t="s">
        <v>13</v>
      </c>
    </row>
    <row r="547" spans="1:11" ht="14.5" customHeight="1" x14ac:dyDescent="0.3">
      <c r="A547" s="160">
        <v>1</v>
      </c>
      <c r="B547" s="160" t="s">
        <v>3396</v>
      </c>
      <c r="C547" s="160" t="s">
        <v>3332</v>
      </c>
      <c r="D547" s="160" t="s">
        <v>3333</v>
      </c>
      <c r="E547" s="160" t="s">
        <v>3393</v>
      </c>
      <c r="F547" s="160" t="s">
        <v>3397</v>
      </c>
      <c r="G547" s="163">
        <v>2</v>
      </c>
      <c r="H547" s="160" t="s">
        <v>3395</v>
      </c>
      <c r="I547" s="164">
        <v>43341</v>
      </c>
      <c r="J547" s="169">
        <v>5000</v>
      </c>
      <c r="K547" s="160" t="s">
        <v>2410</v>
      </c>
    </row>
    <row r="548" spans="1:11" ht="14.5" customHeight="1" x14ac:dyDescent="0.3">
      <c r="A548" s="160">
        <v>1</v>
      </c>
      <c r="B548" s="160">
        <v>148528</v>
      </c>
      <c r="C548" s="160" t="s">
        <v>3332</v>
      </c>
      <c r="D548" s="160" t="s">
        <v>3333</v>
      </c>
      <c r="E548" s="160" t="s">
        <v>3393</v>
      </c>
      <c r="F548" s="160" t="s">
        <v>3398</v>
      </c>
      <c r="G548" s="163">
        <v>3</v>
      </c>
      <c r="H548" s="160" t="s">
        <v>3395</v>
      </c>
      <c r="I548" s="164">
        <v>44769</v>
      </c>
      <c r="J548" s="169">
        <v>100000</v>
      </c>
      <c r="K548" s="160" t="s">
        <v>70</v>
      </c>
    </row>
    <row r="549" spans="1:11" x14ac:dyDescent="0.3">
      <c r="A549" s="160">
        <v>1</v>
      </c>
      <c r="B549" s="160" t="s">
        <v>3399</v>
      </c>
      <c r="C549" s="160" t="s">
        <v>3332</v>
      </c>
      <c r="D549" s="160" t="s">
        <v>3333</v>
      </c>
      <c r="E549" s="160" t="s">
        <v>3400</v>
      </c>
      <c r="F549" s="160" t="s">
        <v>3401</v>
      </c>
      <c r="G549" s="163">
        <v>1</v>
      </c>
      <c r="H549" s="160" t="s">
        <v>3402</v>
      </c>
      <c r="I549" s="164">
        <v>42206</v>
      </c>
      <c r="J549" s="166">
        <v>2500</v>
      </c>
      <c r="K549" s="170" t="s">
        <v>2410</v>
      </c>
    </row>
    <row r="550" spans="1:11" ht="14.5" customHeight="1" x14ac:dyDescent="0.3">
      <c r="A550" s="160">
        <v>1</v>
      </c>
      <c r="B550" s="160" t="s">
        <v>3403</v>
      </c>
      <c r="C550" s="160" t="s">
        <v>3332</v>
      </c>
      <c r="D550" s="160" t="s">
        <v>3333</v>
      </c>
      <c r="E550" s="160" t="s">
        <v>3400</v>
      </c>
      <c r="F550" s="160" t="s">
        <v>3404</v>
      </c>
      <c r="G550" s="163">
        <v>2</v>
      </c>
      <c r="H550" s="160" t="s">
        <v>3402</v>
      </c>
      <c r="I550" s="164">
        <v>42734</v>
      </c>
      <c r="J550" s="166">
        <v>9000</v>
      </c>
      <c r="K550" s="168" t="s">
        <v>13</v>
      </c>
    </row>
    <row r="551" spans="1:11" ht="14.5" customHeight="1" x14ac:dyDescent="0.3">
      <c r="A551" s="160">
        <v>1</v>
      </c>
      <c r="B551" s="160" t="s">
        <v>3405</v>
      </c>
      <c r="C551" s="160" t="s">
        <v>3332</v>
      </c>
      <c r="D551" s="160" t="s">
        <v>3333</v>
      </c>
      <c r="E551" s="160" t="s">
        <v>3400</v>
      </c>
      <c r="F551" s="160" t="s">
        <v>3406</v>
      </c>
      <c r="G551" s="163">
        <v>3</v>
      </c>
      <c r="H551" s="160" t="s">
        <v>3402</v>
      </c>
      <c r="I551" s="164">
        <v>43123</v>
      </c>
      <c r="J551" s="169">
        <v>60000</v>
      </c>
      <c r="K551" s="160" t="s">
        <v>13</v>
      </c>
    </row>
    <row r="552" spans="1:11" x14ac:dyDescent="0.3">
      <c r="A552" s="160">
        <v>1</v>
      </c>
      <c r="B552" s="160" t="s">
        <v>3407</v>
      </c>
      <c r="C552" s="160" t="s">
        <v>3332</v>
      </c>
      <c r="D552" s="160" t="s">
        <v>3333</v>
      </c>
      <c r="E552" s="160" t="s">
        <v>3408</v>
      </c>
      <c r="F552" s="160" t="s">
        <v>3409</v>
      </c>
      <c r="G552" s="163">
        <v>1</v>
      </c>
      <c r="H552" s="160" t="s">
        <v>3410</v>
      </c>
      <c r="I552" s="164">
        <v>42453</v>
      </c>
      <c r="J552" s="166">
        <v>5000</v>
      </c>
      <c r="K552" s="168" t="s">
        <v>13</v>
      </c>
    </row>
    <row r="553" spans="1:11" x14ac:dyDescent="0.3">
      <c r="A553" s="160">
        <v>1</v>
      </c>
      <c r="B553" s="160" t="s">
        <v>3411</v>
      </c>
      <c r="C553" s="160" t="s">
        <v>3332</v>
      </c>
      <c r="D553" s="160" t="s">
        <v>3333</v>
      </c>
      <c r="E553" s="160" t="s">
        <v>3408</v>
      </c>
      <c r="F553" s="160" t="s">
        <v>3412</v>
      </c>
      <c r="G553" s="163">
        <v>2</v>
      </c>
      <c r="H553" s="160" t="s">
        <v>3410</v>
      </c>
      <c r="I553" s="164">
        <v>43025</v>
      </c>
      <c r="J553" s="169">
        <v>80000</v>
      </c>
      <c r="K553" s="160" t="s">
        <v>70</v>
      </c>
    </row>
    <row r="554" spans="1:11" ht="14.5" customHeight="1" x14ac:dyDescent="0.3">
      <c r="A554" s="160">
        <v>1</v>
      </c>
      <c r="B554" s="160">
        <v>125648</v>
      </c>
      <c r="C554" s="160" t="s">
        <v>3332</v>
      </c>
      <c r="D554" s="160" t="s">
        <v>3333</v>
      </c>
      <c r="F554" s="160" t="s">
        <v>3413</v>
      </c>
      <c r="G554" s="163">
        <v>1</v>
      </c>
      <c r="H554" s="160" t="s">
        <v>3414</v>
      </c>
      <c r="I554" s="164">
        <v>44575</v>
      </c>
      <c r="J554" s="169">
        <v>10000</v>
      </c>
      <c r="K554" s="160" t="s">
        <v>2410</v>
      </c>
    </row>
    <row r="555" spans="1:11" x14ac:dyDescent="0.3">
      <c r="A555" s="160">
        <v>1</v>
      </c>
      <c r="B555" s="160">
        <v>10904755</v>
      </c>
      <c r="C555" s="160" t="s">
        <v>3332</v>
      </c>
      <c r="D555" s="160" t="s">
        <v>3333</v>
      </c>
      <c r="F555" s="160" t="s">
        <v>3415</v>
      </c>
      <c r="G555" s="163">
        <v>2</v>
      </c>
      <c r="H555" s="160" t="s">
        <v>3414</v>
      </c>
      <c r="I555" s="164">
        <v>44889</v>
      </c>
      <c r="J555" s="169">
        <v>100000</v>
      </c>
      <c r="K555" s="160" t="s">
        <v>13</v>
      </c>
    </row>
    <row r="556" spans="1:11" ht="14.5" customHeight="1" x14ac:dyDescent="0.3">
      <c r="A556" s="160">
        <v>1</v>
      </c>
      <c r="B556" s="160" t="s">
        <v>3416</v>
      </c>
      <c r="C556" s="160" t="s">
        <v>3332</v>
      </c>
      <c r="D556" s="160" t="s">
        <v>3333</v>
      </c>
      <c r="E556" s="160" t="s">
        <v>3417</v>
      </c>
      <c r="F556" s="160" t="s">
        <v>3418</v>
      </c>
      <c r="G556" s="163">
        <v>1</v>
      </c>
      <c r="H556" s="160" t="s">
        <v>3419</v>
      </c>
      <c r="I556" s="164">
        <v>42704</v>
      </c>
      <c r="J556" s="166">
        <v>30000</v>
      </c>
      <c r="K556" s="168" t="s">
        <v>13</v>
      </c>
    </row>
    <row r="557" spans="1:11" x14ac:dyDescent="0.3">
      <c r="A557" s="160">
        <v>1</v>
      </c>
      <c r="B557" s="160" t="s">
        <v>3420</v>
      </c>
      <c r="C557" s="160" t="s">
        <v>3332</v>
      </c>
      <c r="D557" s="160" t="s">
        <v>3333</v>
      </c>
      <c r="E557" s="160" t="s">
        <v>3417</v>
      </c>
      <c r="F557" s="160" t="s">
        <v>3421</v>
      </c>
      <c r="G557" s="163">
        <v>2</v>
      </c>
      <c r="H557" s="160" t="s">
        <v>3419</v>
      </c>
      <c r="I557" s="164">
        <v>42937</v>
      </c>
      <c r="J557" s="169">
        <v>5000</v>
      </c>
      <c r="K557" s="160" t="s">
        <v>2410</v>
      </c>
    </row>
    <row r="558" spans="1:11" x14ac:dyDescent="0.3">
      <c r="A558" s="160">
        <v>1</v>
      </c>
      <c r="B558" s="160" t="s">
        <v>3422</v>
      </c>
      <c r="C558" s="160" t="s">
        <v>3332</v>
      </c>
      <c r="D558" s="160" t="s">
        <v>3333</v>
      </c>
      <c r="E558" s="160" t="s">
        <v>3423</v>
      </c>
      <c r="F558" s="160" t="s">
        <v>3424</v>
      </c>
      <c r="G558" s="163">
        <v>1</v>
      </c>
      <c r="H558" s="160" t="s">
        <v>3425</v>
      </c>
      <c r="I558" s="164">
        <v>42727</v>
      </c>
      <c r="J558" s="166">
        <v>15000</v>
      </c>
      <c r="K558" s="168" t="s">
        <v>13</v>
      </c>
    </row>
    <row r="559" spans="1:11" x14ac:dyDescent="0.3">
      <c r="A559" s="160">
        <v>1</v>
      </c>
      <c r="B559" s="160" t="s">
        <v>3426</v>
      </c>
      <c r="C559" s="160" t="s">
        <v>3332</v>
      </c>
      <c r="D559" s="160" t="s">
        <v>3333</v>
      </c>
      <c r="E559" s="160" t="s">
        <v>3423</v>
      </c>
      <c r="F559" s="160" t="s">
        <v>3427</v>
      </c>
      <c r="G559" s="163">
        <v>2</v>
      </c>
      <c r="H559" s="160" t="s">
        <v>3425</v>
      </c>
      <c r="I559" s="164">
        <v>43091</v>
      </c>
      <c r="J559" s="169">
        <v>5000</v>
      </c>
      <c r="K559" s="160" t="s">
        <v>13</v>
      </c>
    </row>
    <row r="560" spans="1:11" ht="14.5" customHeight="1" x14ac:dyDescent="0.3">
      <c r="A560" s="160">
        <v>1</v>
      </c>
      <c r="B560" s="160" t="s">
        <v>3428</v>
      </c>
      <c r="C560" s="160" t="s">
        <v>3332</v>
      </c>
      <c r="D560" s="160" t="s">
        <v>3333</v>
      </c>
      <c r="E560" s="160" t="s">
        <v>3423</v>
      </c>
      <c r="F560" s="160" t="s">
        <v>3429</v>
      </c>
      <c r="G560" s="163">
        <v>3</v>
      </c>
      <c r="H560" s="160" t="s">
        <v>3425</v>
      </c>
      <c r="I560" s="164">
        <v>43265</v>
      </c>
      <c r="J560" s="169">
        <v>15000</v>
      </c>
      <c r="K560" s="160" t="s">
        <v>13</v>
      </c>
    </row>
    <row r="561" spans="1:11" ht="14.5" customHeight="1" x14ac:dyDescent="0.3">
      <c r="A561" s="160">
        <v>1</v>
      </c>
      <c r="B561" s="160">
        <v>37226</v>
      </c>
      <c r="C561" s="160" t="s">
        <v>3332</v>
      </c>
      <c r="D561" s="160" t="s">
        <v>3333</v>
      </c>
      <c r="E561" s="160" t="s">
        <v>3423</v>
      </c>
      <c r="F561" s="160" t="s">
        <v>3430</v>
      </c>
      <c r="G561" s="163">
        <v>4</v>
      </c>
      <c r="H561" s="160" t="s">
        <v>3431</v>
      </c>
      <c r="I561" s="164">
        <v>43602</v>
      </c>
      <c r="J561" s="169">
        <v>15000</v>
      </c>
      <c r="K561" s="160" t="s">
        <v>13</v>
      </c>
    </row>
    <row r="562" spans="1:11" ht="14.5" customHeight="1" x14ac:dyDescent="0.3">
      <c r="A562" s="160">
        <v>1</v>
      </c>
      <c r="B562" s="160" t="s">
        <v>3432</v>
      </c>
      <c r="C562" s="160" t="s">
        <v>3332</v>
      </c>
      <c r="D562" s="160" t="s">
        <v>3333</v>
      </c>
      <c r="E562" s="160" t="s">
        <v>3433</v>
      </c>
      <c r="F562" s="160" t="s">
        <v>3434</v>
      </c>
      <c r="G562" s="163">
        <v>1</v>
      </c>
      <c r="H562" s="160" t="s">
        <v>3435</v>
      </c>
      <c r="I562" s="164">
        <v>42615</v>
      </c>
      <c r="J562" s="166">
        <v>30000</v>
      </c>
      <c r="K562" s="168" t="s">
        <v>13</v>
      </c>
    </row>
    <row r="563" spans="1:11" x14ac:dyDescent="0.3">
      <c r="A563" s="160">
        <v>1</v>
      </c>
      <c r="B563" s="160" t="s">
        <v>3436</v>
      </c>
      <c r="C563" s="160" t="s">
        <v>3332</v>
      </c>
      <c r="D563" s="160" t="s">
        <v>3333</v>
      </c>
      <c r="E563" s="160" t="s">
        <v>3437</v>
      </c>
      <c r="F563" s="160" t="s">
        <v>3438</v>
      </c>
      <c r="G563" s="163">
        <v>1</v>
      </c>
      <c r="H563" s="160" t="s">
        <v>3439</v>
      </c>
      <c r="I563" s="164">
        <v>42417</v>
      </c>
      <c r="J563" s="166">
        <v>4000</v>
      </c>
      <c r="K563" s="175" t="s">
        <v>55</v>
      </c>
    </row>
    <row r="564" spans="1:11" ht="14.5" customHeight="1" x14ac:dyDescent="0.3">
      <c r="A564" s="160">
        <v>1</v>
      </c>
      <c r="B564" s="160" t="s">
        <v>3440</v>
      </c>
      <c r="C564" s="160" t="s">
        <v>3332</v>
      </c>
      <c r="D564" s="160" t="s">
        <v>3333</v>
      </c>
      <c r="E564" s="160" t="s">
        <v>3437</v>
      </c>
      <c r="F564" s="160" t="s">
        <v>3441</v>
      </c>
      <c r="G564" s="163">
        <v>2</v>
      </c>
      <c r="H564" s="160" t="s">
        <v>3439</v>
      </c>
      <c r="I564" s="164">
        <v>42656</v>
      </c>
      <c r="J564" s="166">
        <v>3000</v>
      </c>
      <c r="K564" s="175" t="s">
        <v>55</v>
      </c>
    </row>
    <row r="565" spans="1:11" x14ac:dyDescent="0.3">
      <c r="A565" s="160">
        <v>1</v>
      </c>
      <c r="B565" s="160" t="s">
        <v>3442</v>
      </c>
      <c r="C565" s="160" t="s">
        <v>3332</v>
      </c>
      <c r="D565" s="160" t="s">
        <v>3333</v>
      </c>
      <c r="E565" s="160" t="s">
        <v>3443</v>
      </c>
      <c r="F565" s="160" t="s">
        <v>3444</v>
      </c>
      <c r="G565" s="163">
        <v>1</v>
      </c>
      <c r="H565" s="160" t="s">
        <v>3445</v>
      </c>
      <c r="I565" s="164">
        <v>43021</v>
      </c>
      <c r="J565" s="169">
        <v>80000</v>
      </c>
      <c r="K565" s="160" t="s">
        <v>13</v>
      </c>
    </row>
    <row r="566" spans="1:11" x14ac:dyDescent="0.3">
      <c r="A566" s="160">
        <v>1</v>
      </c>
      <c r="B566" s="160" t="s">
        <v>3446</v>
      </c>
      <c r="C566" s="160" t="s">
        <v>3332</v>
      </c>
      <c r="D566" s="160" t="s">
        <v>3333</v>
      </c>
      <c r="E566" s="160" t="s">
        <v>3447</v>
      </c>
      <c r="F566" s="160" t="s">
        <v>3448</v>
      </c>
      <c r="G566" s="163">
        <v>1</v>
      </c>
      <c r="H566" s="160" t="s">
        <v>3449</v>
      </c>
      <c r="I566" s="164">
        <v>42734</v>
      </c>
      <c r="J566" s="166">
        <v>5000</v>
      </c>
      <c r="K566" s="168" t="s">
        <v>13</v>
      </c>
    </row>
    <row r="567" spans="1:11" x14ac:dyDescent="0.3">
      <c r="A567" s="160">
        <v>1</v>
      </c>
      <c r="B567" s="160" t="s">
        <v>3450</v>
      </c>
      <c r="C567" s="160" t="s">
        <v>3332</v>
      </c>
      <c r="D567" s="160" t="s">
        <v>3333</v>
      </c>
      <c r="E567" s="160" t="s">
        <v>3447</v>
      </c>
      <c r="F567" s="160" t="s">
        <v>3451</v>
      </c>
      <c r="G567" s="163">
        <v>2</v>
      </c>
      <c r="H567" s="160" t="s">
        <v>3449</v>
      </c>
      <c r="I567" s="164">
        <v>42993</v>
      </c>
      <c r="J567" s="169">
        <v>5000</v>
      </c>
      <c r="K567" s="160" t="s">
        <v>2410</v>
      </c>
    </row>
    <row r="568" spans="1:11" x14ac:dyDescent="0.3">
      <c r="A568" s="160">
        <v>1</v>
      </c>
      <c r="B568" s="160" t="s">
        <v>3452</v>
      </c>
      <c r="C568" s="160" t="s">
        <v>3332</v>
      </c>
      <c r="D568" s="160" t="s">
        <v>3333</v>
      </c>
      <c r="E568" s="160" t="s">
        <v>3447</v>
      </c>
      <c r="F568" s="160" t="s">
        <v>3453</v>
      </c>
      <c r="G568" s="163">
        <v>3</v>
      </c>
      <c r="H568" s="160" t="s">
        <v>3449</v>
      </c>
      <c r="I568" s="164">
        <v>43315</v>
      </c>
      <c r="J568" s="169">
        <v>5000</v>
      </c>
      <c r="K568" s="160" t="s">
        <v>2410</v>
      </c>
    </row>
    <row r="569" spans="1:11" x14ac:dyDescent="0.3">
      <c r="A569" s="160">
        <v>1</v>
      </c>
      <c r="B569" s="160">
        <v>31870</v>
      </c>
      <c r="C569" s="160" t="s">
        <v>3332</v>
      </c>
      <c r="D569" s="160" t="s">
        <v>3333</v>
      </c>
      <c r="E569" s="160" t="s">
        <v>3447</v>
      </c>
      <c r="F569" s="160" t="s">
        <v>3454</v>
      </c>
      <c r="G569" s="163">
        <v>4</v>
      </c>
      <c r="H569" s="160" t="s">
        <v>3449</v>
      </c>
      <c r="I569" s="164">
        <v>43521</v>
      </c>
      <c r="J569" s="169">
        <v>5000</v>
      </c>
      <c r="K569" s="160" t="s">
        <v>2410</v>
      </c>
    </row>
    <row r="570" spans="1:11" x14ac:dyDescent="0.3">
      <c r="A570" s="160">
        <v>1</v>
      </c>
      <c r="B570" s="160">
        <v>42814</v>
      </c>
      <c r="C570" s="160" t="s">
        <v>3332</v>
      </c>
      <c r="D570" s="160" t="s">
        <v>3333</v>
      </c>
      <c r="E570" s="160" t="s">
        <v>3447</v>
      </c>
      <c r="F570" s="160" t="s">
        <v>3455</v>
      </c>
      <c r="G570" s="163">
        <v>5</v>
      </c>
      <c r="H570" s="160" t="s">
        <v>3449</v>
      </c>
      <c r="I570" s="164">
        <v>43705</v>
      </c>
      <c r="J570" s="169">
        <v>6000</v>
      </c>
      <c r="K570" s="160" t="s">
        <v>2410</v>
      </c>
    </row>
    <row r="571" spans="1:11" x14ac:dyDescent="0.3">
      <c r="A571" s="160">
        <v>1</v>
      </c>
      <c r="B571" s="160">
        <v>89618</v>
      </c>
      <c r="C571" s="160" t="s">
        <v>3332</v>
      </c>
      <c r="D571" s="160" t="s">
        <v>3333</v>
      </c>
      <c r="E571" s="160" t="s">
        <v>3447</v>
      </c>
      <c r="F571" s="160" t="s">
        <v>3456</v>
      </c>
      <c r="G571" s="163">
        <v>6</v>
      </c>
      <c r="H571" s="160" t="s">
        <v>3449</v>
      </c>
      <c r="I571" s="164">
        <v>44239</v>
      </c>
      <c r="J571" s="169">
        <v>5000</v>
      </c>
      <c r="K571" s="160" t="s">
        <v>2410</v>
      </c>
    </row>
    <row r="572" spans="1:11" x14ac:dyDescent="0.3">
      <c r="A572" s="160">
        <v>1</v>
      </c>
      <c r="B572" s="160">
        <v>135263</v>
      </c>
      <c r="C572" s="160" t="s">
        <v>3332</v>
      </c>
      <c r="D572" s="160" t="s">
        <v>3333</v>
      </c>
      <c r="E572" s="160" t="s">
        <v>3447</v>
      </c>
      <c r="F572" s="160" t="s">
        <v>3457</v>
      </c>
      <c r="G572" s="163">
        <v>7</v>
      </c>
      <c r="H572" s="160" t="s">
        <v>3449</v>
      </c>
      <c r="I572" s="164">
        <v>44663</v>
      </c>
      <c r="J572" s="169">
        <v>10000</v>
      </c>
      <c r="K572" s="160" t="s">
        <v>2410</v>
      </c>
    </row>
    <row r="573" spans="1:11" x14ac:dyDescent="0.3">
      <c r="A573" s="160">
        <v>1</v>
      </c>
      <c r="B573" s="160" t="s">
        <v>3458</v>
      </c>
      <c r="C573" s="160" t="s">
        <v>3332</v>
      </c>
      <c r="D573" s="160" t="s">
        <v>3333</v>
      </c>
      <c r="E573" s="160" t="s">
        <v>3459</v>
      </c>
      <c r="F573" s="160" t="s">
        <v>3460</v>
      </c>
      <c r="G573" s="163">
        <v>1</v>
      </c>
      <c r="H573" s="160" t="s">
        <v>3461</v>
      </c>
      <c r="I573" s="164">
        <v>43020</v>
      </c>
      <c r="J573" s="169">
        <v>15000</v>
      </c>
      <c r="K573" s="160" t="s">
        <v>13</v>
      </c>
    </row>
    <row r="574" spans="1:11" x14ac:dyDescent="0.3">
      <c r="A574" s="160">
        <v>1</v>
      </c>
      <c r="B574" s="160" t="s">
        <v>3462</v>
      </c>
      <c r="C574" s="160" t="s">
        <v>3332</v>
      </c>
      <c r="D574" s="160" t="s">
        <v>3333</v>
      </c>
      <c r="E574" s="160" t="s">
        <v>3459</v>
      </c>
      <c r="F574" s="160" t="s">
        <v>3463</v>
      </c>
      <c r="G574" s="163">
        <v>2</v>
      </c>
      <c r="H574" s="160" t="s">
        <v>3461</v>
      </c>
      <c r="I574" s="164">
        <v>43056</v>
      </c>
      <c r="J574" s="169">
        <v>10000</v>
      </c>
      <c r="K574" s="160" t="s">
        <v>13</v>
      </c>
    </row>
    <row r="575" spans="1:11" ht="14.5" customHeight="1" x14ac:dyDescent="0.3">
      <c r="A575" s="160">
        <v>1</v>
      </c>
      <c r="B575" s="160">
        <v>133402</v>
      </c>
      <c r="C575" s="160" t="s">
        <v>3332</v>
      </c>
      <c r="D575" s="160" t="s">
        <v>3333</v>
      </c>
      <c r="E575" s="160" t="s">
        <v>3459</v>
      </c>
      <c r="F575" s="160" t="s">
        <v>3464</v>
      </c>
      <c r="G575" s="163">
        <v>3</v>
      </c>
      <c r="H575" s="160" t="s">
        <v>3461</v>
      </c>
      <c r="I575" s="164">
        <v>44648</v>
      </c>
      <c r="J575" s="169">
        <v>70000</v>
      </c>
      <c r="K575" s="160" t="s">
        <v>13</v>
      </c>
    </row>
    <row r="576" spans="1:11" ht="13" customHeight="1" x14ac:dyDescent="0.3">
      <c r="A576" s="160">
        <v>1</v>
      </c>
      <c r="B576" s="160">
        <v>3266940001</v>
      </c>
      <c r="C576" s="160" t="s">
        <v>3332</v>
      </c>
      <c r="D576" s="160" t="s">
        <v>3333</v>
      </c>
      <c r="E576" s="160" t="s">
        <v>3459</v>
      </c>
      <c r="F576" s="160" t="s">
        <v>3465</v>
      </c>
      <c r="G576" s="163">
        <v>4</v>
      </c>
      <c r="H576" s="160" t="s">
        <v>3461</v>
      </c>
      <c r="I576" s="164">
        <v>45672</v>
      </c>
      <c r="J576" s="169">
        <v>100000</v>
      </c>
      <c r="K576" s="160" t="s">
        <v>13</v>
      </c>
    </row>
    <row r="577" spans="1:11" ht="13" customHeight="1" x14ac:dyDescent="0.3">
      <c r="A577" s="160">
        <v>1</v>
      </c>
      <c r="B577" s="160" t="s">
        <v>3466</v>
      </c>
      <c r="C577" s="160" t="s">
        <v>3332</v>
      </c>
      <c r="D577" s="160" t="s">
        <v>3333</v>
      </c>
      <c r="E577" s="160" t="s">
        <v>3467</v>
      </c>
      <c r="F577" s="160" t="s">
        <v>3468</v>
      </c>
      <c r="G577" s="163">
        <v>1</v>
      </c>
      <c r="H577" s="160" t="s">
        <v>3469</v>
      </c>
      <c r="I577" s="164">
        <v>42482</v>
      </c>
      <c r="J577" s="166">
        <v>20000</v>
      </c>
      <c r="K577" s="168" t="s">
        <v>13</v>
      </c>
    </row>
    <row r="578" spans="1:11" ht="13" customHeight="1" x14ac:dyDescent="0.3">
      <c r="A578" s="160">
        <v>1</v>
      </c>
      <c r="B578" s="160" t="s">
        <v>3470</v>
      </c>
      <c r="C578" s="160" t="s">
        <v>3332</v>
      </c>
      <c r="D578" s="160" t="s">
        <v>3333</v>
      </c>
      <c r="E578" s="160" t="s">
        <v>3471</v>
      </c>
      <c r="F578" s="160" t="s">
        <v>3472</v>
      </c>
      <c r="G578" s="163">
        <v>1</v>
      </c>
      <c r="H578" s="160" t="s">
        <v>3473</v>
      </c>
      <c r="I578" s="164">
        <v>42593</v>
      </c>
      <c r="J578" s="166">
        <v>3000</v>
      </c>
      <c r="K578" s="170" t="s">
        <v>2410</v>
      </c>
    </row>
    <row r="579" spans="1:11" ht="13" customHeight="1" x14ac:dyDescent="0.3">
      <c r="A579" s="160">
        <v>1</v>
      </c>
      <c r="B579" s="160" t="s">
        <v>3474</v>
      </c>
      <c r="C579" s="160" t="s">
        <v>3332</v>
      </c>
      <c r="D579" s="160" t="s">
        <v>3333</v>
      </c>
      <c r="E579" s="160" t="s">
        <v>3471</v>
      </c>
      <c r="F579" s="160" t="s">
        <v>3475</v>
      </c>
      <c r="G579" s="163">
        <v>2</v>
      </c>
      <c r="H579" s="160" t="s">
        <v>3473</v>
      </c>
      <c r="I579" s="164">
        <v>43081</v>
      </c>
      <c r="J579" s="169">
        <v>50000</v>
      </c>
      <c r="K579" s="160" t="s">
        <v>70</v>
      </c>
    </row>
    <row r="580" spans="1:11" ht="13" customHeight="1" x14ac:dyDescent="0.3">
      <c r="A580" s="160">
        <v>1</v>
      </c>
      <c r="C580" s="160" t="s">
        <v>3476</v>
      </c>
      <c r="D580" s="160" t="s">
        <v>3477</v>
      </c>
      <c r="F580" s="160" t="s">
        <v>3478</v>
      </c>
      <c r="G580" s="163">
        <v>1</v>
      </c>
      <c r="H580" s="160" t="s">
        <v>3479</v>
      </c>
      <c r="I580" s="164">
        <v>40157</v>
      </c>
      <c r="J580" s="166">
        <v>2000</v>
      </c>
      <c r="K580" s="168" t="s">
        <v>13</v>
      </c>
    </row>
    <row r="581" spans="1:11" ht="13" customHeight="1" x14ac:dyDescent="0.3">
      <c r="A581" s="160">
        <v>1</v>
      </c>
      <c r="C581" s="160" t="s">
        <v>3476</v>
      </c>
      <c r="D581" s="160" t="s">
        <v>3477</v>
      </c>
      <c r="F581" s="160" t="s">
        <v>3480</v>
      </c>
      <c r="G581" s="163">
        <v>2</v>
      </c>
      <c r="H581" s="160" t="s">
        <v>3479</v>
      </c>
      <c r="I581" s="164">
        <v>40793</v>
      </c>
      <c r="J581" s="166">
        <v>10000</v>
      </c>
      <c r="K581" s="167" t="s">
        <v>70</v>
      </c>
    </row>
    <row r="582" spans="1:11" ht="13" customHeight="1" x14ac:dyDescent="0.3">
      <c r="A582" s="160">
        <v>1</v>
      </c>
      <c r="B582" s="160" t="s">
        <v>3481</v>
      </c>
      <c r="C582" s="160" t="s">
        <v>2438</v>
      </c>
      <c r="D582" s="160" t="s">
        <v>3482</v>
      </c>
      <c r="E582" s="160" t="s">
        <v>3483</v>
      </c>
      <c r="F582" s="160" t="s">
        <v>3484</v>
      </c>
      <c r="G582" s="163">
        <v>1</v>
      </c>
      <c r="H582" s="160" t="s">
        <v>3485</v>
      </c>
      <c r="I582" s="164">
        <v>42584</v>
      </c>
      <c r="J582" s="166">
        <v>35000</v>
      </c>
      <c r="K582" s="168" t="s">
        <v>13</v>
      </c>
    </row>
    <row r="583" spans="1:11" ht="13" customHeight="1" x14ac:dyDescent="0.3">
      <c r="A583" s="160">
        <v>1</v>
      </c>
      <c r="B583" s="160">
        <v>1221610001</v>
      </c>
      <c r="C583" s="160" t="s">
        <v>2438</v>
      </c>
      <c r="D583" s="160" t="s">
        <v>3482</v>
      </c>
      <c r="F583" s="160" t="s">
        <v>3486</v>
      </c>
      <c r="G583" s="163">
        <v>1</v>
      </c>
      <c r="H583" s="160" t="s">
        <v>1969</v>
      </c>
      <c r="I583" s="164">
        <v>45504</v>
      </c>
      <c r="J583" s="165">
        <v>80000</v>
      </c>
      <c r="K583" s="160" t="s">
        <v>13</v>
      </c>
    </row>
    <row r="584" spans="1:11" ht="13" customHeight="1" x14ac:dyDescent="0.3">
      <c r="A584" s="160">
        <v>1</v>
      </c>
      <c r="B584" s="160">
        <v>3156030001</v>
      </c>
      <c r="C584" s="160" t="s">
        <v>2438</v>
      </c>
      <c r="D584" s="160" t="s">
        <v>3482</v>
      </c>
      <c r="F584" s="160" t="s">
        <v>3487</v>
      </c>
      <c r="G584" s="163">
        <v>1</v>
      </c>
      <c r="H584" s="160" t="s">
        <v>3488</v>
      </c>
      <c r="I584" s="164">
        <v>45378</v>
      </c>
      <c r="J584" s="169">
        <v>50000</v>
      </c>
      <c r="K584" s="160" t="s">
        <v>13</v>
      </c>
    </row>
    <row r="585" spans="1:11" ht="13" customHeight="1" x14ac:dyDescent="0.3">
      <c r="A585" s="160">
        <v>1</v>
      </c>
      <c r="B585" s="160">
        <v>3156030002</v>
      </c>
      <c r="C585" s="160" t="s">
        <v>2438</v>
      </c>
      <c r="D585" s="160" t="s">
        <v>3482</v>
      </c>
      <c r="F585" s="160" t="s">
        <v>3489</v>
      </c>
      <c r="G585" s="163">
        <v>2</v>
      </c>
      <c r="H585" s="160" t="s">
        <v>3488</v>
      </c>
      <c r="I585" s="164">
        <v>45749</v>
      </c>
      <c r="J585" s="169">
        <v>100000</v>
      </c>
      <c r="K585" s="160" t="s">
        <v>13</v>
      </c>
    </row>
    <row r="586" spans="1:11" ht="13" customHeight="1" x14ac:dyDescent="0.3">
      <c r="A586" s="160">
        <v>1</v>
      </c>
      <c r="B586" s="160">
        <v>5743110002</v>
      </c>
      <c r="C586" s="160" t="s">
        <v>2438</v>
      </c>
      <c r="D586" s="160" t="s">
        <v>3482</v>
      </c>
      <c r="F586" s="160" t="s">
        <v>3490</v>
      </c>
      <c r="G586" s="163">
        <v>1</v>
      </c>
      <c r="H586" s="160" t="s">
        <v>3491</v>
      </c>
      <c r="I586" s="164">
        <v>45250</v>
      </c>
      <c r="J586" s="165">
        <v>100000</v>
      </c>
      <c r="K586" s="160" t="s">
        <v>13</v>
      </c>
    </row>
    <row r="587" spans="1:11" ht="13" customHeight="1" x14ac:dyDescent="0.3">
      <c r="A587" s="160">
        <v>1</v>
      </c>
      <c r="B587" s="160">
        <v>3614790001</v>
      </c>
      <c r="C587" s="160" t="s">
        <v>2438</v>
      </c>
      <c r="D587" s="160" t="s">
        <v>3482</v>
      </c>
      <c r="F587" s="160" t="s">
        <v>3492</v>
      </c>
      <c r="G587" s="163">
        <v>1</v>
      </c>
      <c r="H587" s="160" t="s">
        <v>3493</v>
      </c>
      <c r="I587" s="164">
        <v>45860</v>
      </c>
      <c r="J587" s="165">
        <v>50000</v>
      </c>
      <c r="K587" s="160" t="s">
        <v>13</v>
      </c>
    </row>
    <row r="588" spans="1:11" ht="13" customHeight="1" x14ac:dyDescent="0.3">
      <c r="A588" s="160">
        <v>1</v>
      </c>
      <c r="B588" s="160">
        <v>6510180002</v>
      </c>
      <c r="C588" s="160" t="s">
        <v>2438</v>
      </c>
      <c r="D588" s="160" t="s">
        <v>3482</v>
      </c>
      <c r="F588" s="160" t="s">
        <v>3494</v>
      </c>
      <c r="G588" s="163">
        <v>1</v>
      </c>
      <c r="H588" s="160" t="s">
        <v>2020</v>
      </c>
      <c r="I588" s="164">
        <v>45923</v>
      </c>
      <c r="J588" s="165">
        <v>65000</v>
      </c>
      <c r="K588" s="160" t="s">
        <v>13</v>
      </c>
    </row>
    <row r="589" spans="1:11" ht="13" customHeight="1" x14ac:dyDescent="0.3">
      <c r="A589" s="160">
        <v>1</v>
      </c>
      <c r="B589" s="160">
        <v>5391590001</v>
      </c>
      <c r="C589" s="160" t="s">
        <v>2438</v>
      </c>
      <c r="D589" s="160" t="s">
        <v>3482</v>
      </c>
      <c r="F589" s="160" t="s">
        <v>3495</v>
      </c>
      <c r="G589" s="163">
        <v>1</v>
      </c>
      <c r="H589" s="160" t="s">
        <v>3496</v>
      </c>
      <c r="I589" s="164">
        <v>45730</v>
      </c>
      <c r="J589" s="165">
        <v>200000</v>
      </c>
      <c r="K589" s="160" t="s">
        <v>13</v>
      </c>
    </row>
    <row r="590" spans="1:11" ht="13" customHeight="1" x14ac:dyDescent="0.3">
      <c r="A590" s="160">
        <v>1</v>
      </c>
      <c r="B590" s="160">
        <v>11194870</v>
      </c>
      <c r="C590" s="160" t="s">
        <v>2438</v>
      </c>
      <c r="D590" s="160" t="s">
        <v>3482</v>
      </c>
      <c r="F590" s="160" t="s">
        <v>3497</v>
      </c>
      <c r="G590" s="163">
        <v>1</v>
      </c>
      <c r="H590" s="160" t="s">
        <v>3498</v>
      </c>
      <c r="I590" s="164">
        <v>45112</v>
      </c>
      <c r="J590" s="169">
        <v>80000</v>
      </c>
      <c r="K590" s="160" t="s">
        <v>70</v>
      </c>
    </row>
    <row r="591" spans="1:11" ht="13" customHeight="1" x14ac:dyDescent="0.3">
      <c r="A591" s="160">
        <v>1</v>
      </c>
      <c r="B591" s="160">
        <v>5951270001</v>
      </c>
      <c r="C591" s="160" t="s">
        <v>2438</v>
      </c>
      <c r="D591" s="160" t="s">
        <v>3482</v>
      </c>
      <c r="F591" s="160" t="s">
        <v>3499</v>
      </c>
      <c r="G591" s="163">
        <v>1</v>
      </c>
      <c r="H591" s="160" t="s">
        <v>1397</v>
      </c>
      <c r="I591" s="164">
        <v>45120</v>
      </c>
      <c r="J591" s="169">
        <v>25000</v>
      </c>
      <c r="K591" s="160" t="s">
        <v>13</v>
      </c>
    </row>
    <row r="592" spans="1:11" ht="13" customHeight="1" x14ac:dyDescent="0.3">
      <c r="A592" s="160">
        <v>1</v>
      </c>
      <c r="B592" s="160">
        <v>5951270002</v>
      </c>
      <c r="C592" s="160" t="s">
        <v>2438</v>
      </c>
      <c r="D592" s="160" t="s">
        <v>3482</v>
      </c>
      <c r="F592" s="160" t="s">
        <v>3500</v>
      </c>
      <c r="G592" s="163">
        <v>2</v>
      </c>
      <c r="H592" s="160" t="s">
        <v>1397</v>
      </c>
      <c r="I592" s="164">
        <v>45404</v>
      </c>
      <c r="J592" s="169">
        <v>50000</v>
      </c>
      <c r="K592" s="160" t="s">
        <v>13</v>
      </c>
    </row>
    <row r="593" spans="1:11" ht="13" customHeight="1" x14ac:dyDescent="0.3">
      <c r="A593" s="160">
        <v>1</v>
      </c>
      <c r="B593" s="160">
        <v>5951270003</v>
      </c>
      <c r="C593" s="160" t="s">
        <v>2438</v>
      </c>
      <c r="D593" s="160" t="s">
        <v>3482</v>
      </c>
      <c r="F593" s="160" t="s">
        <v>3501</v>
      </c>
      <c r="G593" s="163">
        <v>3</v>
      </c>
      <c r="H593" s="160" t="s">
        <v>1397</v>
      </c>
      <c r="I593" s="164">
        <v>45916</v>
      </c>
      <c r="J593" s="169">
        <v>50000</v>
      </c>
      <c r="K593" s="160" t="s">
        <v>70</v>
      </c>
    </row>
    <row r="594" spans="1:11" ht="13" customHeight="1" x14ac:dyDescent="0.3">
      <c r="A594" s="160">
        <v>1</v>
      </c>
      <c r="B594" s="160">
        <v>3342180001</v>
      </c>
      <c r="C594" s="160" t="s">
        <v>2438</v>
      </c>
      <c r="D594" s="160" t="s">
        <v>3482</v>
      </c>
      <c r="F594" s="160" t="s">
        <v>3502</v>
      </c>
      <c r="G594" s="163">
        <v>1</v>
      </c>
      <c r="H594" s="160" t="s">
        <v>1814</v>
      </c>
      <c r="I594" s="164">
        <v>45401</v>
      </c>
      <c r="J594" s="169">
        <v>10000</v>
      </c>
      <c r="K594" s="160" t="s">
        <v>13</v>
      </c>
    </row>
    <row r="595" spans="1:11" ht="13" customHeight="1" x14ac:dyDescent="0.3">
      <c r="A595" s="160">
        <v>1</v>
      </c>
      <c r="B595" s="160">
        <v>6260400001</v>
      </c>
      <c r="C595" s="160" t="s">
        <v>2438</v>
      </c>
      <c r="D595" s="160" t="s">
        <v>3482</v>
      </c>
      <c r="F595" s="160" t="s">
        <v>3503</v>
      </c>
      <c r="G595" s="163">
        <v>1</v>
      </c>
      <c r="H595" s="160" t="s">
        <v>1847</v>
      </c>
      <c r="I595" s="164">
        <v>45838</v>
      </c>
      <c r="J595" s="169">
        <v>100000</v>
      </c>
      <c r="K595" s="160" t="s">
        <v>13</v>
      </c>
    </row>
    <row r="596" spans="1:11" ht="13" customHeight="1" x14ac:dyDescent="0.3">
      <c r="A596" s="160">
        <v>1</v>
      </c>
      <c r="B596" s="160">
        <v>5491750001</v>
      </c>
      <c r="C596" s="160" t="s">
        <v>2438</v>
      </c>
      <c r="D596" s="160" t="s">
        <v>3482</v>
      </c>
      <c r="F596" s="160" t="s">
        <v>3504</v>
      </c>
      <c r="G596" s="163">
        <v>1</v>
      </c>
      <c r="H596" s="160" t="s">
        <v>884</v>
      </c>
      <c r="I596" s="164">
        <v>45411</v>
      </c>
      <c r="J596" s="169">
        <v>100000</v>
      </c>
      <c r="K596" s="160" t="s">
        <v>13</v>
      </c>
    </row>
    <row r="597" spans="1:11" ht="13" customHeight="1" x14ac:dyDescent="0.3">
      <c r="A597" s="160">
        <v>1</v>
      </c>
      <c r="B597" s="160">
        <v>5491750002</v>
      </c>
      <c r="C597" s="160" t="s">
        <v>2438</v>
      </c>
      <c r="D597" s="160" t="s">
        <v>3482</v>
      </c>
      <c r="F597" s="160" t="s">
        <v>3505</v>
      </c>
      <c r="G597" s="163">
        <v>2</v>
      </c>
      <c r="H597" s="160" t="s">
        <v>884</v>
      </c>
      <c r="I597" s="164">
        <v>45805</v>
      </c>
      <c r="J597" s="169">
        <v>100000</v>
      </c>
      <c r="K597" s="160" t="s">
        <v>13</v>
      </c>
    </row>
    <row r="598" spans="1:11" ht="13" customHeight="1" x14ac:dyDescent="0.3">
      <c r="A598" s="160">
        <v>1</v>
      </c>
      <c r="B598" s="160">
        <v>6398880002</v>
      </c>
      <c r="C598" s="160" t="s">
        <v>2573</v>
      </c>
      <c r="D598" s="160" t="s">
        <v>3482</v>
      </c>
      <c r="F598" s="160" t="s">
        <v>3506</v>
      </c>
      <c r="G598" s="163">
        <v>1</v>
      </c>
      <c r="H598" s="160" t="s">
        <v>3507</v>
      </c>
      <c r="I598" s="164">
        <v>45875</v>
      </c>
      <c r="J598" s="169">
        <v>100000</v>
      </c>
      <c r="K598" s="160" t="s">
        <v>13</v>
      </c>
    </row>
    <row r="599" spans="1:11" ht="13" customHeight="1" x14ac:dyDescent="0.3">
      <c r="A599" s="160">
        <v>1</v>
      </c>
      <c r="B599" s="160">
        <v>1359730001</v>
      </c>
      <c r="C599" s="160" t="s">
        <v>2438</v>
      </c>
      <c r="D599" s="160" t="s">
        <v>3482</v>
      </c>
      <c r="F599" s="160" t="s">
        <v>3508</v>
      </c>
      <c r="G599" s="163">
        <v>1</v>
      </c>
      <c r="H599" s="160" t="s">
        <v>1905</v>
      </c>
      <c r="I599" s="164">
        <v>45484</v>
      </c>
      <c r="J599" s="169">
        <v>10000</v>
      </c>
      <c r="K599" s="160" t="s">
        <v>13</v>
      </c>
    </row>
    <row r="600" spans="1:11" ht="13" customHeight="1" x14ac:dyDescent="0.3">
      <c r="A600" s="160">
        <v>1</v>
      </c>
      <c r="B600" s="160">
        <v>11500794</v>
      </c>
      <c r="C600" s="160" t="s">
        <v>2438</v>
      </c>
      <c r="D600" s="160" t="s">
        <v>3482</v>
      </c>
      <c r="F600" s="160" t="s">
        <v>3509</v>
      </c>
      <c r="G600" s="163">
        <v>1</v>
      </c>
      <c r="H600" s="160" t="s">
        <v>1424</v>
      </c>
      <c r="I600" s="164">
        <v>45119</v>
      </c>
      <c r="J600" s="169">
        <v>150000</v>
      </c>
      <c r="K600" s="160" t="s">
        <v>13</v>
      </c>
    </row>
    <row r="601" spans="1:11" ht="13" customHeight="1" x14ac:dyDescent="0.3">
      <c r="A601" s="160">
        <v>1</v>
      </c>
      <c r="B601" s="160">
        <v>5476050002</v>
      </c>
      <c r="C601" s="160" t="s">
        <v>2438</v>
      </c>
      <c r="D601" s="160" t="s">
        <v>3482</v>
      </c>
      <c r="F601" s="160" t="s">
        <v>3510</v>
      </c>
      <c r="G601" s="163">
        <v>2</v>
      </c>
      <c r="H601" s="160" t="s">
        <v>1424</v>
      </c>
      <c r="I601" s="164">
        <v>45275</v>
      </c>
      <c r="J601" s="169">
        <v>100000</v>
      </c>
      <c r="K601" s="160" t="s">
        <v>13</v>
      </c>
    </row>
    <row r="602" spans="1:11" ht="13" customHeight="1" x14ac:dyDescent="0.3">
      <c r="A602" s="160">
        <v>1</v>
      </c>
      <c r="B602" s="160">
        <v>5476050003</v>
      </c>
      <c r="C602" s="160" t="s">
        <v>2438</v>
      </c>
      <c r="D602" s="160" t="s">
        <v>3482</v>
      </c>
      <c r="F602" s="160" t="s">
        <v>3511</v>
      </c>
      <c r="G602" s="163">
        <v>3</v>
      </c>
      <c r="H602" s="160" t="s">
        <v>1424</v>
      </c>
      <c r="I602" s="164">
        <v>45447</v>
      </c>
      <c r="J602" s="169">
        <v>400000</v>
      </c>
      <c r="K602" s="160" t="s">
        <v>13</v>
      </c>
    </row>
    <row r="603" spans="1:11" ht="13" customHeight="1" x14ac:dyDescent="0.3">
      <c r="A603" s="160">
        <v>1</v>
      </c>
      <c r="B603" s="160">
        <v>5476050005</v>
      </c>
      <c r="C603" s="160" t="s">
        <v>2438</v>
      </c>
      <c r="D603" s="160" t="s">
        <v>3482</v>
      </c>
      <c r="F603" s="160" t="s">
        <v>3512</v>
      </c>
      <c r="G603" s="163">
        <v>4</v>
      </c>
      <c r="H603" s="160" t="s">
        <v>1424</v>
      </c>
      <c r="I603" s="164">
        <v>45565</v>
      </c>
      <c r="J603" s="169">
        <v>500000</v>
      </c>
      <c r="K603" s="160" t="s">
        <v>13</v>
      </c>
    </row>
    <row r="604" spans="1:11" ht="13" customHeight="1" x14ac:dyDescent="0.3">
      <c r="A604" s="160">
        <v>1</v>
      </c>
      <c r="B604" s="160">
        <v>5476050007</v>
      </c>
      <c r="C604" s="160" t="s">
        <v>2438</v>
      </c>
      <c r="D604" s="160" t="s">
        <v>3482</v>
      </c>
      <c r="F604" s="160" t="s">
        <v>3513</v>
      </c>
      <c r="G604" s="163">
        <v>5</v>
      </c>
      <c r="H604" s="160" t="s">
        <v>1424</v>
      </c>
      <c r="I604" s="164">
        <v>45737</v>
      </c>
      <c r="J604" s="169">
        <v>400000</v>
      </c>
      <c r="K604" s="160" t="s">
        <v>13</v>
      </c>
    </row>
    <row r="605" spans="1:11" ht="13" customHeight="1" x14ac:dyDescent="0.3">
      <c r="A605" s="160">
        <v>1</v>
      </c>
      <c r="B605" s="160">
        <v>5476050008</v>
      </c>
      <c r="C605" s="160" t="s">
        <v>2438</v>
      </c>
      <c r="D605" s="160" t="s">
        <v>3482</v>
      </c>
      <c r="F605" s="160" t="s">
        <v>3514</v>
      </c>
      <c r="G605" s="163">
        <v>6</v>
      </c>
      <c r="H605" s="160" t="s">
        <v>1424</v>
      </c>
      <c r="I605" s="164">
        <v>45831</v>
      </c>
      <c r="J605" s="169">
        <v>500000</v>
      </c>
      <c r="K605" s="160" t="s">
        <v>13</v>
      </c>
    </row>
    <row r="606" spans="1:11" ht="13" customHeight="1" x14ac:dyDescent="0.3">
      <c r="A606" s="160">
        <v>1</v>
      </c>
      <c r="B606" s="160">
        <v>4830180001</v>
      </c>
      <c r="C606" s="160" t="s">
        <v>2438</v>
      </c>
      <c r="D606" s="160" t="s">
        <v>3482</v>
      </c>
      <c r="F606" s="160" t="s">
        <v>3515</v>
      </c>
      <c r="G606" s="163">
        <v>1</v>
      </c>
      <c r="H606" s="160" t="s">
        <v>3516</v>
      </c>
      <c r="I606" s="164">
        <v>45168</v>
      </c>
      <c r="J606" s="169">
        <v>150000</v>
      </c>
      <c r="K606" s="160" t="s">
        <v>13</v>
      </c>
    </row>
    <row r="607" spans="1:11" ht="13" customHeight="1" x14ac:dyDescent="0.3">
      <c r="A607" s="160">
        <v>1</v>
      </c>
      <c r="B607" s="160">
        <v>2874150002</v>
      </c>
      <c r="C607" s="160" t="s">
        <v>2438</v>
      </c>
      <c r="D607" s="160" t="s">
        <v>3482</v>
      </c>
      <c r="F607" s="160" t="s">
        <v>3517</v>
      </c>
      <c r="G607" s="163">
        <v>1</v>
      </c>
      <c r="H607" s="160" t="s">
        <v>3518</v>
      </c>
      <c r="I607" s="164">
        <v>45806</v>
      </c>
      <c r="J607" s="169">
        <v>200000</v>
      </c>
      <c r="K607" s="160" t="s">
        <v>13</v>
      </c>
    </row>
    <row r="608" spans="1:11" ht="13" customHeight="1" x14ac:dyDescent="0.3">
      <c r="A608" s="160">
        <v>1</v>
      </c>
      <c r="B608" s="160">
        <v>5394740001</v>
      </c>
      <c r="C608" s="160" t="s">
        <v>2438</v>
      </c>
      <c r="D608" s="160" t="s">
        <v>3482</v>
      </c>
      <c r="F608" s="160" t="s">
        <v>3519</v>
      </c>
      <c r="G608" s="163">
        <v>1</v>
      </c>
      <c r="H608" s="160" t="s">
        <v>3520</v>
      </c>
      <c r="I608" s="164">
        <v>45133</v>
      </c>
      <c r="J608" s="169">
        <v>10000</v>
      </c>
      <c r="K608" s="160" t="s">
        <v>2410</v>
      </c>
    </row>
    <row r="609" spans="1:11" ht="13" customHeight="1" x14ac:dyDescent="0.3">
      <c r="A609" s="160">
        <v>1</v>
      </c>
      <c r="B609" s="160" t="s">
        <v>3521</v>
      </c>
      <c r="C609" s="160" t="s">
        <v>2438</v>
      </c>
      <c r="D609" s="160" t="s">
        <v>3482</v>
      </c>
      <c r="E609" s="160" t="s">
        <v>3522</v>
      </c>
      <c r="F609" s="160" t="s">
        <v>3523</v>
      </c>
      <c r="G609" s="163">
        <v>1</v>
      </c>
      <c r="H609" s="160" t="s">
        <v>3524</v>
      </c>
      <c r="I609" s="164">
        <v>42978</v>
      </c>
      <c r="J609" s="169">
        <v>30000</v>
      </c>
      <c r="K609" s="160" t="s">
        <v>13</v>
      </c>
    </row>
    <row r="610" spans="1:11" ht="13" customHeight="1" x14ac:dyDescent="0.3">
      <c r="A610" s="160">
        <v>1</v>
      </c>
      <c r="B610" s="160">
        <v>4274600001</v>
      </c>
      <c r="C610" s="160" t="s">
        <v>2438</v>
      </c>
      <c r="D610" s="160" t="s">
        <v>3482</v>
      </c>
      <c r="F610" s="160" t="s">
        <v>3525</v>
      </c>
      <c r="G610" s="163">
        <v>1</v>
      </c>
      <c r="H610" s="160" t="s">
        <v>3526</v>
      </c>
      <c r="I610" s="164">
        <v>45429</v>
      </c>
      <c r="J610" s="169">
        <v>250000</v>
      </c>
      <c r="K610" s="160" t="s">
        <v>13</v>
      </c>
    </row>
    <row r="611" spans="1:11" ht="13" customHeight="1" x14ac:dyDescent="0.3">
      <c r="A611" s="160">
        <v>1</v>
      </c>
      <c r="B611" s="160">
        <v>6706210001</v>
      </c>
      <c r="C611" s="160" t="s">
        <v>2438</v>
      </c>
      <c r="D611" s="160" t="s">
        <v>3482</v>
      </c>
      <c r="F611" s="160" t="s">
        <v>3527</v>
      </c>
      <c r="G611" s="163">
        <v>1</v>
      </c>
      <c r="H611" s="160" t="s">
        <v>3528</v>
      </c>
      <c r="I611" s="164">
        <v>45824</v>
      </c>
      <c r="J611" s="169">
        <v>40000</v>
      </c>
      <c r="K611" s="160" t="s">
        <v>13</v>
      </c>
    </row>
    <row r="612" spans="1:11" ht="13" customHeight="1" x14ac:dyDescent="0.3">
      <c r="A612" s="160">
        <v>1</v>
      </c>
      <c r="B612" s="160">
        <v>6147810001</v>
      </c>
      <c r="C612" s="160" t="s">
        <v>2438</v>
      </c>
      <c r="D612" s="160" t="s">
        <v>3482</v>
      </c>
      <c r="F612" s="160" t="s">
        <v>3529</v>
      </c>
      <c r="G612" s="163">
        <v>1</v>
      </c>
      <c r="H612" s="160" t="s">
        <v>1723</v>
      </c>
      <c r="I612" s="164">
        <v>45259</v>
      </c>
      <c r="J612" s="169">
        <v>100000</v>
      </c>
      <c r="K612" s="160" t="s">
        <v>13</v>
      </c>
    </row>
    <row r="613" spans="1:11" x14ac:dyDescent="0.3">
      <c r="A613" s="160">
        <v>1</v>
      </c>
      <c r="B613" s="160">
        <v>6147810002</v>
      </c>
      <c r="C613" s="160" t="s">
        <v>2438</v>
      </c>
      <c r="D613" s="160" t="s">
        <v>3482</v>
      </c>
      <c r="F613" s="160" t="s">
        <v>3530</v>
      </c>
      <c r="G613" s="163">
        <v>2</v>
      </c>
      <c r="H613" s="160" t="s">
        <v>1723</v>
      </c>
      <c r="I613" s="164">
        <v>45355</v>
      </c>
      <c r="J613" s="169">
        <v>30000</v>
      </c>
      <c r="K613" s="160" t="s">
        <v>13</v>
      </c>
    </row>
    <row r="614" spans="1:11" x14ac:dyDescent="0.3">
      <c r="A614" s="160">
        <v>1</v>
      </c>
      <c r="B614" s="160">
        <v>6147810003</v>
      </c>
      <c r="C614" s="160" t="s">
        <v>2438</v>
      </c>
      <c r="D614" s="160" t="s">
        <v>3482</v>
      </c>
      <c r="F614" s="160" t="s">
        <v>3531</v>
      </c>
      <c r="G614" s="163">
        <v>3</v>
      </c>
      <c r="H614" s="160" t="s">
        <v>1723</v>
      </c>
      <c r="I614" s="164">
        <v>45751</v>
      </c>
      <c r="J614" s="169">
        <v>50000</v>
      </c>
      <c r="K614" s="160" t="s">
        <v>13</v>
      </c>
    </row>
    <row r="615" spans="1:11" x14ac:dyDescent="0.3">
      <c r="A615" s="160">
        <v>1</v>
      </c>
      <c r="B615" s="160">
        <v>3477400003</v>
      </c>
      <c r="C615" s="160" t="s">
        <v>2438</v>
      </c>
      <c r="D615" s="160" t="s">
        <v>3482</v>
      </c>
      <c r="F615" s="160" t="s">
        <v>3532</v>
      </c>
      <c r="G615" s="163">
        <v>1</v>
      </c>
      <c r="H615" s="160" t="s">
        <v>1857</v>
      </c>
      <c r="I615" s="164">
        <v>45793</v>
      </c>
      <c r="J615" s="169">
        <v>200000</v>
      </c>
      <c r="K615" s="160" t="s">
        <v>13</v>
      </c>
    </row>
    <row r="616" spans="1:11" x14ac:dyDescent="0.3">
      <c r="A616" s="160">
        <v>1</v>
      </c>
      <c r="B616" s="160">
        <v>52094</v>
      </c>
      <c r="C616" s="160" t="s">
        <v>3533</v>
      </c>
      <c r="D616" s="160" t="s">
        <v>3534</v>
      </c>
      <c r="E616" s="160" t="s">
        <v>3535</v>
      </c>
      <c r="F616" s="160" t="s">
        <v>3536</v>
      </c>
      <c r="G616" s="163">
        <v>1</v>
      </c>
      <c r="H616" s="160" t="s">
        <v>3537</v>
      </c>
      <c r="I616" s="164">
        <v>43796</v>
      </c>
      <c r="J616" s="169">
        <v>40000</v>
      </c>
      <c r="K616" s="160" t="s">
        <v>13</v>
      </c>
    </row>
    <row r="617" spans="1:11" x14ac:dyDescent="0.3">
      <c r="A617" s="160">
        <v>1</v>
      </c>
      <c r="C617" s="160" t="s">
        <v>3533</v>
      </c>
      <c r="D617" s="160" t="s">
        <v>3534</v>
      </c>
      <c r="F617" s="160" t="s">
        <v>3538</v>
      </c>
      <c r="G617" s="163">
        <v>1</v>
      </c>
      <c r="H617" s="160" t="s">
        <v>3539</v>
      </c>
      <c r="I617" s="164">
        <v>40735</v>
      </c>
      <c r="J617" s="166">
        <v>10000</v>
      </c>
      <c r="K617" s="168" t="s">
        <v>13</v>
      </c>
    </row>
    <row r="618" spans="1:11" ht="13" customHeight="1" x14ac:dyDescent="0.3">
      <c r="A618" s="160">
        <v>1</v>
      </c>
      <c r="C618" s="160" t="s">
        <v>3533</v>
      </c>
      <c r="D618" s="160" t="s">
        <v>3534</v>
      </c>
      <c r="F618" s="160" t="s">
        <v>3540</v>
      </c>
      <c r="G618" s="163">
        <v>1</v>
      </c>
      <c r="H618" s="160" t="s">
        <v>3541</v>
      </c>
      <c r="I618" s="164">
        <v>40735</v>
      </c>
      <c r="J618" s="166">
        <v>10000</v>
      </c>
      <c r="K618" s="167" t="s">
        <v>70</v>
      </c>
    </row>
    <row r="619" spans="1:11" ht="13" customHeight="1" x14ac:dyDescent="0.3">
      <c r="A619" s="160">
        <v>1</v>
      </c>
      <c r="B619" s="160">
        <v>60336</v>
      </c>
      <c r="C619" s="160" t="s">
        <v>3533</v>
      </c>
      <c r="D619" s="160" t="s">
        <v>3534</v>
      </c>
      <c r="F619" s="160" t="s">
        <v>3542</v>
      </c>
      <c r="G619" s="163">
        <v>1</v>
      </c>
      <c r="H619" s="160" t="s">
        <v>3543</v>
      </c>
      <c r="I619" s="164">
        <v>43899</v>
      </c>
      <c r="J619" s="169">
        <v>40000</v>
      </c>
      <c r="K619" s="160" t="s">
        <v>13</v>
      </c>
    </row>
    <row r="620" spans="1:11" ht="13" customHeight="1" x14ac:dyDescent="0.3">
      <c r="A620" s="160">
        <v>1</v>
      </c>
      <c r="B620" s="160">
        <v>135097</v>
      </c>
      <c r="C620" s="160" t="s">
        <v>3533</v>
      </c>
      <c r="D620" s="160" t="s">
        <v>3534</v>
      </c>
      <c r="F620" s="160" t="s">
        <v>3544</v>
      </c>
      <c r="G620" s="163">
        <v>2</v>
      </c>
      <c r="H620" s="160" t="s">
        <v>3543</v>
      </c>
      <c r="I620" s="164">
        <v>44659</v>
      </c>
      <c r="J620" s="169">
        <v>60000</v>
      </c>
      <c r="K620" s="160" t="s">
        <v>70</v>
      </c>
    </row>
    <row r="621" spans="1:11" ht="13" customHeight="1" x14ac:dyDescent="0.3">
      <c r="A621" s="160">
        <v>1</v>
      </c>
      <c r="B621" s="160">
        <v>4248070001</v>
      </c>
      <c r="C621" s="160" t="s">
        <v>3533</v>
      </c>
      <c r="D621" s="160" t="s">
        <v>3534</v>
      </c>
      <c r="F621" s="160" t="s">
        <v>3545</v>
      </c>
      <c r="G621" s="163">
        <v>3</v>
      </c>
      <c r="H621" s="160" t="s">
        <v>3543</v>
      </c>
      <c r="I621" s="164">
        <v>45883</v>
      </c>
      <c r="J621" s="169">
        <v>320000</v>
      </c>
      <c r="K621" s="160" t="s">
        <v>70</v>
      </c>
    </row>
    <row r="622" spans="1:11" x14ac:dyDescent="0.3">
      <c r="A622" s="160">
        <v>1</v>
      </c>
      <c r="C622" s="160" t="s">
        <v>3546</v>
      </c>
      <c r="D622" s="160" t="s">
        <v>3534</v>
      </c>
      <c r="E622" s="160" t="s">
        <v>3547</v>
      </c>
      <c r="F622" s="160" t="s">
        <v>3548</v>
      </c>
      <c r="G622" s="163">
        <v>1</v>
      </c>
      <c r="H622" s="160" t="s">
        <v>3549</v>
      </c>
      <c r="I622" s="164">
        <v>40886</v>
      </c>
      <c r="J622" s="166">
        <v>8000</v>
      </c>
      <c r="K622" s="168" t="s">
        <v>13</v>
      </c>
    </row>
    <row r="623" spans="1:11" x14ac:dyDescent="0.3">
      <c r="A623" s="160">
        <v>1</v>
      </c>
      <c r="B623" s="160" t="s">
        <v>3550</v>
      </c>
      <c r="C623" s="160" t="s">
        <v>3533</v>
      </c>
      <c r="D623" s="160" t="s">
        <v>3534</v>
      </c>
      <c r="E623" s="160" t="s">
        <v>3547</v>
      </c>
      <c r="F623" s="160" t="s">
        <v>3551</v>
      </c>
      <c r="G623" s="163">
        <v>2</v>
      </c>
      <c r="H623" s="160" t="s">
        <v>3552</v>
      </c>
      <c r="I623" s="164">
        <v>42661</v>
      </c>
      <c r="J623" s="166">
        <v>6000</v>
      </c>
      <c r="K623" s="167" t="s">
        <v>70</v>
      </c>
    </row>
    <row r="624" spans="1:11" x14ac:dyDescent="0.3">
      <c r="A624" s="160">
        <v>1</v>
      </c>
      <c r="B624" s="160">
        <v>56691</v>
      </c>
      <c r="C624" s="160" t="s">
        <v>3533</v>
      </c>
      <c r="D624" s="160" t="s">
        <v>3534</v>
      </c>
      <c r="E624" s="160" t="s">
        <v>3547</v>
      </c>
      <c r="F624" s="160" t="s">
        <v>3553</v>
      </c>
      <c r="G624" s="163">
        <v>3</v>
      </c>
      <c r="H624" s="160" t="s">
        <v>3549</v>
      </c>
      <c r="I624" s="164">
        <v>43859</v>
      </c>
      <c r="J624" s="169">
        <v>8000</v>
      </c>
      <c r="K624" s="160" t="s">
        <v>70</v>
      </c>
    </row>
    <row r="625" spans="1:11" x14ac:dyDescent="0.3">
      <c r="A625" s="160">
        <v>1</v>
      </c>
      <c r="B625" s="160">
        <v>422957</v>
      </c>
      <c r="C625" s="160" t="s">
        <v>3533</v>
      </c>
      <c r="D625" s="160" t="s">
        <v>3534</v>
      </c>
      <c r="F625" s="160" t="s">
        <v>3554</v>
      </c>
      <c r="G625" s="163">
        <v>1</v>
      </c>
      <c r="H625" s="160" t="s">
        <v>3555</v>
      </c>
      <c r="I625" s="164">
        <v>43873</v>
      </c>
      <c r="J625" s="165">
        <v>6000</v>
      </c>
      <c r="K625" s="160" t="s">
        <v>70</v>
      </c>
    </row>
    <row r="626" spans="1:11" x14ac:dyDescent="0.3">
      <c r="A626" s="160">
        <v>1</v>
      </c>
      <c r="B626" s="160">
        <v>154667</v>
      </c>
      <c r="C626" s="160" t="s">
        <v>3533</v>
      </c>
      <c r="D626" s="160" t="s">
        <v>3534</v>
      </c>
      <c r="F626" s="160" t="s">
        <v>3556</v>
      </c>
      <c r="G626" s="163">
        <v>2</v>
      </c>
      <c r="H626" s="160" t="s">
        <v>3555</v>
      </c>
      <c r="I626" s="164">
        <v>44819</v>
      </c>
      <c r="J626" s="165">
        <v>7000</v>
      </c>
      <c r="K626" s="160" t="s">
        <v>70</v>
      </c>
    </row>
    <row r="627" spans="1:11" x14ac:dyDescent="0.3">
      <c r="A627" s="160">
        <v>1</v>
      </c>
      <c r="B627" s="160">
        <v>4229570001</v>
      </c>
      <c r="C627" s="160" t="s">
        <v>3533</v>
      </c>
      <c r="D627" s="160" t="s">
        <v>3534</v>
      </c>
      <c r="F627" s="160" t="s">
        <v>3557</v>
      </c>
      <c r="G627" s="163">
        <v>3</v>
      </c>
      <c r="H627" s="160" t="s">
        <v>3555</v>
      </c>
      <c r="I627" s="164">
        <v>45271</v>
      </c>
      <c r="J627" s="165">
        <v>30000</v>
      </c>
      <c r="K627" s="160" t="s">
        <v>13</v>
      </c>
    </row>
    <row r="628" spans="1:11" x14ac:dyDescent="0.3">
      <c r="A628" s="160">
        <v>1</v>
      </c>
      <c r="B628" s="160">
        <v>4229570002</v>
      </c>
      <c r="C628" s="160" t="s">
        <v>3533</v>
      </c>
      <c r="D628" s="160" t="s">
        <v>3534</v>
      </c>
      <c r="F628" s="160" t="s">
        <v>3558</v>
      </c>
      <c r="G628" s="163">
        <v>4</v>
      </c>
      <c r="H628" s="160" t="s">
        <v>3555</v>
      </c>
      <c r="I628" s="164">
        <v>45719</v>
      </c>
      <c r="J628" s="165">
        <v>50000</v>
      </c>
      <c r="K628" s="160" t="s">
        <v>13</v>
      </c>
    </row>
    <row r="629" spans="1:11" ht="13" customHeight="1" x14ac:dyDescent="0.3">
      <c r="A629" s="160">
        <v>1</v>
      </c>
      <c r="C629" s="160" t="s">
        <v>3533</v>
      </c>
      <c r="D629" s="160" t="s">
        <v>3534</v>
      </c>
      <c r="F629" s="160" t="s">
        <v>3559</v>
      </c>
      <c r="G629" s="163">
        <v>1</v>
      </c>
      <c r="H629" s="160" t="s">
        <v>3560</v>
      </c>
      <c r="I629" s="164">
        <v>40849</v>
      </c>
      <c r="J629" s="166">
        <v>2800</v>
      </c>
      <c r="K629" s="168" t="s">
        <v>13</v>
      </c>
    </row>
    <row r="630" spans="1:11" ht="13" customHeight="1" x14ac:dyDescent="0.3">
      <c r="A630" s="160">
        <v>1</v>
      </c>
      <c r="C630" s="160" t="s">
        <v>3533</v>
      </c>
      <c r="D630" s="160" t="s">
        <v>3534</v>
      </c>
      <c r="F630" s="160" t="s">
        <v>3561</v>
      </c>
      <c r="G630" s="163">
        <v>1</v>
      </c>
      <c r="H630" s="160" t="s">
        <v>3562</v>
      </c>
      <c r="I630" s="164">
        <v>40791</v>
      </c>
      <c r="J630" s="166">
        <v>6000</v>
      </c>
      <c r="K630" s="168" t="s">
        <v>13</v>
      </c>
    </row>
    <row r="631" spans="1:11" ht="13" customHeight="1" x14ac:dyDescent="0.3">
      <c r="A631" s="160">
        <v>1</v>
      </c>
      <c r="B631" s="160">
        <v>293999</v>
      </c>
      <c r="C631" s="160" t="s">
        <v>3533</v>
      </c>
      <c r="D631" s="160" t="s">
        <v>3534</v>
      </c>
      <c r="F631" s="160" t="s">
        <v>3563</v>
      </c>
      <c r="G631" s="163">
        <v>1</v>
      </c>
      <c r="H631" s="160" t="s">
        <v>3564</v>
      </c>
      <c r="I631" s="164">
        <v>43889</v>
      </c>
      <c r="J631" s="165">
        <v>20000</v>
      </c>
      <c r="K631" s="160" t="s">
        <v>13</v>
      </c>
    </row>
    <row r="632" spans="1:11" ht="13" customHeight="1" x14ac:dyDescent="0.3">
      <c r="A632" s="160">
        <v>1</v>
      </c>
      <c r="B632" s="160">
        <v>150077</v>
      </c>
      <c r="C632" s="160" t="s">
        <v>3533</v>
      </c>
      <c r="D632" s="160" t="s">
        <v>3534</v>
      </c>
      <c r="F632" s="160" t="s">
        <v>3565</v>
      </c>
      <c r="G632" s="163">
        <v>2</v>
      </c>
      <c r="H632" s="160" t="s">
        <v>3564</v>
      </c>
      <c r="I632" s="164">
        <v>44783</v>
      </c>
      <c r="J632" s="165">
        <v>40000</v>
      </c>
      <c r="K632" s="160" t="s">
        <v>13</v>
      </c>
    </row>
    <row r="633" spans="1:11" x14ac:dyDescent="0.3">
      <c r="A633" s="160">
        <v>1</v>
      </c>
      <c r="C633" s="160" t="s">
        <v>3533</v>
      </c>
      <c r="D633" s="160" t="s">
        <v>3534</v>
      </c>
      <c r="F633" s="160" t="s">
        <v>3566</v>
      </c>
      <c r="G633" s="163">
        <v>1</v>
      </c>
      <c r="H633" s="160" t="s">
        <v>3567</v>
      </c>
      <c r="I633" s="164">
        <v>40800</v>
      </c>
      <c r="J633" s="166">
        <v>10000</v>
      </c>
      <c r="K633" s="168" t="s">
        <v>13</v>
      </c>
    </row>
    <row r="634" spans="1:11" x14ac:dyDescent="0.3">
      <c r="A634" s="160">
        <v>1</v>
      </c>
      <c r="B634" s="160">
        <v>4302970001</v>
      </c>
      <c r="C634" s="160" t="s">
        <v>3533</v>
      </c>
      <c r="D634" s="160" t="s">
        <v>3534</v>
      </c>
      <c r="F634" s="160" t="s">
        <v>3568</v>
      </c>
      <c r="G634" s="163">
        <v>1</v>
      </c>
      <c r="H634" s="160" t="s">
        <v>3569</v>
      </c>
      <c r="I634" s="164">
        <v>45922</v>
      </c>
      <c r="J634" s="165">
        <v>100000</v>
      </c>
      <c r="K634" s="160" t="s">
        <v>13</v>
      </c>
    </row>
    <row r="635" spans="1:11" x14ac:dyDescent="0.3">
      <c r="A635" s="160">
        <v>1</v>
      </c>
      <c r="B635" s="160">
        <v>109528</v>
      </c>
      <c r="C635" s="160" t="s">
        <v>3533</v>
      </c>
      <c r="D635" s="160" t="s">
        <v>3534</v>
      </c>
      <c r="F635" s="160" t="s">
        <v>3570</v>
      </c>
      <c r="G635" s="163">
        <v>1</v>
      </c>
      <c r="H635" s="160" t="s">
        <v>3571</v>
      </c>
      <c r="I635" s="164">
        <v>44434</v>
      </c>
      <c r="J635" s="165">
        <v>25000</v>
      </c>
      <c r="K635" s="160" t="s">
        <v>70</v>
      </c>
    </row>
    <row r="636" spans="1:11" x14ac:dyDescent="0.3">
      <c r="A636" s="160">
        <v>1</v>
      </c>
      <c r="C636" s="160" t="s">
        <v>3533</v>
      </c>
      <c r="D636" s="160" t="s">
        <v>3534</v>
      </c>
      <c r="F636" s="160" t="s">
        <v>3572</v>
      </c>
      <c r="G636" s="163">
        <v>1</v>
      </c>
      <c r="H636" s="160" t="s">
        <v>3573</v>
      </c>
      <c r="I636" s="164">
        <v>40778</v>
      </c>
      <c r="J636" s="166">
        <v>7500</v>
      </c>
      <c r="K636" s="168" t="s">
        <v>13</v>
      </c>
    </row>
    <row r="637" spans="1:11" x14ac:dyDescent="0.3">
      <c r="A637" s="160">
        <v>1</v>
      </c>
      <c r="C637" s="160" t="s">
        <v>3533</v>
      </c>
      <c r="D637" s="160" t="s">
        <v>3534</v>
      </c>
      <c r="F637" s="160" t="s">
        <v>3574</v>
      </c>
      <c r="G637" s="163">
        <v>1</v>
      </c>
      <c r="H637" s="160" t="s">
        <v>3575</v>
      </c>
      <c r="I637" s="164">
        <v>40813</v>
      </c>
      <c r="J637" s="166">
        <v>4000</v>
      </c>
      <c r="K637" s="175" t="s">
        <v>55</v>
      </c>
    </row>
    <row r="638" spans="1:11" x14ac:dyDescent="0.3">
      <c r="A638" s="160">
        <v>1</v>
      </c>
      <c r="C638" s="160" t="s">
        <v>3533</v>
      </c>
      <c r="D638" s="160" t="s">
        <v>3534</v>
      </c>
      <c r="F638" s="160" t="s">
        <v>3576</v>
      </c>
      <c r="G638" s="163">
        <v>1</v>
      </c>
      <c r="H638" s="160" t="s">
        <v>3577</v>
      </c>
      <c r="I638" s="164">
        <v>40778</v>
      </c>
      <c r="J638" s="166">
        <v>10000</v>
      </c>
      <c r="K638" s="167" t="s">
        <v>70</v>
      </c>
    </row>
    <row r="639" spans="1:11" x14ac:dyDescent="0.3">
      <c r="A639" s="160">
        <v>1</v>
      </c>
      <c r="B639" s="160">
        <v>109505</v>
      </c>
      <c r="C639" s="160" t="s">
        <v>3533</v>
      </c>
      <c r="D639" s="160" t="s">
        <v>3534</v>
      </c>
      <c r="F639" s="160" t="s">
        <v>3578</v>
      </c>
      <c r="G639" s="163">
        <v>2</v>
      </c>
      <c r="H639" s="160" t="s">
        <v>3577</v>
      </c>
      <c r="I639" s="164">
        <v>44434</v>
      </c>
      <c r="J639" s="165">
        <v>25000</v>
      </c>
      <c r="K639" s="160" t="s">
        <v>13</v>
      </c>
    </row>
    <row r="640" spans="1:11" x14ac:dyDescent="0.3">
      <c r="A640" s="160">
        <v>1</v>
      </c>
      <c r="B640" s="160" t="s">
        <v>3579</v>
      </c>
      <c r="C640" s="160" t="s">
        <v>3580</v>
      </c>
      <c r="D640" s="160" t="s">
        <v>3581</v>
      </c>
      <c r="E640" s="160" t="s">
        <v>3582</v>
      </c>
      <c r="F640" s="160" t="s">
        <v>3583</v>
      </c>
      <c r="G640" s="163">
        <v>1</v>
      </c>
      <c r="H640" s="160" t="s">
        <v>3584</v>
      </c>
      <c r="I640" s="164">
        <v>41739</v>
      </c>
      <c r="J640" s="166">
        <v>5000</v>
      </c>
      <c r="K640" s="168" t="s">
        <v>13</v>
      </c>
    </row>
    <row r="641" spans="1:11" x14ac:dyDescent="0.3">
      <c r="A641" s="160">
        <v>1</v>
      </c>
      <c r="B641" s="160" t="s">
        <v>3585</v>
      </c>
      <c r="C641" s="160" t="s">
        <v>3580</v>
      </c>
      <c r="D641" s="160" t="s">
        <v>3581</v>
      </c>
      <c r="E641" s="160" t="s">
        <v>3582</v>
      </c>
      <c r="F641" s="160" t="s">
        <v>3586</v>
      </c>
      <c r="G641" s="163">
        <v>2</v>
      </c>
      <c r="H641" s="160" t="s">
        <v>3584</v>
      </c>
      <c r="I641" s="164">
        <v>41911</v>
      </c>
      <c r="J641" s="166">
        <v>10000</v>
      </c>
      <c r="K641" s="168" t="s">
        <v>13</v>
      </c>
    </row>
    <row r="642" spans="1:11" ht="14.5" customHeight="1" x14ac:dyDescent="0.3">
      <c r="A642" s="160">
        <v>1</v>
      </c>
      <c r="B642" s="160" t="s">
        <v>3587</v>
      </c>
      <c r="C642" s="160" t="s">
        <v>3580</v>
      </c>
      <c r="D642" s="160" t="s">
        <v>3581</v>
      </c>
      <c r="E642" s="160" t="s">
        <v>3582</v>
      </c>
      <c r="F642" s="160" t="s">
        <v>3588</v>
      </c>
      <c r="G642" s="163">
        <v>3</v>
      </c>
      <c r="H642" s="160" t="s">
        <v>3584</v>
      </c>
      <c r="I642" s="164">
        <v>42895</v>
      </c>
      <c r="J642" s="169">
        <v>10000</v>
      </c>
      <c r="K642" s="160" t="s">
        <v>13</v>
      </c>
    </row>
    <row r="643" spans="1:11" ht="13" customHeight="1" x14ac:dyDescent="0.3">
      <c r="A643" s="160">
        <v>1</v>
      </c>
      <c r="B643" s="160">
        <v>122913</v>
      </c>
      <c r="C643" s="160" t="s">
        <v>3580</v>
      </c>
      <c r="D643" s="160" t="s">
        <v>3581</v>
      </c>
      <c r="E643" s="160" t="s">
        <v>3582</v>
      </c>
      <c r="F643" s="160" t="s">
        <v>3589</v>
      </c>
      <c r="G643" s="163">
        <v>4</v>
      </c>
      <c r="H643" s="160" t="s">
        <v>3584</v>
      </c>
      <c r="I643" s="164">
        <v>43865</v>
      </c>
      <c r="J643" s="169">
        <v>10000</v>
      </c>
      <c r="K643" s="160" t="s">
        <v>13</v>
      </c>
    </row>
    <row r="644" spans="1:11" ht="13" customHeight="1" x14ac:dyDescent="0.3">
      <c r="A644" s="160">
        <v>1</v>
      </c>
      <c r="B644" s="160">
        <v>125309</v>
      </c>
      <c r="C644" s="160" t="s">
        <v>3580</v>
      </c>
      <c r="D644" s="160" t="s">
        <v>3581</v>
      </c>
      <c r="E644" s="160" t="s">
        <v>3582</v>
      </c>
      <c r="F644" s="160" t="s">
        <v>3590</v>
      </c>
      <c r="G644" s="163">
        <v>5</v>
      </c>
      <c r="H644" s="160" t="s">
        <v>3584</v>
      </c>
      <c r="I644" s="164">
        <v>44572</v>
      </c>
      <c r="J644" s="169">
        <v>50000</v>
      </c>
      <c r="K644" s="160" t="s">
        <v>13</v>
      </c>
    </row>
    <row r="645" spans="1:11" ht="13" customHeight="1" x14ac:dyDescent="0.3">
      <c r="A645" s="160">
        <v>1</v>
      </c>
      <c r="B645" s="160">
        <v>5200430001</v>
      </c>
      <c r="C645" s="160" t="s">
        <v>3580</v>
      </c>
      <c r="D645" s="160" t="s">
        <v>3581</v>
      </c>
      <c r="E645" s="160" t="s">
        <v>3582</v>
      </c>
      <c r="F645" s="160" t="s">
        <v>3591</v>
      </c>
      <c r="G645" s="163">
        <v>6</v>
      </c>
      <c r="H645" s="160" t="s">
        <v>3584</v>
      </c>
      <c r="I645" s="164">
        <v>45092</v>
      </c>
      <c r="J645" s="169">
        <v>50000</v>
      </c>
      <c r="K645" s="160" t="s">
        <v>13</v>
      </c>
    </row>
    <row r="646" spans="1:11" ht="13" customHeight="1" x14ac:dyDescent="0.3">
      <c r="A646" s="160">
        <v>1</v>
      </c>
      <c r="B646" s="160">
        <v>5200430002</v>
      </c>
      <c r="C646" s="160" t="s">
        <v>3580</v>
      </c>
      <c r="D646" s="160" t="s">
        <v>3581</v>
      </c>
      <c r="E646" s="160" t="s">
        <v>3582</v>
      </c>
      <c r="F646" s="160" t="s">
        <v>3592</v>
      </c>
      <c r="G646" s="163">
        <v>7</v>
      </c>
      <c r="H646" s="160" t="s">
        <v>3584</v>
      </c>
      <c r="I646" s="164">
        <v>45379</v>
      </c>
      <c r="J646" s="169">
        <v>150000</v>
      </c>
      <c r="K646" s="160" t="s">
        <v>13</v>
      </c>
    </row>
    <row r="647" spans="1:11" ht="13" customHeight="1" x14ac:dyDescent="0.3">
      <c r="A647" s="160">
        <v>1</v>
      </c>
      <c r="B647" s="160">
        <v>5200430003</v>
      </c>
      <c r="C647" s="160" t="s">
        <v>3580</v>
      </c>
      <c r="D647" s="160" t="s">
        <v>3581</v>
      </c>
      <c r="E647" s="160" t="s">
        <v>3582</v>
      </c>
      <c r="F647" s="160" t="s">
        <v>3593</v>
      </c>
      <c r="G647" s="163">
        <v>8</v>
      </c>
      <c r="H647" s="160" t="s">
        <v>3584</v>
      </c>
      <c r="I647" s="164">
        <v>45715</v>
      </c>
      <c r="J647" s="169">
        <v>550000</v>
      </c>
      <c r="K647" s="160" t="s">
        <v>13</v>
      </c>
    </row>
    <row r="648" spans="1:11" ht="13" customHeight="1" x14ac:dyDescent="0.3">
      <c r="A648" s="160">
        <v>1</v>
      </c>
      <c r="B648" s="160" t="s">
        <v>3594</v>
      </c>
      <c r="C648" s="160" t="s">
        <v>3580</v>
      </c>
      <c r="D648" s="160" t="s">
        <v>3581</v>
      </c>
      <c r="E648" s="160" t="s">
        <v>3595</v>
      </c>
      <c r="F648" s="160" t="s">
        <v>3596</v>
      </c>
      <c r="G648" s="163">
        <v>1</v>
      </c>
      <c r="H648" s="160" t="s">
        <v>3597</v>
      </c>
      <c r="I648" s="164">
        <v>41964</v>
      </c>
      <c r="J648" s="166">
        <v>5000</v>
      </c>
      <c r="K648" s="168" t="s">
        <v>13</v>
      </c>
    </row>
    <row r="649" spans="1:11" ht="13" customHeight="1" x14ac:dyDescent="0.3">
      <c r="A649" s="160">
        <v>1</v>
      </c>
      <c r="B649" s="160" t="s">
        <v>3598</v>
      </c>
      <c r="C649" s="160" t="s">
        <v>3580</v>
      </c>
      <c r="D649" s="160" t="s">
        <v>3581</v>
      </c>
      <c r="E649" s="160" t="s">
        <v>3599</v>
      </c>
      <c r="F649" s="160" t="s">
        <v>3600</v>
      </c>
      <c r="G649" s="163">
        <v>1</v>
      </c>
      <c r="H649" s="160" t="s">
        <v>3601</v>
      </c>
      <c r="I649" s="164">
        <v>41740</v>
      </c>
      <c r="J649" s="166">
        <v>5000</v>
      </c>
      <c r="K649" s="167" t="s">
        <v>70</v>
      </c>
    </row>
    <row r="650" spans="1:11" ht="14.5" x14ac:dyDescent="0.35">
      <c r="A650" s="160">
        <v>1</v>
      </c>
      <c r="C650" s="160" t="s">
        <v>3580</v>
      </c>
      <c r="D650" s="160" t="s">
        <v>3581</v>
      </c>
      <c r="F650" t="s">
        <v>3602</v>
      </c>
      <c r="G650" s="178">
        <v>1</v>
      </c>
      <c r="H650" t="s">
        <v>3603</v>
      </c>
      <c r="I650" s="164">
        <v>40427</v>
      </c>
      <c r="J650" s="166">
        <v>6000</v>
      </c>
      <c r="K650" s="168" t="s">
        <v>13</v>
      </c>
    </row>
    <row r="651" spans="1:11" ht="13" customHeight="1" x14ac:dyDescent="0.3">
      <c r="A651" s="160">
        <v>1</v>
      </c>
      <c r="B651" s="160" t="s">
        <v>3604</v>
      </c>
      <c r="C651" s="160" t="s">
        <v>3580</v>
      </c>
      <c r="D651" s="160" t="s">
        <v>3581</v>
      </c>
      <c r="E651" s="160" t="s">
        <v>3605</v>
      </c>
      <c r="F651" s="160" t="s">
        <v>3606</v>
      </c>
      <c r="G651" s="163">
        <v>1</v>
      </c>
      <c r="H651" s="160" t="s">
        <v>3607</v>
      </c>
      <c r="I651" s="164">
        <v>41989</v>
      </c>
      <c r="J651" s="166">
        <v>5000</v>
      </c>
      <c r="K651" s="168" t="s">
        <v>13</v>
      </c>
    </row>
    <row r="652" spans="1:11" ht="14.5" customHeight="1" x14ac:dyDescent="0.3">
      <c r="A652" s="160">
        <v>1</v>
      </c>
      <c r="B652" s="160" t="s">
        <v>3608</v>
      </c>
      <c r="C652" s="160" t="s">
        <v>3580</v>
      </c>
      <c r="D652" s="160" t="s">
        <v>3581</v>
      </c>
      <c r="E652" s="160" t="s">
        <v>3609</v>
      </c>
      <c r="F652" s="160" t="s">
        <v>3610</v>
      </c>
      <c r="G652" s="163">
        <v>1</v>
      </c>
      <c r="H652" s="160" t="s">
        <v>3611</v>
      </c>
      <c r="I652" s="164">
        <v>41705</v>
      </c>
      <c r="J652" s="166">
        <v>5000</v>
      </c>
      <c r="K652" s="168" t="s">
        <v>13</v>
      </c>
    </row>
    <row r="653" spans="1:11" ht="14.5" customHeight="1" x14ac:dyDescent="0.3">
      <c r="A653" s="160">
        <v>1</v>
      </c>
      <c r="B653" s="160" t="s">
        <v>3612</v>
      </c>
      <c r="C653" s="160" t="s">
        <v>3580</v>
      </c>
      <c r="D653" s="160" t="s">
        <v>3581</v>
      </c>
      <c r="E653" s="160" t="s">
        <v>3609</v>
      </c>
      <c r="F653" s="160" t="s">
        <v>3613</v>
      </c>
      <c r="G653" s="163">
        <v>2</v>
      </c>
      <c r="H653" s="160" t="s">
        <v>3611</v>
      </c>
      <c r="I653" s="164">
        <v>41872</v>
      </c>
      <c r="J653" s="166">
        <v>5000</v>
      </c>
      <c r="K653" s="168" t="s">
        <v>13</v>
      </c>
    </row>
    <row r="654" spans="1:11" x14ac:dyDescent="0.3">
      <c r="A654" s="160">
        <v>1</v>
      </c>
      <c r="B654" s="160" t="s">
        <v>3614</v>
      </c>
      <c r="C654" s="160" t="s">
        <v>3580</v>
      </c>
      <c r="D654" s="160" t="s">
        <v>3581</v>
      </c>
      <c r="E654" s="160" t="s">
        <v>3609</v>
      </c>
      <c r="F654" s="160" t="s">
        <v>3615</v>
      </c>
      <c r="G654" s="163">
        <v>3</v>
      </c>
      <c r="H654" s="160" t="s">
        <v>3611</v>
      </c>
      <c r="I654" s="164">
        <v>42122</v>
      </c>
      <c r="J654" s="166">
        <v>10000</v>
      </c>
      <c r="K654" s="168" t="s">
        <v>13</v>
      </c>
    </row>
    <row r="655" spans="1:11" x14ac:dyDescent="0.3">
      <c r="A655" s="160">
        <v>1</v>
      </c>
      <c r="B655" s="160" t="s">
        <v>3616</v>
      </c>
      <c r="C655" s="160" t="s">
        <v>3580</v>
      </c>
      <c r="D655" s="160" t="s">
        <v>3581</v>
      </c>
      <c r="E655" s="160" t="s">
        <v>3617</v>
      </c>
      <c r="F655" s="160" t="s">
        <v>3618</v>
      </c>
      <c r="G655" s="163">
        <v>1</v>
      </c>
      <c r="H655" s="160" t="s">
        <v>3619</v>
      </c>
      <c r="I655" s="164">
        <v>41774</v>
      </c>
      <c r="J655" s="166">
        <v>4000</v>
      </c>
      <c r="K655" s="167" t="s">
        <v>70</v>
      </c>
    </row>
    <row r="656" spans="1:11" x14ac:dyDescent="0.3">
      <c r="A656" s="160">
        <v>1</v>
      </c>
      <c r="B656" s="160" t="s">
        <v>3620</v>
      </c>
      <c r="C656" s="160" t="s">
        <v>3580</v>
      </c>
      <c r="D656" s="160" t="s">
        <v>3581</v>
      </c>
      <c r="E656" s="160" t="s">
        <v>3617</v>
      </c>
      <c r="F656" s="160" t="s">
        <v>3621</v>
      </c>
      <c r="G656" s="163">
        <v>2</v>
      </c>
      <c r="H656" s="160" t="s">
        <v>3619</v>
      </c>
      <c r="I656" s="164">
        <v>41960</v>
      </c>
      <c r="J656" s="166">
        <v>5000</v>
      </c>
      <c r="K656" s="168" t="s">
        <v>13</v>
      </c>
    </row>
    <row r="657" spans="1:11" x14ac:dyDescent="0.3">
      <c r="A657" s="160">
        <v>1</v>
      </c>
      <c r="C657" s="160" t="s">
        <v>3580</v>
      </c>
      <c r="D657" s="160" t="s">
        <v>3581</v>
      </c>
      <c r="E657" s="160" t="s">
        <v>3622</v>
      </c>
      <c r="F657" s="160" t="s">
        <v>3623</v>
      </c>
      <c r="G657" s="163">
        <v>1</v>
      </c>
      <c r="H657" s="160" t="s">
        <v>3624</v>
      </c>
      <c r="I657" s="164">
        <v>40424</v>
      </c>
      <c r="J657" s="166">
        <v>10000</v>
      </c>
      <c r="K657" s="168" t="s">
        <v>13</v>
      </c>
    </row>
    <row r="658" spans="1:11" x14ac:dyDescent="0.3">
      <c r="A658" s="160">
        <v>1</v>
      </c>
      <c r="C658" s="160" t="s">
        <v>3580</v>
      </c>
      <c r="D658" s="160" t="s">
        <v>3581</v>
      </c>
      <c r="E658" s="160" t="s">
        <v>3622</v>
      </c>
      <c r="F658" s="160" t="s">
        <v>3625</v>
      </c>
      <c r="G658" s="163">
        <v>2</v>
      </c>
      <c r="H658" s="160" t="s">
        <v>3624</v>
      </c>
      <c r="I658" s="164">
        <v>40934</v>
      </c>
      <c r="J658" s="166">
        <v>3000</v>
      </c>
      <c r="K658" s="168" t="s">
        <v>13</v>
      </c>
    </row>
    <row r="659" spans="1:11" x14ac:dyDescent="0.3">
      <c r="A659" s="160">
        <v>1</v>
      </c>
      <c r="B659" s="160" t="s">
        <v>3626</v>
      </c>
      <c r="C659" s="160" t="s">
        <v>3580</v>
      </c>
      <c r="D659" s="160" t="s">
        <v>3581</v>
      </c>
      <c r="E659" s="160" t="s">
        <v>3622</v>
      </c>
      <c r="F659" s="160" t="s">
        <v>3627</v>
      </c>
      <c r="G659" s="163">
        <v>3</v>
      </c>
      <c r="H659" s="160" t="s">
        <v>3624</v>
      </c>
      <c r="I659" s="164">
        <v>41481</v>
      </c>
      <c r="J659" s="166">
        <v>15000</v>
      </c>
      <c r="K659" s="168" t="s">
        <v>13</v>
      </c>
    </row>
    <row r="660" spans="1:11" ht="13" customHeight="1" x14ac:dyDescent="0.3">
      <c r="A660" s="160">
        <v>1</v>
      </c>
      <c r="B660" s="160" t="s">
        <v>3628</v>
      </c>
      <c r="C660" s="160" t="s">
        <v>3580</v>
      </c>
      <c r="D660" s="160" t="s">
        <v>3581</v>
      </c>
      <c r="E660" s="160" t="s">
        <v>3622</v>
      </c>
      <c r="F660" s="160" t="s">
        <v>3629</v>
      </c>
      <c r="G660" s="163">
        <v>4</v>
      </c>
      <c r="H660" s="160" t="s">
        <v>3624</v>
      </c>
      <c r="I660" s="164">
        <v>42537</v>
      </c>
      <c r="J660" s="166">
        <v>20000</v>
      </c>
      <c r="K660" s="168" t="s">
        <v>13</v>
      </c>
    </row>
    <row r="661" spans="1:11" ht="13" customHeight="1" x14ac:dyDescent="0.3">
      <c r="A661" s="160">
        <v>1</v>
      </c>
      <c r="B661" s="160" t="s">
        <v>3630</v>
      </c>
      <c r="C661" s="160" t="s">
        <v>3580</v>
      </c>
      <c r="D661" s="160" t="s">
        <v>3581</v>
      </c>
      <c r="E661" s="160" t="s">
        <v>3622</v>
      </c>
      <c r="F661" s="160" t="s">
        <v>3631</v>
      </c>
      <c r="G661" s="163">
        <v>5</v>
      </c>
      <c r="H661" s="160" t="s">
        <v>3632</v>
      </c>
      <c r="I661" s="164">
        <v>43297</v>
      </c>
      <c r="J661" s="169">
        <v>75000</v>
      </c>
      <c r="K661" s="160" t="s">
        <v>70</v>
      </c>
    </row>
    <row r="662" spans="1:11" ht="13" customHeight="1" x14ac:dyDescent="0.3">
      <c r="A662" s="160">
        <v>1</v>
      </c>
      <c r="B662" s="160" t="s">
        <v>3633</v>
      </c>
      <c r="C662" s="160" t="s">
        <v>3580</v>
      </c>
      <c r="D662" s="160" t="s">
        <v>3581</v>
      </c>
      <c r="E662" s="160" t="s">
        <v>3634</v>
      </c>
      <c r="F662" s="160" t="s">
        <v>3635</v>
      </c>
      <c r="G662" s="163">
        <v>1</v>
      </c>
      <c r="H662" s="160" t="s">
        <v>3636</v>
      </c>
      <c r="I662" s="164">
        <v>41768</v>
      </c>
      <c r="J662" s="166">
        <v>2000</v>
      </c>
      <c r="K662" s="170" t="s">
        <v>2410</v>
      </c>
    </row>
    <row r="663" spans="1:11" ht="13" customHeight="1" x14ac:dyDescent="0.3">
      <c r="A663" s="160">
        <v>1</v>
      </c>
      <c r="B663" s="160" t="s">
        <v>3637</v>
      </c>
      <c r="C663" s="160" t="s">
        <v>3580</v>
      </c>
      <c r="D663" s="160" t="s">
        <v>3581</v>
      </c>
      <c r="E663" s="160" t="s">
        <v>3634</v>
      </c>
      <c r="F663" s="160" t="s">
        <v>3638</v>
      </c>
      <c r="G663" s="163">
        <v>2</v>
      </c>
      <c r="H663" s="160" t="s">
        <v>3636</v>
      </c>
      <c r="I663" s="164">
        <v>41967</v>
      </c>
      <c r="J663" s="166">
        <v>15000</v>
      </c>
      <c r="K663" s="168" t="s">
        <v>13</v>
      </c>
    </row>
    <row r="664" spans="1:11" x14ac:dyDescent="0.3">
      <c r="A664" s="160">
        <v>1</v>
      </c>
      <c r="B664" s="160">
        <v>56956</v>
      </c>
      <c r="C664" s="160" t="s">
        <v>3580</v>
      </c>
      <c r="D664" s="160" t="s">
        <v>3581</v>
      </c>
      <c r="E664" s="160" t="s">
        <v>3634</v>
      </c>
      <c r="F664" s="160" t="s">
        <v>3639</v>
      </c>
      <c r="G664" s="163">
        <v>3</v>
      </c>
      <c r="H664" s="160" t="s">
        <v>3640</v>
      </c>
      <c r="I664" s="164">
        <v>43860</v>
      </c>
      <c r="J664" s="169">
        <v>65000</v>
      </c>
      <c r="K664" s="160" t="s">
        <v>13</v>
      </c>
    </row>
    <row r="665" spans="1:11" x14ac:dyDescent="0.3">
      <c r="A665" s="160">
        <v>1</v>
      </c>
      <c r="B665" s="160" t="s">
        <v>3641</v>
      </c>
      <c r="C665" s="160" t="s">
        <v>3642</v>
      </c>
      <c r="D665" s="160" t="s">
        <v>3643</v>
      </c>
      <c r="E665" s="160" t="s">
        <v>3644</v>
      </c>
      <c r="F665" s="160" t="s">
        <v>3645</v>
      </c>
      <c r="G665" s="163">
        <v>1</v>
      </c>
      <c r="H665" s="160" t="s">
        <v>3646</v>
      </c>
      <c r="I665" s="164">
        <v>42767</v>
      </c>
      <c r="J665" s="166">
        <v>5000</v>
      </c>
      <c r="K665" s="168" t="s">
        <v>13</v>
      </c>
    </row>
    <row r="666" spans="1:11" x14ac:dyDescent="0.3">
      <c r="A666" s="160">
        <v>1</v>
      </c>
      <c r="B666" s="160" t="s">
        <v>3647</v>
      </c>
      <c r="C666" s="160" t="s">
        <v>3642</v>
      </c>
      <c r="D666" s="160" t="s">
        <v>3643</v>
      </c>
      <c r="E666" s="160" t="s">
        <v>3648</v>
      </c>
      <c r="F666" s="160" t="s">
        <v>3649</v>
      </c>
      <c r="G666" s="163">
        <v>1</v>
      </c>
      <c r="H666" s="160" t="s">
        <v>3650</v>
      </c>
      <c r="I666" s="164">
        <v>41989</v>
      </c>
      <c r="J666" s="166">
        <v>5000</v>
      </c>
      <c r="K666" s="168" t="s">
        <v>13</v>
      </c>
    </row>
    <row r="667" spans="1:11" x14ac:dyDescent="0.3">
      <c r="A667" s="160">
        <v>1</v>
      </c>
      <c r="B667" s="160" t="s">
        <v>3651</v>
      </c>
      <c r="C667" s="160" t="s">
        <v>3642</v>
      </c>
      <c r="D667" s="160" t="s">
        <v>3643</v>
      </c>
      <c r="E667" s="160" t="s">
        <v>3648</v>
      </c>
      <c r="F667" s="160" t="s">
        <v>3652</v>
      </c>
      <c r="G667" s="163">
        <v>2</v>
      </c>
      <c r="H667" s="160" t="s">
        <v>3650</v>
      </c>
      <c r="I667" s="164">
        <v>42159</v>
      </c>
      <c r="J667" s="166">
        <v>10000</v>
      </c>
      <c r="K667" s="168" t="s">
        <v>13</v>
      </c>
    </row>
    <row r="668" spans="1:11" x14ac:dyDescent="0.3">
      <c r="A668" s="160">
        <v>1</v>
      </c>
      <c r="B668" s="160" t="s">
        <v>3653</v>
      </c>
      <c r="C668" s="160" t="s">
        <v>3642</v>
      </c>
      <c r="D668" s="160" t="s">
        <v>3643</v>
      </c>
      <c r="E668" s="160" t="s">
        <v>3648</v>
      </c>
      <c r="F668" s="160" t="s">
        <v>3654</v>
      </c>
      <c r="G668" s="163">
        <v>3</v>
      </c>
      <c r="H668" s="160" t="s">
        <v>3650</v>
      </c>
      <c r="I668" s="164">
        <v>42858</v>
      </c>
      <c r="J668" s="169">
        <v>10000</v>
      </c>
      <c r="K668" s="160" t="s">
        <v>13</v>
      </c>
    </row>
    <row r="669" spans="1:11" x14ac:dyDescent="0.3">
      <c r="A669" s="160">
        <v>1</v>
      </c>
      <c r="B669" s="160" t="s">
        <v>3655</v>
      </c>
      <c r="C669" s="160" t="s">
        <v>3642</v>
      </c>
      <c r="D669" s="160" t="s">
        <v>3643</v>
      </c>
      <c r="E669" s="160" t="s">
        <v>3648</v>
      </c>
      <c r="F669" s="160" t="s">
        <v>3656</v>
      </c>
      <c r="G669" s="163">
        <v>4</v>
      </c>
      <c r="H669" s="160" t="s">
        <v>3650</v>
      </c>
      <c r="I669" s="164">
        <v>43174</v>
      </c>
      <c r="J669" s="169">
        <v>25000</v>
      </c>
      <c r="K669" s="160" t="s">
        <v>13</v>
      </c>
    </row>
    <row r="670" spans="1:11" x14ac:dyDescent="0.3">
      <c r="A670" s="160">
        <v>1</v>
      </c>
      <c r="B670" s="160">
        <v>55739</v>
      </c>
      <c r="C670" s="160" t="s">
        <v>3642</v>
      </c>
      <c r="D670" s="160" t="s">
        <v>3643</v>
      </c>
      <c r="E670" s="160" t="s">
        <v>3648</v>
      </c>
      <c r="F670" s="160" t="s">
        <v>3657</v>
      </c>
      <c r="G670" s="163">
        <v>5</v>
      </c>
      <c r="H670" s="160" t="s">
        <v>3658</v>
      </c>
      <c r="I670" s="164">
        <v>43844</v>
      </c>
      <c r="J670" s="169">
        <v>20000</v>
      </c>
      <c r="K670" s="160" t="s">
        <v>13</v>
      </c>
    </row>
    <row r="671" spans="1:11" x14ac:dyDescent="0.3">
      <c r="A671" s="160">
        <v>1</v>
      </c>
      <c r="B671" s="160">
        <v>116233</v>
      </c>
      <c r="C671" s="160" t="s">
        <v>3642</v>
      </c>
      <c r="D671" s="160" t="s">
        <v>3643</v>
      </c>
      <c r="F671" s="160" t="s">
        <v>3659</v>
      </c>
      <c r="G671" s="163">
        <v>1</v>
      </c>
      <c r="H671" s="160" t="s">
        <v>3660</v>
      </c>
      <c r="I671" s="164">
        <v>44494</v>
      </c>
      <c r="J671" s="169">
        <v>15000</v>
      </c>
      <c r="K671" s="160" t="s">
        <v>13</v>
      </c>
    </row>
    <row r="672" spans="1:11" x14ac:dyDescent="0.3">
      <c r="A672" s="160">
        <v>1</v>
      </c>
      <c r="B672" s="160">
        <v>10911501</v>
      </c>
      <c r="C672" s="160" t="s">
        <v>3642</v>
      </c>
      <c r="D672" s="160" t="s">
        <v>3643</v>
      </c>
      <c r="F672" s="160" t="s">
        <v>3661</v>
      </c>
      <c r="G672" s="163">
        <v>2</v>
      </c>
      <c r="H672" s="160" t="s">
        <v>3660</v>
      </c>
      <c r="I672" s="164">
        <v>44942</v>
      </c>
      <c r="J672" s="169">
        <v>50000</v>
      </c>
      <c r="K672" s="160" t="s">
        <v>13</v>
      </c>
    </row>
    <row r="673" spans="1:11" x14ac:dyDescent="0.3">
      <c r="A673" s="160">
        <v>1</v>
      </c>
      <c r="B673" s="160">
        <v>5082900001</v>
      </c>
      <c r="C673" s="160" t="s">
        <v>3642</v>
      </c>
      <c r="D673" s="160" t="s">
        <v>3643</v>
      </c>
      <c r="F673" s="160" t="s">
        <v>3662</v>
      </c>
      <c r="G673" s="163">
        <v>3</v>
      </c>
      <c r="H673" s="160" t="s">
        <v>3660</v>
      </c>
      <c r="I673" s="164">
        <v>45271</v>
      </c>
      <c r="J673" s="169">
        <v>70000</v>
      </c>
      <c r="K673" s="160" t="s">
        <v>13</v>
      </c>
    </row>
    <row r="674" spans="1:11" x14ac:dyDescent="0.3">
      <c r="A674" s="160">
        <v>1</v>
      </c>
      <c r="B674" s="160">
        <v>5082900002</v>
      </c>
      <c r="C674" s="160" t="s">
        <v>3642</v>
      </c>
      <c r="D674" s="160" t="s">
        <v>3643</v>
      </c>
      <c r="F674" s="160" t="s">
        <v>3663</v>
      </c>
      <c r="G674" s="163">
        <v>4</v>
      </c>
      <c r="H674" s="160" t="s">
        <v>3660</v>
      </c>
      <c r="I674" s="164">
        <v>45866</v>
      </c>
      <c r="J674" s="169">
        <v>100000</v>
      </c>
      <c r="K674" s="160" t="s">
        <v>13</v>
      </c>
    </row>
    <row r="675" spans="1:11" x14ac:dyDescent="0.3">
      <c r="A675" s="160">
        <v>1</v>
      </c>
      <c r="B675" s="160" t="s">
        <v>3664</v>
      </c>
      <c r="C675" s="160" t="s">
        <v>3642</v>
      </c>
      <c r="D675" s="160" t="s">
        <v>3643</v>
      </c>
      <c r="E675" s="160" t="s">
        <v>3665</v>
      </c>
      <c r="F675" s="160" t="s">
        <v>3666</v>
      </c>
      <c r="G675" s="163">
        <v>1</v>
      </c>
      <c r="H675" s="160" t="s">
        <v>3667</v>
      </c>
      <c r="I675" s="164">
        <v>42073</v>
      </c>
      <c r="J675" s="166">
        <v>40000</v>
      </c>
      <c r="K675" s="168" t="s">
        <v>13</v>
      </c>
    </row>
    <row r="676" spans="1:11" x14ac:dyDescent="0.3">
      <c r="A676" s="160">
        <v>1</v>
      </c>
      <c r="B676" s="160" t="s">
        <v>3668</v>
      </c>
      <c r="C676" s="160" t="s">
        <v>3642</v>
      </c>
      <c r="D676" s="160" t="s">
        <v>3643</v>
      </c>
      <c r="E676" s="160" t="s">
        <v>3665</v>
      </c>
      <c r="F676" s="160" t="s">
        <v>3669</v>
      </c>
      <c r="G676" s="163">
        <v>2</v>
      </c>
      <c r="H676" s="160" t="s">
        <v>3667</v>
      </c>
      <c r="I676" s="164">
        <v>42835</v>
      </c>
      <c r="J676" s="169">
        <v>5000</v>
      </c>
      <c r="K676" s="160" t="s">
        <v>13</v>
      </c>
    </row>
    <row r="677" spans="1:11" x14ac:dyDescent="0.3">
      <c r="A677" s="160">
        <v>1</v>
      </c>
      <c r="B677" s="160" t="s">
        <v>3670</v>
      </c>
      <c r="C677" s="160" t="s">
        <v>3642</v>
      </c>
      <c r="D677" s="160" t="s">
        <v>3643</v>
      </c>
      <c r="E677" s="160" t="s">
        <v>3665</v>
      </c>
      <c r="F677" s="160" t="s">
        <v>3671</v>
      </c>
      <c r="G677" s="163">
        <v>3</v>
      </c>
      <c r="H677" s="160" t="s">
        <v>3667</v>
      </c>
      <c r="I677" s="164">
        <v>43098</v>
      </c>
      <c r="J677" s="169">
        <v>5000</v>
      </c>
      <c r="K677" s="160" t="s">
        <v>70</v>
      </c>
    </row>
    <row r="678" spans="1:11" ht="13" customHeight="1" x14ac:dyDescent="0.3">
      <c r="A678" s="160">
        <v>1</v>
      </c>
      <c r="B678" s="160" t="s">
        <v>3672</v>
      </c>
      <c r="C678" s="160" t="s">
        <v>3642</v>
      </c>
      <c r="D678" s="160" t="s">
        <v>3643</v>
      </c>
      <c r="E678" s="160" t="s">
        <v>3665</v>
      </c>
      <c r="F678" s="160" t="s">
        <v>3673</v>
      </c>
      <c r="G678" s="163">
        <v>4</v>
      </c>
      <c r="H678" s="160" t="s">
        <v>3667</v>
      </c>
      <c r="I678" s="164">
        <v>43224</v>
      </c>
      <c r="J678" s="169">
        <v>50000</v>
      </c>
      <c r="K678" s="160" t="s">
        <v>13</v>
      </c>
    </row>
    <row r="679" spans="1:11" ht="13" customHeight="1" x14ac:dyDescent="0.3">
      <c r="A679" s="160">
        <v>1</v>
      </c>
      <c r="B679" s="160">
        <v>10908222</v>
      </c>
      <c r="C679" s="160" t="s">
        <v>3642</v>
      </c>
      <c r="D679" s="160" t="s">
        <v>3643</v>
      </c>
      <c r="E679" s="160" t="s">
        <v>3665</v>
      </c>
      <c r="F679" s="160" t="s">
        <v>3674</v>
      </c>
      <c r="G679" s="163">
        <v>5</v>
      </c>
      <c r="H679" s="160" t="s">
        <v>3667</v>
      </c>
      <c r="I679" s="164">
        <v>44910</v>
      </c>
      <c r="J679" s="169">
        <v>30000</v>
      </c>
      <c r="K679" s="160" t="s">
        <v>13</v>
      </c>
    </row>
    <row r="680" spans="1:11" ht="13" customHeight="1" x14ac:dyDescent="0.3">
      <c r="A680" s="160">
        <v>1</v>
      </c>
      <c r="B680" s="160">
        <v>2355840001</v>
      </c>
      <c r="C680" s="160" t="s">
        <v>3642</v>
      </c>
      <c r="D680" s="160" t="s">
        <v>3643</v>
      </c>
      <c r="E680" s="160" t="s">
        <v>3665</v>
      </c>
      <c r="F680" s="160" t="s">
        <v>3675</v>
      </c>
      <c r="G680" s="163">
        <v>6</v>
      </c>
      <c r="H680" s="160" t="s">
        <v>3667</v>
      </c>
      <c r="I680" s="164">
        <v>45271</v>
      </c>
      <c r="J680" s="169">
        <v>50000</v>
      </c>
      <c r="K680" s="160" t="s">
        <v>13</v>
      </c>
    </row>
    <row r="681" spans="1:11" ht="13" customHeight="1" x14ac:dyDescent="0.3">
      <c r="A681" s="160">
        <v>1</v>
      </c>
      <c r="B681" s="160">
        <v>2355840002</v>
      </c>
      <c r="C681" s="160" t="s">
        <v>3642</v>
      </c>
      <c r="D681" s="160" t="s">
        <v>3643</v>
      </c>
      <c r="E681" s="160" t="s">
        <v>3665</v>
      </c>
      <c r="F681" s="160" t="s">
        <v>3676</v>
      </c>
      <c r="G681" s="163">
        <v>7</v>
      </c>
      <c r="H681" s="160" t="s">
        <v>3667</v>
      </c>
      <c r="I681" s="164">
        <v>45499</v>
      </c>
      <c r="J681" s="169">
        <v>15000</v>
      </c>
      <c r="K681" s="160" t="s">
        <v>2410</v>
      </c>
    </row>
    <row r="682" spans="1:11" x14ac:dyDescent="0.3">
      <c r="A682" s="160">
        <v>1</v>
      </c>
      <c r="B682" s="160" t="s">
        <v>3677</v>
      </c>
      <c r="C682" s="160" t="s">
        <v>3642</v>
      </c>
      <c r="D682" s="160" t="s">
        <v>3643</v>
      </c>
      <c r="E682" s="160" t="s">
        <v>3678</v>
      </c>
      <c r="F682" s="160" t="s">
        <v>3679</v>
      </c>
      <c r="G682" s="163">
        <v>1</v>
      </c>
      <c r="H682" s="160" t="s">
        <v>3680</v>
      </c>
      <c r="I682" s="164">
        <v>42166</v>
      </c>
      <c r="J682" s="166">
        <v>15000</v>
      </c>
      <c r="K682" s="168" t="s">
        <v>13</v>
      </c>
    </row>
    <row r="683" spans="1:11" ht="13" customHeight="1" x14ac:dyDescent="0.3">
      <c r="A683" s="160">
        <v>1</v>
      </c>
      <c r="B683" s="160" t="s">
        <v>3681</v>
      </c>
      <c r="C683" s="160" t="s">
        <v>3642</v>
      </c>
      <c r="D683" s="160" t="s">
        <v>3643</v>
      </c>
      <c r="E683" s="160" t="s">
        <v>3678</v>
      </c>
      <c r="F683" s="160" t="s">
        <v>3682</v>
      </c>
      <c r="G683" s="163">
        <v>2</v>
      </c>
      <c r="H683" s="160" t="s">
        <v>3680</v>
      </c>
      <c r="I683" s="164">
        <v>42916</v>
      </c>
      <c r="J683" s="169">
        <v>10000</v>
      </c>
      <c r="K683" s="160" t="s">
        <v>13</v>
      </c>
    </row>
    <row r="684" spans="1:11" ht="13" customHeight="1" x14ac:dyDescent="0.3">
      <c r="A684" s="160">
        <v>1</v>
      </c>
      <c r="B684" s="160" t="s">
        <v>3683</v>
      </c>
      <c r="C684" s="160" t="s">
        <v>3642</v>
      </c>
      <c r="D684" s="160" t="s">
        <v>3643</v>
      </c>
      <c r="E684" s="160" t="s">
        <v>3684</v>
      </c>
      <c r="F684" s="160" t="s">
        <v>3685</v>
      </c>
      <c r="G684" s="163">
        <v>1</v>
      </c>
      <c r="H684" s="160" t="s">
        <v>3686</v>
      </c>
      <c r="I684" s="164">
        <v>43066</v>
      </c>
      <c r="J684" s="169">
        <v>8000</v>
      </c>
      <c r="K684" s="160" t="s">
        <v>13</v>
      </c>
    </row>
    <row r="685" spans="1:11" ht="14.5" customHeight="1" x14ac:dyDescent="0.3">
      <c r="A685" s="160">
        <v>1</v>
      </c>
      <c r="B685" s="160" t="s">
        <v>3687</v>
      </c>
      <c r="C685" s="160" t="s">
        <v>3642</v>
      </c>
      <c r="D685" s="160" t="s">
        <v>3643</v>
      </c>
      <c r="E685" s="160" t="s">
        <v>3684</v>
      </c>
      <c r="F685" s="160" t="s">
        <v>3688</v>
      </c>
      <c r="G685" s="163">
        <v>2</v>
      </c>
      <c r="H685" s="160" t="s">
        <v>3686</v>
      </c>
      <c r="I685" s="164">
        <v>43273</v>
      </c>
      <c r="J685" s="169">
        <v>15000</v>
      </c>
      <c r="K685" s="160" t="s">
        <v>13</v>
      </c>
    </row>
    <row r="686" spans="1:11" ht="14.5" customHeight="1" x14ac:dyDescent="0.3">
      <c r="A686" s="160">
        <v>1</v>
      </c>
      <c r="B686" s="160">
        <v>37175</v>
      </c>
      <c r="C686" s="160" t="s">
        <v>3642</v>
      </c>
      <c r="D686" s="160" t="s">
        <v>3643</v>
      </c>
      <c r="E686" s="160" t="s">
        <v>3684</v>
      </c>
      <c r="F686" s="160" t="s">
        <v>3689</v>
      </c>
      <c r="G686" s="163">
        <v>3</v>
      </c>
      <c r="H686" s="160" t="s">
        <v>3686</v>
      </c>
      <c r="I686" s="164">
        <v>43602</v>
      </c>
      <c r="J686" s="169">
        <v>15000</v>
      </c>
      <c r="K686" s="160" t="s">
        <v>13</v>
      </c>
    </row>
    <row r="687" spans="1:11" ht="14.5" customHeight="1" x14ac:dyDescent="0.3">
      <c r="A687" s="160">
        <v>1</v>
      </c>
      <c r="B687" s="160">
        <v>37175</v>
      </c>
      <c r="C687" s="160" t="s">
        <v>3642</v>
      </c>
      <c r="D687" s="160" t="s">
        <v>3643</v>
      </c>
      <c r="E687" s="160" t="s">
        <v>3684</v>
      </c>
      <c r="F687" s="160" t="s">
        <v>3690</v>
      </c>
      <c r="G687" s="163">
        <v>4</v>
      </c>
      <c r="H687" s="160" t="s">
        <v>3686</v>
      </c>
      <c r="I687" s="164">
        <v>44384</v>
      </c>
      <c r="J687" s="169">
        <v>15000</v>
      </c>
      <c r="K687" s="160" t="s">
        <v>13</v>
      </c>
    </row>
    <row r="688" spans="1:11" x14ac:dyDescent="0.3">
      <c r="A688" s="160">
        <v>1</v>
      </c>
      <c r="B688" s="160">
        <v>98837</v>
      </c>
      <c r="C688" s="160" t="s">
        <v>3642</v>
      </c>
      <c r="D688" s="160" t="s">
        <v>3643</v>
      </c>
      <c r="F688" s="160" t="s">
        <v>3691</v>
      </c>
      <c r="G688" s="163">
        <v>1</v>
      </c>
      <c r="H688" s="160" t="s">
        <v>3692</v>
      </c>
      <c r="I688" s="164">
        <v>44453</v>
      </c>
      <c r="J688" s="165">
        <v>50000</v>
      </c>
      <c r="K688" s="160" t="s">
        <v>13</v>
      </c>
    </row>
    <row r="689" spans="1:11" x14ac:dyDescent="0.3">
      <c r="A689" s="160">
        <v>1</v>
      </c>
      <c r="B689" s="160" t="s">
        <v>3693</v>
      </c>
      <c r="C689" s="160" t="s">
        <v>3642</v>
      </c>
      <c r="D689" s="160" t="s">
        <v>3643</v>
      </c>
      <c r="E689" s="160" t="s">
        <v>3694</v>
      </c>
      <c r="F689" s="160" t="s">
        <v>3695</v>
      </c>
      <c r="G689" s="163">
        <v>1</v>
      </c>
      <c r="H689" s="160" t="s">
        <v>3695</v>
      </c>
      <c r="I689" s="164">
        <v>41901</v>
      </c>
      <c r="J689" s="166">
        <v>30000</v>
      </c>
      <c r="K689" s="168" t="s">
        <v>13</v>
      </c>
    </row>
    <row r="690" spans="1:11" x14ac:dyDescent="0.3">
      <c r="A690" s="160">
        <v>1</v>
      </c>
      <c r="B690" s="160" t="s">
        <v>3696</v>
      </c>
      <c r="C690" s="160" t="s">
        <v>3642</v>
      </c>
      <c r="D690" s="160" t="s">
        <v>3643</v>
      </c>
      <c r="E690" s="160" t="s">
        <v>3697</v>
      </c>
      <c r="F690" s="160" t="s">
        <v>3698</v>
      </c>
      <c r="G690" s="163">
        <v>1</v>
      </c>
      <c r="H690" s="160" t="s">
        <v>3699</v>
      </c>
      <c r="I690" s="164">
        <v>42104</v>
      </c>
      <c r="J690" s="166">
        <v>68000</v>
      </c>
      <c r="K690" s="168" t="s">
        <v>13</v>
      </c>
    </row>
    <row r="691" spans="1:11" x14ac:dyDescent="0.3">
      <c r="A691" s="160">
        <v>1</v>
      </c>
      <c r="B691" s="160">
        <v>114605</v>
      </c>
      <c r="C691" s="160" t="s">
        <v>3642</v>
      </c>
      <c r="D691" s="160" t="s">
        <v>3643</v>
      </c>
      <c r="F691" s="160" t="s">
        <v>3700</v>
      </c>
      <c r="G691" s="163">
        <v>1</v>
      </c>
      <c r="H691" s="160" t="s">
        <v>3701</v>
      </c>
      <c r="I691" s="164">
        <v>44477</v>
      </c>
      <c r="J691" s="165">
        <v>15000</v>
      </c>
      <c r="K691" s="160" t="s">
        <v>13</v>
      </c>
    </row>
    <row r="692" spans="1:11" x14ac:dyDescent="0.3">
      <c r="A692" s="160">
        <v>1</v>
      </c>
      <c r="B692" s="160">
        <v>3425300002</v>
      </c>
      <c r="C692" s="160" t="s">
        <v>3642</v>
      </c>
      <c r="D692" s="160" t="s">
        <v>3643</v>
      </c>
      <c r="F692" s="160" t="s">
        <v>3702</v>
      </c>
      <c r="G692" s="163">
        <v>2</v>
      </c>
      <c r="H692" s="160" t="s">
        <v>3701</v>
      </c>
      <c r="I692" s="164">
        <v>45611</v>
      </c>
      <c r="J692" s="165">
        <v>40000</v>
      </c>
      <c r="K692" s="160" t="s">
        <v>13</v>
      </c>
    </row>
    <row r="693" spans="1:11" ht="14.5" customHeight="1" x14ac:dyDescent="0.3">
      <c r="A693" s="171">
        <v>1</v>
      </c>
      <c r="B693" s="171" t="s">
        <v>3703</v>
      </c>
      <c r="C693" s="171" t="s">
        <v>3642</v>
      </c>
      <c r="D693" s="171" t="s">
        <v>3643</v>
      </c>
      <c r="E693" s="171" t="s">
        <v>3704</v>
      </c>
      <c r="F693" s="171" t="s">
        <v>3705</v>
      </c>
      <c r="G693" s="172">
        <v>1</v>
      </c>
      <c r="H693" s="160" t="s">
        <v>3706</v>
      </c>
      <c r="I693" s="173">
        <v>42090</v>
      </c>
      <c r="J693" s="174">
        <v>42000</v>
      </c>
      <c r="K693" s="167" t="s">
        <v>70</v>
      </c>
    </row>
    <row r="694" spans="1:11" x14ac:dyDescent="0.3">
      <c r="A694" s="160">
        <v>1</v>
      </c>
      <c r="B694" s="160" t="s">
        <v>3707</v>
      </c>
      <c r="C694" s="160" t="s">
        <v>3642</v>
      </c>
      <c r="D694" s="160" t="s">
        <v>3643</v>
      </c>
      <c r="E694" s="160" t="s">
        <v>3704</v>
      </c>
      <c r="F694" s="160" t="s">
        <v>3708</v>
      </c>
      <c r="G694" s="163">
        <v>2</v>
      </c>
      <c r="H694" s="160" t="s">
        <v>3706</v>
      </c>
      <c r="I694" s="164">
        <v>43091</v>
      </c>
      <c r="J694" s="169">
        <v>5000</v>
      </c>
      <c r="K694" s="160" t="s">
        <v>13</v>
      </c>
    </row>
    <row r="695" spans="1:11" x14ac:dyDescent="0.3">
      <c r="A695" s="160">
        <v>1</v>
      </c>
      <c r="B695" s="160" t="s">
        <v>3709</v>
      </c>
      <c r="C695" s="160" t="s">
        <v>3642</v>
      </c>
      <c r="D695" s="160" t="s">
        <v>3643</v>
      </c>
      <c r="E695" s="160" t="s">
        <v>3704</v>
      </c>
      <c r="F695" s="160" t="s">
        <v>3710</v>
      </c>
      <c r="G695" s="163">
        <v>3</v>
      </c>
      <c r="H695" s="160" t="s">
        <v>3706</v>
      </c>
      <c r="I695" s="164">
        <v>43273</v>
      </c>
      <c r="J695" s="169">
        <v>30000</v>
      </c>
      <c r="K695" s="160" t="s">
        <v>70</v>
      </c>
    </row>
    <row r="696" spans="1:11" x14ac:dyDescent="0.3">
      <c r="A696" s="160">
        <v>1</v>
      </c>
      <c r="B696" s="160">
        <v>10900602</v>
      </c>
      <c r="C696" s="160" t="s">
        <v>3642</v>
      </c>
      <c r="D696" s="160" t="s">
        <v>3643</v>
      </c>
      <c r="E696" s="160" t="s">
        <v>3704</v>
      </c>
      <c r="F696" s="160" t="s">
        <v>3711</v>
      </c>
      <c r="G696" s="163">
        <v>4</v>
      </c>
      <c r="H696" s="160" t="s">
        <v>3706</v>
      </c>
      <c r="I696" s="164">
        <v>44873</v>
      </c>
      <c r="J696" s="169">
        <v>80000</v>
      </c>
      <c r="K696" s="160" t="s">
        <v>70</v>
      </c>
    </row>
    <row r="697" spans="1:11" ht="14.5" customHeight="1" x14ac:dyDescent="0.3">
      <c r="A697" s="160">
        <v>1</v>
      </c>
      <c r="B697" s="160" t="s">
        <v>3712</v>
      </c>
      <c r="C697" s="160" t="s">
        <v>3642</v>
      </c>
      <c r="D697" s="160" t="s">
        <v>3643</v>
      </c>
      <c r="E697" s="160" t="s">
        <v>3713</v>
      </c>
      <c r="F697" s="160" t="s">
        <v>3714</v>
      </c>
      <c r="G697" s="163">
        <v>1</v>
      </c>
      <c r="H697" s="160" t="s">
        <v>3715</v>
      </c>
      <c r="I697" s="164">
        <v>42137</v>
      </c>
      <c r="J697" s="166">
        <v>4000</v>
      </c>
      <c r="K697" s="170" t="s">
        <v>2410</v>
      </c>
    </row>
    <row r="698" spans="1:11" ht="14.5" customHeight="1" x14ac:dyDescent="0.3">
      <c r="A698" s="160">
        <v>1</v>
      </c>
      <c r="B698" s="160" t="s">
        <v>3716</v>
      </c>
      <c r="C698" s="160" t="s">
        <v>3642</v>
      </c>
      <c r="D698" s="160" t="s">
        <v>3643</v>
      </c>
      <c r="E698" s="160" t="s">
        <v>3713</v>
      </c>
      <c r="F698" s="160" t="s">
        <v>3717</v>
      </c>
      <c r="G698" s="163">
        <v>2</v>
      </c>
      <c r="H698" s="160" t="s">
        <v>3715</v>
      </c>
      <c r="I698" s="164">
        <v>42237</v>
      </c>
      <c r="J698" s="166">
        <v>5000</v>
      </c>
      <c r="K698" s="168" t="s">
        <v>13</v>
      </c>
    </row>
    <row r="699" spans="1:11" x14ac:dyDescent="0.3">
      <c r="A699" s="160">
        <v>1</v>
      </c>
      <c r="B699" s="160" t="s">
        <v>3718</v>
      </c>
      <c r="C699" s="160" t="s">
        <v>3642</v>
      </c>
      <c r="D699" s="160" t="s">
        <v>3643</v>
      </c>
      <c r="E699" s="160" t="s">
        <v>3719</v>
      </c>
      <c r="F699" s="160" t="s">
        <v>3720</v>
      </c>
      <c r="G699" s="163">
        <v>1</v>
      </c>
      <c r="H699" s="160" t="s">
        <v>3721</v>
      </c>
      <c r="I699" s="164">
        <v>43342</v>
      </c>
      <c r="J699" s="169">
        <v>7000</v>
      </c>
      <c r="K699" s="160" t="s">
        <v>13</v>
      </c>
    </row>
    <row r="700" spans="1:11" x14ac:dyDescent="0.3">
      <c r="A700" s="160">
        <v>1</v>
      </c>
      <c r="B700" s="160">
        <v>134111</v>
      </c>
      <c r="C700" s="160" t="s">
        <v>3642</v>
      </c>
      <c r="D700" s="160" t="s">
        <v>3643</v>
      </c>
      <c r="E700" s="160" t="s">
        <v>3719</v>
      </c>
      <c r="F700" s="160" t="s">
        <v>3722</v>
      </c>
      <c r="G700" s="163">
        <v>2</v>
      </c>
      <c r="H700" s="160" t="s">
        <v>3721</v>
      </c>
      <c r="I700" s="164">
        <v>44651</v>
      </c>
      <c r="J700" s="169">
        <v>50000</v>
      </c>
      <c r="K700" s="160" t="s">
        <v>70</v>
      </c>
    </row>
    <row r="701" spans="1:11" x14ac:dyDescent="0.3">
      <c r="A701" s="160">
        <v>1</v>
      </c>
      <c r="B701" s="160" t="s">
        <v>3723</v>
      </c>
      <c r="C701" s="160" t="s">
        <v>3642</v>
      </c>
      <c r="D701" s="160" t="s">
        <v>3643</v>
      </c>
      <c r="E701" s="160" t="s">
        <v>3724</v>
      </c>
      <c r="F701" s="160" t="s">
        <v>3725</v>
      </c>
      <c r="G701" s="163">
        <v>1</v>
      </c>
      <c r="H701" s="160" t="s">
        <v>3726</v>
      </c>
      <c r="I701" s="164">
        <v>42977</v>
      </c>
      <c r="J701" s="169">
        <v>9000</v>
      </c>
      <c r="K701" s="160" t="s">
        <v>70</v>
      </c>
    </row>
    <row r="702" spans="1:11" x14ac:dyDescent="0.3">
      <c r="A702" s="160">
        <v>1</v>
      </c>
      <c r="B702" s="160">
        <v>4967380001</v>
      </c>
      <c r="C702" s="160" t="s">
        <v>3642</v>
      </c>
      <c r="D702" s="160" t="s">
        <v>3643</v>
      </c>
      <c r="F702" s="160" t="s">
        <v>3727</v>
      </c>
      <c r="G702" s="163">
        <v>1</v>
      </c>
      <c r="H702" s="160" t="s">
        <v>3728</v>
      </c>
      <c r="I702" s="164">
        <v>45736</v>
      </c>
      <c r="J702" s="169">
        <v>70000</v>
      </c>
      <c r="K702" s="160" t="s">
        <v>13</v>
      </c>
    </row>
    <row r="703" spans="1:11" ht="14.5" customHeight="1" x14ac:dyDescent="0.3">
      <c r="A703" s="160">
        <v>1</v>
      </c>
      <c r="B703" s="160" t="s">
        <v>3729</v>
      </c>
      <c r="C703" s="160" t="s">
        <v>3642</v>
      </c>
      <c r="D703" s="160" t="s">
        <v>3643</v>
      </c>
      <c r="E703" s="160" t="s">
        <v>3730</v>
      </c>
      <c r="F703" s="160" t="s">
        <v>3731</v>
      </c>
      <c r="G703" s="163">
        <v>1</v>
      </c>
      <c r="H703" s="160" t="s">
        <v>3732</v>
      </c>
      <c r="I703" s="164">
        <v>42216</v>
      </c>
      <c r="J703" s="166">
        <v>5000</v>
      </c>
      <c r="K703" s="170" t="s">
        <v>2410</v>
      </c>
    </row>
    <row r="704" spans="1:11" ht="13" customHeight="1" x14ac:dyDescent="0.3">
      <c r="A704" s="160">
        <v>1</v>
      </c>
      <c r="B704" s="160" t="s">
        <v>3733</v>
      </c>
      <c r="C704" s="160" t="s">
        <v>3642</v>
      </c>
      <c r="D704" s="160" t="s">
        <v>3643</v>
      </c>
      <c r="E704" s="160" t="s">
        <v>3730</v>
      </c>
      <c r="F704" s="160" t="s">
        <v>3734</v>
      </c>
      <c r="G704" s="163">
        <v>2</v>
      </c>
      <c r="H704" s="160" t="s">
        <v>3735</v>
      </c>
      <c r="I704" s="164">
        <v>42978</v>
      </c>
      <c r="J704" s="169">
        <v>30000</v>
      </c>
      <c r="K704" s="160" t="s">
        <v>70</v>
      </c>
    </row>
    <row r="705" spans="1:11" ht="13" customHeight="1" x14ac:dyDescent="0.3">
      <c r="A705" s="160">
        <v>1</v>
      </c>
      <c r="B705" s="160">
        <v>3616750001</v>
      </c>
      <c r="C705" s="160" t="s">
        <v>3642</v>
      </c>
      <c r="D705" s="160" t="s">
        <v>3643</v>
      </c>
      <c r="F705" s="160" t="s">
        <v>3736</v>
      </c>
      <c r="G705" s="163">
        <v>1</v>
      </c>
      <c r="H705" s="160" t="s">
        <v>3737</v>
      </c>
      <c r="I705" s="164">
        <v>45534</v>
      </c>
      <c r="J705" s="169">
        <v>30000</v>
      </c>
      <c r="K705" s="160" t="s">
        <v>13</v>
      </c>
    </row>
    <row r="706" spans="1:11" ht="13" customHeight="1" x14ac:dyDescent="0.3">
      <c r="A706" s="160">
        <v>1</v>
      </c>
      <c r="B706" s="160">
        <v>119131</v>
      </c>
      <c r="C706" s="160" t="s">
        <v>3642</v>
      </c>
      <c r="D706" s="160" t="s">
        <v>3643</v>
      </c>
      <c r="F706" s="160" t="s">
        <v>3738</v>
      </c>
      <c r="G706" s="163">
        <v>1</v>
      </c>
      <c r="H706" s="160" t="s">
        <v>3739</v>
      </c>
      <c r="I706" s="164">
        <v>44515</v>
      </c>
      <c r="J706" s="165">
        <v>40000</v>
      </c>
      <c r="K706" s="160" t="s">
        <v>13</v>
      </c>
    </row>
    <row r="707" spans="1:11" ht="13" customHeight="1" x14ac:dyDescent="0.3">
      <c r="A707" s="160">
        <v>1</v>
      </c>
      <c r="B707" s="160" t="s">
        <v>3740</v>
      </c>
      <c r="C707" s="160" t="s">
        <v>3642</v>
      </c>
      <c r="D707" s="160" t="s">
        <v>3643</v>
      </c>
      <c r="E707" s="160" t="s">
        <v>3741</v>
      </c>
      <c r="F707" s="160" t="s">
        <v>3742</v>
      </c>
      <c r="G707" s="163">
        <v>1</v>
      </c>
      <c r="H707" s="160" t="s">
        <v>3743</v>
      </c>
      <c r="I707" s="164">
        <v>42537</v>
      </c>
      <c r="J707" s="166">
        <v>5000</v>
      </c>
      <c r="K707" s="175" t="s">
        <v>55</v>
      </c>
    </row>
    <row r="708" spans="1:11" ht="13" customHeight="1" x14ac:dyDescent="0.3">
      <c r="A708" s="160">
        <v>1</v>
      </c>
      <c r="B708" s="160" t="s">
        <v>3744</v>
      </c>
      <c r="C708" s="160" t="s">
        <v>3642</v>
      </c>
      <c r="D708" s="160" t="s">
        <v>3643</v>
      </c>
      <c r="E708" s="160" t="s">
        <v>3741</v>
      </c>
      <c r="F708" s="160" t="s">
        <v>3745</v>
      </c>
      <c r="G708" s="163">
        <v>2</v>
      </c>
      <c r="H708" s="160" t="s">
        <v>3743</v>
      </c>
      <c r="I708" s="164">
        <v>42838</v>
      </c>
      <c r="J708" s="169">
        <v>10000</v>
      </c>
      <c r="K708" s="160" t="s">
        <v>13</v>
      </c>
    </row>
    <row r="709" spans="1:11" ht="13" customHeight="1" x14ac:dyDescent="0.3">
      <c r="A709" s="160">
        <v>1</v>
      </c>
      <c r="B709" s="160" t="s">
        <v>3746</v>
      </c>
      <c r="C709" s="160" t="s">
        <v>3642</v>
      </c>
      <c r="D709" s="160" t="s">
        <v>3643</v>
      </c>
      <c r="E709" s="160" t="s">
        <v>3741</v>
      </c>
      <c r="F709" s="160" t="s">
        <v>3747</v>
      </c>
      <c r="G709" s="163">
        <v>3</v>
      </c>
      <c r="H709" s="160" t="s">
        <v>3743</v>
      </c>
      <c r="I709" s="164">
        <v>43118</v>
      </c>
      <c r="J709" s="169">
        <v>20000</v>
      </c>
      <c r="K709" s="160" t="s">
        <v>13</v>
      </c>
    </row>
    <row r="710" spans="1:11" ht="13" customHeight="1" x14ac:dyDescent="0.3">
      <c r="A710" s="160">
        <v>1</v>
      </c>
      <c r="B710" s="160">
        <v>38404</v>
      </c>
      <c r="C710" s="160" t="s">
        <v>3642</v>
      </c>
      <c r="D710" s="160" t="s">
        <v>3643</v>
      </c>
      <c r="E710" s="160" t="s">
        <v>3741</v>
      </c>
      <c r="F710" s="160" t="s">
        <v>3748</v>
      </c>
      <c r="G710" s="163">
        <v>4</v>
      </c>
      <c r="H710" s="160" t="s">
        <v>3743</v>
      </c>
      <c r="I710" s="164">
        <v>43616</v>
      </c>
      <c r="J710" s="169">
        <v>20000</v>
      </c>
      <c r="K710" s="160" t="s">
        <v>13</v>
      </c>
    </row>
    <row r="711" spans="1:11" ht="13" customHeight="1" x14ac:dyDescent="0.3">
      <c r="A711" s="160">
        <v>1</v>
      </c>
      <c r="B711" s="160">
        <v>38404</v>
      </c>
      <c r="C711" s="160" t="s">
        <v>3642</v>
      </c>
      <c r="D711" s="160" t="s">
        <v>3643</v>
      </c>
      <c r="E711" s="160" t="s">
        <v>3741</v>
      </c>
      <c r="F711" s="160" t="s">
        <v>3749</v>
      </c>
      <c r="G711" s="163">
        <v>5</v>
      </c>
      <c r="H711" s="160" t="s">
        <v>3743</v>
      </c>
      <c r="I711" s="164">
        <v>44400</v>
      </c>
      <c r="J711" s="169">
        <v>25000</v>
      </c>
      <c r="K711" s="160" t="s">
        <v>13</v>
      </c>
    </row>
    <row r="712" spans="1:11" ht="13" customHeight="1" x14ac:dyDescent="0.3">
      <c r="A712" s="160">
        <v>1</v>
      </c>
      <c r="B712" s="160" t="s">
        <v>3750</v>
      </c>
      <c r="C712" s="160" t="s">
        <v>3642</v>
      </c>
      <c r="D712" s="160" t="s">
        <v>3643</v>
      </c>
      <c r="E712" s="160" t="s">
        <v>3751</v>
      </c>
      <c r="F712" s="160" t="s">
        <v>3752</v>
      </c>
      <c r="G712" s="163">
        <v>1</v>
      </c>
      <c r="H712" s="160" t="s">
        <v>3753</v>
      </c>
      <c r="I712" s="164">
        <v>41838</v>
      </c>
      <c r="J712" s="166">
        <v>3000</v>
      </c>
      <c r="K712" s="168" t="s">
        <v>13</v>
      </c>
    </row>
    <row r="713" spans="1:11" ht="13" customHeight="1" x14ac:dyDescent="0.3">
      <c r="A713" s="160">
        <v>1</v>
      </c>
      <c r="B713" s="160" t="s">
        <v>3754</v>
      </c>
      <c r="C713" s="160" t="s">
        <v>3755</v>
      </c>
      <c r="D713" s="160" t="s">
        <v>3756</v>
      </c>
      <c r="E713" s="160" t="s">
        <v>3757</v>
      </c>
      <c r="F713" s="160" t="s">
        <v>3758</v>
      </c>
      <c r="G713" s="163">
        <v>1</v>
      </c>
      <c r="H713" s="160" t="s">
        <v>3759</v>
      </c>
      <c r="I713" s="164">
        <v>41519</v>
      </c>
      <c r="J713" s="166">
        <v>10000</v>
      </c>
      <c r="K713" s="168" t="s">
        <v>13</v>
      </c>
    </row>
    <row r="714" spans="1:11" ht="13" customHeight="1" x14ac:dyDescent="0.3">
      <c r="A714" s="160">
        <v>1</v>
      </c>
      <c r="B714" s="160" t="s">
        <v>3760</v>
      </c>
      <c r="C714" s="160" t="s">
        <v>3755</v>
      </c>
      <c r="D714" s="160" t="s">
        <v>3756</v>
      </c>
      <c r="E714" s="160" t="s">
        <v>3757</v>
      </c>
      <c r="F714" s="160" t="s">
        <v>3761</v>
      </c>
      <c r="G714" s="163">
        <v>2</v>
      </c>
      <c r="H714" s="160" t="s">
        <v>3759</v>
      </c>
      <c r="I714" s="164">
        <v>41857</v>
      </c>
      <c r="J714" s="166">
        <v>20000</v>
      </c>
      <c r="K714" s="168" t="s">
        <v>13</v>
      </c>
    </row>
    <row r="715" spans="1:11" ht="13" customHeight="1" x14ac:dyDescent="0.3">
      <c r="A715" s="160">
        <v>1</v>
      </c>
      <c r="B715" s="160">
        <v>10997996</v>
      </c>
      <c r="C715" s="160" t="s">
        <v>3755</v>
      </c>
      <c r="D715" s="160" t="s">
        <v>3756</v>
      </c>
      <c r="F715" s="160" t="s">
        <v>3762</v>
      </c>
      <c r="G715" s="163">
        <v>1</v>
      </c>
      <c r="H715" s="160" t="s">
        <v>3763</v>
      </c>
      <c r="I715" s="164">
        <v>44965</v>
      </c>
      <c r="J715" s="169">
        <v>15000</v>
      </c>
      <c r="K715" s="160" t="s">
        <v>2410</v>
      </c>
    </row>
    <row r="716" spans="1:11" ht="13" customHeight="1" x14ac:dyDescent="0.3">
      <c r="A716" s="160">
        <v>1</v>
      </c>
      <c r="B716" s="160" t="s">
        <v>3764</v>
      </c>
      <c r="C716" s="160" t="s">
        <v>3755</v>
      </c>
      <c r="D716" s="160" t="s">
        <v>3756</v>
      </c>
      <c r="E716" s="160" t="s">
        <v>3765</v>
      </c>
      <c r="F716" s="160" t="s">
        <v>3766</v>
      </c>
      <c r="G716" s="163">
        <v>1</v>
      </c>
      <c r="H716" s="160" t="s">
        <v>3767</v>
      </c>
      <c r="I716" s="164">
        <v>41592</v>
      </c>
      <c r="J716" s="166">
        <v>25000</v>
      </c>
      <c r="K716" s="168" t="s">
        <v>13</v>
      </c>
    </row>
    <row r="717" spans="1:11" ht="13" customHeight="1" x14ac:dyDescent="0.3">
      <c r="A717" s="160">
        <v>1</v>
      </c>
      <c r="B717" s="160" t="s">
        <v>3768</v>
      </c>
      <c r="C717" s="160" t="s">
        <v>3755</v>
      </c>
      <c r="D717" s="160" t="s">
        <v>3756</v>
      </c>
      <c r="E717" s="160" t="s">
        <v>3765</v>
      </c>
      <c r="F717" s="160" t="s">
        <v>3769</v>
      </c>
      <c r="G717" s="163">
        <v>2</v>
      </c>
      <c r="H717" s="160" t="s">
        <v>3767</v>
      </c>
      <c r="I717" s="164">
        <v>42443</v>
      </c>
      <c r="J717" s="166">
        <v>50000</v>
      </c>
      <c r="K717" s="168" t="s">
        <v>13</v>
      </c>
    </row>
    <row r="718" spans="1:11" ht="13" customHeight="1" x14ac:dyDescent="0.3">
      <c r="A718" s="160">
        <v>1</v>
      </c>
      <c r="B718" s="160">
        <v>10904771</v>
      </c>
      <c r="C718" s="160" t="s">
        <v>3755</v>
      </c>
      <c r="D718" s="160" t="s">
        <v>3756</v>
      </c>
      <c r="F718" s="160" t="s">
        <v>3770</v>
      </c>
      <c r="G718" s="163">
        <v>1</v>
      </c>
      <c r="H718" s="160" t="s">
        <v>3771</v>
      </c>
      <c r="I718" s="164">
        <v>44890</v>
      </c>
      <c r="J718" s="169">
        <v>200000</v>
      </c>
      <c r="K718" s="160" t="s">
        <v>13</v>
      </c>
    </row>
    <row r="719" spans="1:11" ht="13" customHeight="1" x14ac:dyDescent="0.3">
      <c r="A719" s="160">
        <v>1</v>
      </c>
      <c r="B719" s="160" t="s">
        <v>3772</v>
      </c>
      <c r="C719" s="160" t="s">
        <v>3755</v>
      </c>
      <c r="D719" s="160" t="s">
        <v>3756</v>
      </c>
      <c r="E719" s="160" t="s">
        <v>3773</v>
      </c>
      <c r="F719" s="160" t="s">
        <v>3774</v>
      </c>
      <c r="G719" s="163">
        <v>1</v>
      </c>
      <c r="H719" s="160" t="s">
        <v>3775</v>
      </c>
      <c r="I719" s="164">
        <v>41751</v>
      </c>
      <c r="J719" s="166">
        <v>10000</v>
      </c>
      <c r="K719" s="168" t="s">
        <v>13</v>
      </c>
    </row>
    <row r="720" spans="1:11" ht="13" customHeight="1" x14ac:dyDescent="0.3">
      <c r="A720" s="160">
        <v>1</v>
      </c>
      <c r="B720" s="160" t="s">
        <v>3776</v>
      </c>
      <c r="C720" s="160" t="s">
        <v>3755</v>
      </c>
      <c r="D720" s="160" t="s">
        <v>3756</v>
      </c>
      <c r="E720" s="160" t="s">
        <v>3773</v>
      </c>
      <c r="F720" s="160" t="s">
        <v>3777</v>
      </c>
      <c r="G720" s="163">
        <v>2</v>
      </c>
      <c r="H720" s="160" t="s">
        <v>3775</v>
      </c>
      <c r="I720" s="164">
        <v>42116</v>
      </c>
      <c r="J720" s="166">
        <v>20000</v>
      </c>
      <c r="K720" s="168" t="s">
        <v>13</v>
      </c>
    </row>
    <row r="721" spans="1:11" ht="13" customHeight="1" x14ac:dyDescent="0.3">
      <c r="A721" s="160">
        <v>1</v>
      </c>
      <c r="B721" s="160" t="s">
        <v>3778</v>
      </c>
      <c r="C721" s="160" t="s">
        <v>3755</v>
      </c>
      <c r="D721" s="160" t="s">
        <v>3756</v>
      </c>
      <c r="E721" s="160" t="s">
        <v>3773</v>
      </c>
      <c r="F721" s="160" t="s">
        <v>3779</v>
      </c>
      <c r="G721" s="163">
        <v>3</v>
      </c>
      <c r="H721" s="160" t="s">
        <v>3775</v>
      </c>
      <c r="I721" s="164">
        <v>42824</v>
      </c>
      <c r="J721" s="169">
        <v>10000</v>
      </c>
      <c r="K721" s="160" t="s">
        <v>13</v>
      </c>
    </row>
    <row r="722" spans="1:11" ht="13" customHeight="1" x14ac:dyDescent="0.3">
      <c r="A722" s="160">
        <v>1</v>
      </c>
      <c r="B722" s="160" t="s">
        <v>3780</v>
      </c>
      <c r="C722" s="160" t="s">
        <v>3755</v>
      </c>
      <c r="D722" s="160" t="s">
        <v>3756</v>
      </c>
      <c r="E722" s="160" t="s">
        <v>3773</v>
      </c>
      <c r="F722" s="160" t="s">
        <v>3781</v>
      </c>
      <c r="G722" s="163">
        <v>4</v>
      </c>
      <c r="H722" s="160" t="s">
        <v>3775</v>
      </c>
      <c r="I722" s="164">
        <v>43258</v>
      </c>
      <c r="J722" s="169">
        <v>10000</v>
      </c>
      <c r="K722" s="160" t="s">
        <v>13</v>
      </c>
    </row>
    <row r="723" spans="1:11" ht="13" customHeight="1" x14ac:dyDescent="0.3">
      <c r="A723" s="160">
        <v>1</v>
      </c>
      <c r="B723" s="160" t="s">
        <v>3782</v>
      </c>
      <c r="C723" s="160" t="s">
        <v>3755</v>
      </c>
      <c r="D723" s="160" t="s">
        <v>3756</v>
      </c>
      <c r="E723" s="160" t="s">
        <v>3783</v>
      </c>
      <c r="F723" s="160" t="s">
        <v>3784</v>
      </c>
      <c r="G723" s="163">
        <v>1</v>
      </c>
      <c r="H723" s="160" t="s">
        <v>3785</v>
      </c>
      <c r="I723" s="164">
        <v>42331</v>
      </c>
      <c r="J723" s="166">
        <v>40000</v>
      </c>
      <c r="K723" s="168" t="s">
        <v>13</v>
      </c>
    </row>
    <row r="724" spans="1:11" ht="13" customHeight="1" x14ac:dyDescent="0.3">
      <c r="A724" s="160">
        <v>1</v>
      </c>
      <c r="B724" s="160" t="s">
        <v>3786</v>
      </c>
      <c r="C724" s="160" t="s">
        <v>3755</v>
      </c>
      <c r="D724" s="160" t="s">
        <v>3756</v>
      </c>
      <c r="E724" s="160" t="s">
        <v>3783</v>
      </c>
      <c r="F724" s="160" t="s">
        <v>3787</v>
      </c>
      <c r="G724" s="163">
        <v>2</v>
      </c>
      <c r="H724" s="160" t="s">
        <v>3785</v>
      </c>
      <c r="I724" s="164">
        <v>43062</v>
      </c>
      <c r="J724" s="169">
        <v>80000</v>
      </c>
      <c r="K724" s="160" t="s">
        <v>13</v>
      </c>
    </row>
    <row r="725" spans="1:11" x14ac:dyDescent="0.3">
      <c r="A725" s="160">
        <v>1</v>
      </c>
      <c r="B725" s="160">
        <v>132097</v>
      </c>
      <c r="C725" s="160" t="s">
        <v>3755</v>
      </c>
      <c r="D725" s="160" t="s">
        <v>3756</v>
      </c>
      <c r="E725" s="160" t="s">
        <v>3783</v>
      </c>
      <c r="F725" s="160" t="s">
        <v>3788</v>
      </c>
      <c r="G725" s="163">
        <v>3</v>
      </c>
      <c r="H725" s="160" t="s">
        <v>3785</v>
      </c>
      <c r="I725" s="164">
        <v>44637</v>
      </c>
      <c r="J725" s="169">
        <v>40000</v>
      </c>
      <c r="K725" s="160" t="s">
        <v>13</v>
      </c>
    </row>
    <row r="726" spans="1:11" x14ac:dyDescent="0.3">
      <c r="A726" s="160">
        <v>1</v>
      </c>
      <c r="B726" s="160">
        <v>5036830001</v>
      </c>
      <c r="C726" s="160" t="s">
        <v>3755</v>
      </c>
      <c r="D726" s="160" t="s">
        <v>3756</v>
      </c>
      <c r="E726" s="160" t="s">
        <v>3783</v>
      </c>
      <c r="F726" s="160" t="s">
        <v>3789</v>
      </c>
      <c r="G726" s="163">
        <v>4</v>
      </c>
      <c r="H726" s="160" t="s">
        <v>3785</v>
      </c>
      <c r="I726" s="164">
        <v>45502</v>
      </c>
      <c r="J726" s="169">
        <v>90000</v>
      </c>
      <c r="K726" s="160" t="s">
        <v>13</v>
      </c>
    </row>
    <row r="727" spans="1:11" x14ac:dyDescent="0.3">
      <c r="A727" s="160">
        <v>1</v>
      </c>
      <c r="B727" s="160" t="s">
        <v>3790</v>
      </c>
      <c r="C727" s="160" t="s">
        <v>3755</v>
      </c>
      <c r="D727" s="160" t="s">
        <v>3756</v>
      </c>
      <c r="E727" s="160" t="s">
        <v>3791</v>
      </c>
      <c r="F727" s="160" t="s">
        <v>3792</v>
      </c>
      <c r="G727" s="163">
        <v>1</v>
      </c>
      <c r="H727" s="160" t="s">
        <v>3793</v>
      </c>
      <c r="I727" s="164">
        <v>42661</v>
      </c>
      <c r="J727" s="166">
        <v>5000</v>
      </c>
      <c r="K727" s="170" t="s">
        <v>2410</v>
      </c>
    </row>
    <row r="728" spans="1:11" x14ac:dyDescent="0.3">
      <c r="A728" s="160">
        <v>1</v>
      </c>
      <c r="B728" s="160" t="s">
        <v>3794</v>
      </c>
      <c r="C728" s="160" t="s">
        <v>3755</v>
      </c>
      <c r="D728" s="160" t="s">
        <v>3756</v>
      </c>
      <c r="E728" s="160" t="s">
        <v>3791</v>
      </c>
      <c r="F728" s="160" t="s">
        <v>3795</v>
      </c>
      <c r="G728" s="163">
        <v>2</v>
      </c>
      <c r="H728" s="160" t="s">
        <v>3793</v>
      </c>
      <c r="I728" s="164">
        <v>42958</v>
      </c>
      <c r="J728" s="169">
        <v>10000</v>
      </c>
      <c r="K728" s="160" t="s">
        <v>13</v>
      </c>
    </row>
    <row r="729" spans="1:11" x14ac:dyDescent="0.3">
      <c r="A729" s="160">
        <v>1</v>
      </c>
      <c r="B729" s="160">
        <v>36585</v>
      </c>
      <c r="C729" s="160" t="s">
        <v>3755</v>
      </c>
      <c r="D729" s="160" t="s">
        <v>3756</v>
      </c>
      <c r="E729" s="160" t="s">
        <v>3791</v>
      </c>
      <c r="F729" s="160" t="s">
        <v>3796</v>
      </c>
      <c r="G729" s="163">
        <v>3</v>
      </c>
      <c r="H729" s="160" t="s">
        <v>3793</v>
      </c>
      <c r="I729" s="164">
        <v>43593</v>
      </c>
      <c r="J729" s="169">
        <v>20000</v>
      </c>
      <c r="K729" s="160" t="s">
        <v>13</v>
      </c>
    </row>
    <row r="730" spans="1:11" x14ac:dyDescent="0.3">
      <c r="A730" s="160">
        <v>1</v>
      </c>
      <c r="B730" s="160">
        <v>92992</v>
      </c>
      <c r="C730" s="160" t="s">
        <v>3755</v>
      </c>
      <c r="D730" s="160" t="s">
        <v>3756</v>
      </c>
      <c r="E730" s="160" t="s">
        <v>3791</v>
      </c>
      <c r="F730" s="160" t="s">
        <v>3797</v>
      </c>
      <c r="G730" s="163">
        <v>4</v>
      </c>
      <c r="H730" s="160" t="s">
        <v>3793</v>
      </c>
      <c r="I730" s="164">
        <v>44274</v>
      </c>
      <c r="J730" s="169">
        <v>30000</v>
      </c>
      <c r="K730" s="160" t="s">
        <v>13</v>
      </c>
    </row>
    <row r="731" spans="1:11" x14ac:dyDescent="0.3">
      <c r="A731" s="160">
        <v>1</v>
      </c>
      <c r="B731" s="160" t="s">
        <v>3798</v>
      </c>
      <c r="C731" s="160" t="s">
        <v>3755</v>
      </c>
      <c r="D731" s="160" t="s">
        <v>3756</v>
      </c>
      <c r="E731" s="160" t="s">
        <v>3799</v>
      </c>
      <c r="F731" s="160" t="s">
        <v>3800</v>
      </c>
      <c r="G731" s="163">
        <v>1</v>
      </c>
      <c r="H731" s="160" t="s">
        <v>3801</v>
      </c>
      <c r="I731" s="164">
        <v>42010</v>
      </c>
      <c r="J731" s="166">
        <v>40000</v>
      </c>
      <c r="K731" s="168" t="s">
        <v>13</v>
      </c>
    </row>
    <row r="732" spans="1:11" x14ac:dyDescent="0.3">
      <c r="A732" s="160">
        <v>1</v>
      </c>
      <c r="B732" s="160" t="s">
        <v>3802</v>
      </c>
      <c r="C732" s="160" t="s">
        <v>3755</v>
      </c>
      <c r="D732" s="160" t="s">
        <v>3756</v>
      </c>
      <c r="E732" s="160" t="s">
        <v>3799</v>
      </c>
      <c r="F732" s="160" t="s">
        <v>3803</v>
      </c>
      <c r="G732" s="163">
        <v>2</v>
      </c>
      <c r="H732" s="160" t="s">
        <v>3801</v>
      </c>
      <c r="I732" s="164">
        <v>43250</v>
      </c>
      <c r="J732" s="169">
        <v>20000</v>
      </c>
      <c r="K732" s="160" t="s">
        <v>13</v>
      </c>
    </row>
    <row r="733" spans="1:11" x14ac:dyDescent="0.3">
      <c r="A733" s="160">
        <v>1</v>
      </c>
      <c r="B733" s="160">
        <v>112471</v>
      </c>
      <c r="C733" s="160" t="s">
        <v>3755</v>
      </c>
      <c r="D733" s="160" t="s">
        <v>3756</v>
      </c>
      <c r="E733" s="160" t="s">
        <v>3799</v>
      </c>
      <c r="F733" s="160" t="s">
        <v>3804</v>
      </c>
      <c r="G733" s="163">
        <v>3</v>
      </c>
      <c r="H733" s="160" t="s">
        <v>3801</v>
      </c>
      <c r="I733" s="164">
        <v>44459</v>
      </c>
      <c r="J733" s="169">
        <v>40000</v>
      </c>
      <c r="K733" s="160" t="s">
        <v>70</v>
      </c>
    </row>
    <row r="734" spans="1:11" x14ac:dyDescent="0.3">
      <c r="A734" s="160">
        <v>1</v>
      </c>
      <c r="B734" s="160">
        <v>10902575</v>
      </c>
      <c r="C734" s="160" t="s">
        <v>3755</v>
      </c>
      <c r="D734" s="160" t="s">
        <v>3756</v>
      </c>
      <c r="F734" s="160" t="s">
        <v>3805</v>
      </c>
      <c r="G734" s="163">
        <v>1</v>
      </c>
      <c r="H734" s="160" t="s">
        <v>3806</v>
      </c>
      <c r="I734" s="164">
        <v>44882</v>
      </c>
      <c r="J734" s="169">
        <v>80000</v>
      </c>
      <c r="K734" s="160" t="s">
        <v>13</v>
      </c>
    </row>
    <row r="735" spans="1:11" x14ac:dyDescent="0.3">
      <c r="A735" s="160">
        <v>1</v>
      </c>
      <c r="B735" s="160">
        <v>5616950001</v>
      </c>
      <c r="C735" s="160" t="s">
        <v>3755</v>
      </c>
      <c r="D735" s="160" t="s">
        <v>3756</v>
      </c>
      <c r="F735" s="160" t="s">
        <v>3807</v>
      </c>
      <c r="G735" s="163">
        <v>2</v>
      </c>
      <c r="H735" s="160" t="s">
        <v>3806</v>
      </c>
      <c r="I735" s="164">
        <v>45280</v>
      </c>
      <c r="J735" s="169">
        <v>50000</v>
      </c>
      <c r="K735" s="160" t="s">
        <v>55</v>
      </c>
    </row>
    <row r="736" spans="1:11" x14ac:dyDescent="0.3">
      <c r="A736" s="160">
        <v>1</v>
      </c>
      <c r="B736" s="160">
        <v>5616950002</v>
      </c>
      <c r="C736" s="160" t="s">
        <v>3755</v>
      </c>
      <c r="D736" s="160" t="s">
        <v>3756</v>
      </c>
      <c r="F736" s="160" t="s">
        <v>3808</v>
      </c>
      <c r="G736" s="163">
        <v>3</v>
      </c>
      <c r="H736" s="160" t="s">
        <v>3806</v>
      </c>
      <c r="I736" s="164">
        <v>45736</v>
      </c>
      <c r="J736" s="169">
        <v>130000</v>
      </c>
      <c r="K736" s="160" t="s">
        <v>13</v>
      </c>
    </row>
    <row r="737" spans="1:11" x14ac:dyDescent="0.3">
      <c r="A737" s="160">
        <v>1</v>
      </c>
      <c r="B737" s="160">
        <v>150726</v>
      </c>
      <c r="C737" s="160" t="s">
        <v>3755</v>
      </c>
      <c r="D737" s="160" t="s">
        <v>3756</v>
      </c>
      <c r="F737" s="160" t="s">
        <v>3809</v>
      </c>
      <c r="G737" s="163">
        <v>1</v>
      </c>
      <c r="H737" s="160" t="s">
        <v>3810</v>
      </c>
      <c r="I737" s="164">
        <v>44820</v>
      </c>
      <c r="J737" s="169">
        <v>50000</v>
      </c>
      <c r="K737" s="160" t="s">
        <v>13</v>
      </c>
    </row>
    <row r="738" spans="1:11" x14ac:dyDescent="0.3">
      <c r="A738" s="160">
        <v>1</v>
      </c>
      <c r="B738" s="160">
        <v>5016210001</v>
      </c>
      <c r="C738" s="160" t="s">
        <v>3755</v>
      </c>
      <c r="D738" s="160" t="s">
        <v>3756</v>
      </c>
      <c r="F738" s="160" t="s">
        <v>3811</v>
      </c>
      <c r="G738" s="163">
        <v>2</v>
      </c>
      <c r="H738" s="160" t="s">
        <v>3810</v>
      </c>
      <c r="I738" s="164">
        <v>45124</v>
      </c>
      <c r="J738" s="169">
        <v>25000</v>
      </c>
      <c r="K738" s="160" t="s">
        <v>13</v>
      </c>
    </row>
    <row r="739" spans="1:11" x14ac:dyDescent="0.3">
      <c r="A739" s="160">
        <v>1</v>
      </c>
      <c r="B739" s="160">
        <v>5016210002</v>
      </c>
      <c r="C739" s="160" t="s">
        <v>3755</v>
      </c>
      <c r="D739" s="160" t="s">
        <v>3756</v>
      </c>
      <c r="F739" s="160" t="s">
        <v>3812</v>
      </c>
      <c r="G739" s="163">
        <v>3</v>
      </c>
      <c r="H739" s="160" t="s">
        <v>3810</v>
      </c>
      <c r="I739" s="164">
        <v>45408</v>
      </c>
      <c r="J739" s="169">
        <v>60000</v>
      </c>
      <c r="K739" s="160" t="s">
        <v>13</v>
      </c>
    </row>
    <row r="740" spans="1:11" x14ac:dyDescent="0.3">
      <c r="A740" s="160">
        <v>1</v>
      </c>
      <c r="B740" s="160">
        <v>5016210003</v>
      </c>
      <c r="C740" s="160" t="s">
        <v>3755</v>
      </c>
      <c r="D740" s="160" t="s">
        <v>3756</v>
      </c>
      <c r="F740" s="160" t="s">
        <v>3813</v>
      </c>
      <c r="G740" s="163">
        <v>4</v>
      </c>
      <c r="H740" s="160" t="s">
        <v>3810</v>
      </c>
      <c r="I740" s="164">
        <v>45663</v>
      </c>
      <c r="J740" s="169">
        <v>70000</v>
      </c>
      <c r="K740" s="160" t="s">
        <v>13</v>
      </c>
    </row>
    <row r="741" spans="1:11" x14ac:dyDescent="0.3">
      <c r="A741" s="160">
        <v>1</v>
      </c>
      <c r="B741" s="160">
        <v>115098</v>
      </c>
      <c r="C741" s="160" t="s">
        <v>3755</v>
      </c>
      <c r="D741" s="160" t="s">
        <v>3756</v>
      </c>
      <c r="F741" s="160" t="s">
        <v>3814</v>
      </c>
      <c r="G741" s="163">
        <v>1</v>
      </c>
      <c r="H741" s="160" t="s">
        <v>3815</v>
      </c>
      <c r="I741" s="164">
        <v>44483</v>
      </c>
      <c r="J741" s="169">
        <v>80000</v>
      </c>
      <c r="K741" s="160" t="s">
        <v>13</v>
      </c>
    </row>
    <row r="742" spans="1:11" x14ac:dyDescent="0.3">
      <c r="A742" s="160">
        <v>1</v>
      </c>
      <c r="B742" s="160">
        <v>10903275</v>
      </c>
      <c r="C742" s="160" t="s">
        <v>3755</v>
      </c>
      <c r="D742" s="160" t="s">
        <v>3756</v>
      </c>
      <c r="F742" s="160" t="s">
        <v>3816</v>
      </c>
      <c r="G742" s="163">
        <v>2</v>
      </c>
      <c r="H742" s="160" t="s">
        <v>3815</v>
      </c>
      <c r="I742" s="164">
        <v>44886</v>
      </c>
      <c r="J742" s="169">
        <v>100000</v>
      </c>
      <c r="K742" s="160" t="s">
        <v>13</v>
      </c>
    </row>
    <row r="743" spans="1:11" x14ac:dyDescent="0.3">
      <c r="A743" s="160">
        <v>1</v>
      </c>
      <c r="B743" s="160">
        <v>4919190001</v>
      </c>
      <c r="C743" s="160" t="s">
        <v>3755</v>
      </c>
      <c r="D743" s="160" t="s">
        <v>3756</v>
      </c>
      <c r="F743" s="160" t="s">
        <v>3817</v>
      </c>
      <c r="G743" s="163">
        <v>3</v>
      </c>
      <c r="H743" s="160" t="s">
        <v>3815</v>
      </c>
      <c r="I743" s="164">
        <v>45534</v>
      </c>
      <c r="J743" s="169">
        <v>10000</v>
      </c>
      <c r="K743" s="160" t="s">
        <v>13</v>
      </c>
    </row>
    <row r="744" spans="1:11" ht="13" customHeight="1" x14ac:dyDescent="0.3">
      <c r="A744" s="160">
        <v>1</v>
      </c>
      <c r="B744" s="160" t="s">
        <v>3818</v>
      </c>
      <c r="C744" s="160" t="s">
        <v>3755</v>
      </c>
      <c r="D744" s="160" t="s">
        <v>3756</v>
      </c>
      <c r="E744" s="160" t="s">
        <v>3819</v>
      </c>
      <c r="F744" s="160" t="s">
        <v>3820</v>
      </c>
      <c r="G744" s="163">
        <v>1</v>
      </c>
      <c r="H744" s="160" t="s">
        <v>3821</v>
      </c>
      <c r="I744" s="164">
        <v>42128</v>
      </c>
      <c r="J744" s="166">
        <v>30000</v>
      </c>
      <c r="K744" s="168" t="s">
        <v>13</v>
      </c>
    </row>
    <row r="745" spans="1:11" x14ac:dyDescent="0.3">
      <c r="A745" s="160">
        <v>1</v>
      </c>
      <c r="B745" s="160" t="s">
        <v>3822</v>
      </c>
      <c r="C745" s="160" t="s">
        <v>3755</v>
      </c>
      <c r="D745" s="160" t="s">
        <v>3756</v>
      </c>
      <c r="E745" s="160" t="s">
        <v>3823</v>
      </c>
      <c r="F745" s="160" t="s">
        <v>3824</v>
      </c>
      <c r="G745" s="163">
        <v>1</v>
      </c>
      <c r="H745" s="160" t="s">
        <v>3825</v>
      </c>
      <c r="I745" s="164">
        <v>42916</v>
      </c>
      <c r="J745" s="169">
        <v>40000</v>
      </c>
      <c r="K745" s="160" t="s">
        <v>70</v>
      </c>
    </row>
    <row r="746" spans="1:11" x14ac:dyDescent="0.3">
      <c r="A746" s="160">
        <v>1</v>
      </c>
      <c r="B746" s="160">
        <v>46600</v>
      </c>
      <c r="C746" s="160" t="s">
        <v>3755</v>
      </c>
      <c r="D746" s="160" t="s">
        <v>3756</v>
      </c>
      <c r="E746" s="160" t="s">
        <v>3823</v>
      </c>
      <c r="F746" s="160" t="s">
        <v>3826</v>
      </c>
      <c r="G746" s="163">
        <v>2</v>
      </c>
      <c r="H746" s="160" t="s">
        <v>3825</v>
      </c>
      <c r="I746" s="164">
        <v>43742</v>
      </c>
      <c r="J746" s="169">
        <v>35000</v>
      </c>
      <c r="K746" s="160" t="s">
        <v>13</v>
      </c>
    </row>
    <row r="747" spans="1:11" ht="13" customHeight="1" x14ac:dyDescent="0.3">
      <c r="A747" s="160">
        <v>1</v>
      </c>
      <c r="B747" s="160">
        <v>145559</v>
      </c>
      <c r="C747" s="160" t="s">
        <v>3755</v>
      </c>
      <c r="D747" s="160" t="s">
        <v>3756</v>
      </c>
      <c r="E747" s="160" t="s">
        <v>3823</v>
      </c>
      <c r="F747" s="160" t="s">
        <v>3827</v>
      </c>
      <c r="G747" s="163">
        <v>3</v>
      </c>
      <c r="H747" s="160" t="s">
        <v>3825</v>
      </c>
      <c r="I747" s="164">
        <v>44742</v>
      </c>
      <c r="J747" s="169">
        <v>25000</v>
      </c>
      <c r="K747" s="160" t="s">
        <v>13</v>
      </c>
    </row>
    <row r="748" spans="1:11" ht="13" customHeight="1" x14ac:dyDescent="0.3">
      <c r="A748" s="160">
        <v>1</v>
      </c>
      <c r="B748" s="160">
        <v>3202470001</v>
      </c>
      <c r="C748" s="160" t="s">
        <v>3755</v>
      </c>
      <c r="D748" s="160" t="s">
        <v>3756</v>
      </c>
      <c r="E748" s="160" t="s">
        <v>3823</v>
      </c>
      <c r="F748" s="160" t="s">
        <v>3828</v>
      </c>
      <c r="G748" s="163">
        <v>4</v>
      </c>
      <c r="H748" s="160" t="s">
        <v>3825</v>
      </c>
      <c r="I748" s="164">
        <v>45882</v>
      </c>
      <c r="J748" s="169">
        <v>40000</v>
      </c>
      <c r="K748" s="160" t="s">
        <v>13</v>
      </c>
    </row>
    <row r="749" spans="1:11" ht="13" customHeight="1" x14ac:dyDescent="0.3">
      <c r="A749" s="160">
        <v>1</v>
      </c>
      <c r="B749" s="160" t="s">
        <v>3829</v>
      </c>
      <c r="C749" s="160" t="s">
        <v>3755</v>
      </c>
      <c r="D749" s="160" t="s">
        <v>3756</v>
      </c>
      <c r="E749" s="160" t="s">
        <v>3830</v>
      </c>
      <c r="F749" s="160" t="s">
        <v>3831</v>
      </c>
      <c r="G749" s="163">
        <v>1</v>
      </c>
      <c r="H749" s="160" t="s">
        <v>3832</v>
      </c>
      <c r="I749" s="164">
        <v>41960</v>
      </c>
      <c r="J749" s="166">
        <v>3000</v>
      </c>
      <c r="K749" s="168" t="s">
        <v>13</v>
      </c>
    </row>
    <row r="750" spans="1:11" ht="13" customHeight="1" x14ac:dyDescent="0.3">
      <c r="A750" s="160">
        <v>1</v>
      </c>
      <c r="B750" s="160" t="s">
        <v>3833</v>
      </c>
      <c r="C750" s="160" t="s">
        <v>3755</v>
      </c>
      <c r="D750" s="160" t="s">
        <v>3756</v>
      </c>
      <c r="E750" s="160" t="s">
        <v>3830</v>
      </c>
      <c r="F750" s="160" t="s">
        <v>3834</v>
      </c>
      <c r="G750" s="163">
        <v>2</v>
      </c>
      <c r="H750" s="160" t="s">
        <v>3832</v>
      </c>
      <c r="I750" s="164">
        <v>43011</v>
      </c>
      <c r="J750" s="169">
        <v>5000</v>
      </c>
      <c r="K750" s="160" t="s">
        <v>13</v>
      </c>
    </row>
    <row r="751" spans="1:11" ht="13" customHeight="1" x14ac:dyDescent="0.3">
      <c r="A751" s="160">
        <v>1</v>
      </c>
      <c r="B751" s="160" t="s">
        <v>3835</v>
      </c>
      <c r="C751" s="160" t="s">
        <v>3755</v>
      </c>
      <c r="D751" s="160" t="s">
        <v>3756</v>
      </c>
      <c r="E751" s="160" t="s">
        <v>3836</v>
      </c>
      <c r="F751" s="160" t="s">
        <v>3837</v>
      </c>
      <c r="G751" s="163">
        <v>1</v>
      </c>
      <c r="H751" s="160" t="s">
        <v>3838</v>
      </c>
      <c r="I751" s="164">
        <v>42551</v>
      </c>
      <c r="J751" s="166">
        <v>40000</v>
      </c>
      <c r="K751" s="168" t="s">
        <v>13</v>
      </c>
    </row>
    <row r="752" spans="1:11" ht="13" customHeight="1" x14ac:dyDescent="0.3">
      <c r="A752" s="160">
        <v>1</v>
      </c>
      <c r="B752" s="160">
        <v>27483</v>
      </c>
      <c r="C752" s="160" t="s">
        <v>3755</v>
      </c>
      <c r="D752" s="160" t="s">
        <v>3756</v>
      </c>
      <c r="E752" s="160" t="s">
        <v>3836</v>
      </c>
      <c r="F752" s="160" t="s">
        <v>3839</v>
      </c>
      <c r="G752" s="163">
        <v>2</v>
      </c>
      <c r="H752" s="160" t="s">
        <v>3838</v>
      </c>
      <c r="I752" s="164">
        <v>43437</v>
      </c>
      <c r="J752" s="169">
        <v>15000</v>
      </c>
      <c r="K752" s="160" t="s">
        <v>13</v>
      </c>
    </row>
    <row r="753" spans="1:11" ht="13" customHeight="1" x14ac:dyDescent="0.3">
      <c r="A753" s="160">
        <v>1</v>
      </c>
      <c r="B753" s="160" t="s">
        <v>3840</v>
      </c>
      <c r="C753" s="160" t="s">
        <v>3755</v>
      </c>
      <c r="D753" s="160" t="s">
        <v>3756</v>
      </c>
      <c r="E753" s="160" t="s">
        <v>3841</v>
      </c>
      <c r="F753" s="160" t="s">
        <v>3842</v>
      </c>
      <c r="G753" s="163">
        <v>2</v>
      </c>
      <c r="H753" s="160" t="s">
        <v>3843</v>
      </c>
      <c r="I753" s="164">
        <v>42942</v>
      </c>
      <c r="J753" s="169">
        <v>50000</v>
      </c>
      <c r="K753" s="160" t="s">
        <v>13</v>
      </c>
    </row>
    <row r="754" spans="1:11" ht="13" customHeight="1" x14ac:dyDescent="0.3">
      <c r="A754" s="160">
        <v>1</v>
      </c>
      <c r="B754" s="160" t="s">
        <v>3844</v>
      </c>
      <c r="C754" s="160" t="s">
        <v>3755</v>
      </c>
      <c r="D754" s="160" t="s">
        <v>3756</v>
      </c>
      <c r="E754" s="160" t="s">
        <v>3841</v>
      </c>
      <c r="F754" s="160" t="s">
        <v>3845</v>
      </c>
      <c r="G754" s="163">
        <v>1</v>
      </c>
      <c r="H754" s="160" t="s">
        <v>3843</v>
      </c>
      <c r="I754" s="164">
        <v>42592</v>
      </c>
      <c r="J754" s="166">
        <v>30000</v>
      </c>
      <c r="K754" s="168" t="s">
        <v>13</v>
      </c>
    </row>
    <row r="755" spans="1:11" ht="13" customHeight="1" x14ac:dyDescent="0.3">
      <c r="A755" s="160">
        <v>1</v>
      </c>
      <c r="B755" s="160" t="s">
        <v>3846</v>
      </c>
      <c r="C755" s="160" t="s">
        <v>3755</v>
      </c>
      <c r="D755" s="160" t="s">
        <v>3756</v>
      </c>
      <c r="E755" s="160" t="s">
        <v>3847</v>
      </c>
      <c r="F755" s="160" t="s">
        <v>3848</v>
      </c>
      <c r="G755" s="163">
        <v>1</v>
      </c>
      <c r="H755" s="160" t="s">
        <v>3849</v>
      </c>
      <c r="I755" s="164">
        <v>42030</v>
      </c>
      <c r="J755" s="166">
        <v>30000</v>
      </c>
      <c r="K755" s="168" t="s">
        <v>13</v>
      </c>
    </row>
    <row r="756" spans="1:11" ht="13" customHeight="1" x14ac:dyDescent="0.3">
      <c r="A756" s="160">
        <v>1</v>
      </c>
      <c r="B756" s="160" t="s">
        <v>3850</v>
      </c>
      <c r="C756" s="160" t="s">
        <v>3755</v>
      </c>
      <c r="D756" s="160" t="s">
        <v>3756</v>
      </c>
      <c r="E756" s="160" t="s">
        <v>3851</v>
      </c>
      <c r="F756" s="160" t="s">
        <v>3852</v>
      </c>
      <c r="G756" s="163">
        <v>1</v>
      </c>
      <c r="H756" s="160" t="s">
        <v>3853</v>
      </c>
      <c r="I756" s="164">
        <v>42359</v>
      </c>
      <c r="J756" s="166">
        <v>50000</v>
      </c>
      <c r="K756" s="168" t="s">
        <v>13</v>
      </c>
    </row>
    <row r="757" spans="1:11" ht="13" customHeight="1" x14ac:dyDescent="0.3">
      <c r="A757" s="160">
        <v>1</v>
      </c>
      <c r="B757" s="160" t="s">
        <v>3854</v>
      </c>
      <c r="C757" s="160" t="s">
        <v>3755</v>
      </c>
      <c r="D757" s="160" t="s">
        <v>3756</v>
      </c>
      <c r="E757" s="160" t="s">
        <v>3851</v>
      </c>
      <c r="F757" s="160" t="s">
        <v>3855</v>
      </c>
      <c r="G757" s="163">
        <v>2</v>
      </c>
      <c r="H757" s="160" t="s">
        <v>3853</v>
      </c>
      <c r="I757" s="164">
        <v>43062</v>
      </c>
      <c r="J757" s="169">
        <v>60000</v>
      </c>
      <c r="K757" s="160" t="s">
        <v>13</v>
      </c>
    </row>
    <row r="758" spans="1:11" ht="13" customHeight="1" x14ac:dyDescent="0.3">
      <c r="A758" s="160">
        <v>1</v>
      </c>
      <c r="B758" s="160" t="s">
        <v>3856</v>
      </c>
      <c r="C758" s="160" t="s">
        <v>3755</v>
      </c>
      <c r="D758" s="160" t="s">
        <v>3756</v>
      </c>
      <c r="E758" s="160" t="s">
        <v>3857</v>
      </c>
      <c r="F758" s="160" t="s">
        <v>3858</v>
      </c>
      <c r="G758" s="163">
        <v>1</v>
      </c>
      <c r="H758" s="160" t="s">
        <v>3859</v>
      </c>
      <c r="I758" s="164">
        <v>41885</v>
      </c>
      <c r="J758" s="166">
        <v>6000</v>
      </c>
      <c r="K758" s="168" t="s">
        <v>13</v>
      </c>
    </row>
    <row r="759" spans="1:11" ht="13" customHeight="1" x14ac:dyDescent="0.3">
      <c r="A759" s="160">
        <v>1</v>
      </c>
      <c r="B759" s="160">
        <v>10908751</v>
      </c>
      <c r="C759" s="160" t="s">
        <v>3755</v>
      </c>
      <c r="D759" s="160" t="s">
        <v>3756</v>
      </c>
      <c r="F759" s="160" t="s">
        <v>3860</v>
      </c>
      <c r="G759" s="163">
        <v>1</v>
      </c>
      <c r="H759" s="160" t="s">
        <v>3861</v>
      </c>
      <c r="I759" s="164">
        <v>44914</v>
      </c>
      <c r="J759" s="165">
        <v>80000</v>
      </c>
      <c r="K759" s="160" t="s">
        <v>13</v>
      </c>
    </row>
    <row r="760" spans="1:11" ht="13" customHeight="1" x14ac:dyDescent="0.3">
      <c r="A760" s="160">
        <v>1</v>
      </c>
      <c r="B760" s="160" t="s">
        <v>3862</v>
      </c>
      <c r="C760" s="160" t="s">
        <v>3755</v>
      </c>
      <c r="D760" s="160" t="s">
        <v>3756</v>
      </c>
      <c r="E760" s="160" t="s">
        <v>3863</v>
      </c>
      <c r="F760" s="160" t="s">
        <v>3864</v>
      </c>
      <c r="G760" s="163">
        <v>1</v>
      </c>
      <c r="H760" s="160" t="s">
        <v>3865</v>
      </c>
      <c r="I760" s="164">
        <v>42129</v>
      </c>
      <c r="J760" s="166">
        <v>30000</v>
      </c>
      <c r="K760" s="168" t="s">
        <v>13</v>
      </c>
    </row>
    <row r="761" spans="1:11" x14ac:dyDescent="0.3">
      <c r="A761" s="160">
        <v>1</v>
      </c>
      <c r="B761" s="160" t="s">
        <v>3866</v>
      </c>
      <c r="C761" s="160" t="s">
        <v>3755</v>
      </c>
      <c r="D761" s="160" t="s">
        <v>3756</v>
      </c>
      <c r="E761" s="160" t="s">
        <v>3863</v>
      </c>
      <c r="F761" s="160" t="s">
        <v>3867</v>
      </c>
      <c r="G761" s="163">
        <v>2</v>
      </c>
      <c r="H761" s="160" t="s">
        <v>3868</v>
      </c>
      <c r="I761" s="164">
        <v>42916</v>
      </c>
      <c r="J761" s="169">
        <v>50000</v>
      </c>
      <c r="K761" s="160" t="s">
        <v>13</v>
      </c>
    </row>
    <row r="762" spans="1:11" ht="13" customHeight="1" x14ac:dyDescent="0.3">
      <c r="A762" s="160">
        <v>1</v>
      </c>
      <c r="B762" s="160">
        <v>48348</v>
      </c>
      <c r="C762" s="160" t="s">
        <v>3755</v>
      </c>
      <c r="D762" s="160" t="s">
        <v>3756</v>
      </c>
      <c r="E762" s="160" t="s">
        <v>3863</v>
      </c>
      <c r="F762" s="160" t="s">
        <v>3869</v>
      </c>
      <c r="G762" s="163">
        <v>3</v>
      </c>
      <c r="H762" s="160" t="s">
        <v>3870</v>
      </c>
      <c r="I762" s="164">
        <v>43756</v>
      </c>
      <c r="J762" s="169">
        <v>25000</v>
      </c>
      <c r="K762" s="160" t="s">
        <v>70</v>
      </c>
    </row>
    <row r="763" spans="1:11" ht="13" customHeight="1" x14ac:dyDescent="0.3">
      <c r="A763" s="160">
        <v>1</v>
      </c>
      <c r="B763" s="160" t="s">
        <v>3871</v>
      </c>
      <c r="C763" s="160" t="s">
        <v>3755</v>
      </c>
      <c r="D763" s="160" t="s">
        <v>3756</v>
      </c>
      <c r="E763" s="160" t="s">
        <v>3872</v>
      </c>
      <c r="F763" s="160" t="s">
        <v>3873</v>
      </c>
      <c r="G763" s="163">
        <v>1</v>
      </c>
      <c r="H763" s="160" t="s">
        <v>3874</v>
      </c>
      <c r="I763" s="164">
        <v>42243</v>
      </c>
      <c r="J763" s="166">
        <v>30000</v>
      </c>
      <c r="K763" s="168" t="s">
        <v>13</v>
      </c>
    </row>
    <row r="764" spans="1:11" ht="13" customHeight="1" x14ac:dyDescent="0.3">
      <c r="A764" s="160">
        <v>1</v>
      </c>
      <c r="B764" s="160" t="s">
        <v>3875</v>
      </c>
      <c r="C764" s="160" t="s">
        <v>3755</v>
      </c>
      <c r="D764" s="160" t="s">
        <v>3756</v>
      </c>
      <c r="E764" s="160" t="s">
        <v>3876</v>
      </c>
      <c r="F764" s="160" t="s">
        <v>3877</v>
      </c>
      <c r="G764" s="163">
        <v>1</v>
      </c>
      <c r="H764" s="160" t="s">
        <v>3878</v>
      </c>
      <c r="I764" s="164">
        <v>41898</v>
      </c>
      <c r="J764" s="166">
        <v>5000</v>
      </c>
      <c r="K764" s="170" t="s">
        <v>2410</v>
      </c>
    </row>
    <row r="765" spans="1:11" x14ac:dyDescent="0.3">
      <c r="A765" s="160">
        <v>1</v>
      </c>
      <c r="B765" s="160" t="s">
        <v>3879</v>
      </c>
      <c r="C765" s="160" t="s">
        <v>3755</v>
      </c>
      <c r="D765" s="160" t="s">
        <v>3756</v>
      </c>
      <c r="E765" s="160" t="s">
        <v>3876</v>
      </c>
      <c r="F765" s="160" t="s">
        <v>3880</v>
      </c>
      <c r="G765" s="163">
        <v>2</v>
      </c>
      <c r="H765" s="160" t="s">
        <v>3878</v>
      </c>
      <c r="I765" s="164">
        <v>42359</v>
      </c>
      <c r="J765" s="166">
        <v>5000</v>
      </c>
      <c r="K765" s="170" t="s">
        <v>2410</v>
      </c>
    </row>
    <row r="766" spans="1:11" x14ac:dyDescent="0.3">
      <c r="A766" s="160">
        <v>1</v>
      </c>
      <c r="B766" s="160" t="s">
        <v>3881</v>
      </c>
      <c r="C766" s="160" t="s">
        <v>3755</v>
      </c>
      <c r="D766" s="160" t="s">
        <v>3756</v>
      </c>
      <c r="E766" s="160" t="s">
        <v>3882</v>
      </c>
      <c r="F766" s="160" t="s">
        <v>3883</v>
      </c>
      <c r="G766" s="163">
        <v>1</v>
      </c>
      <c r="H766" s="160" t="s">
        <v>3884</v>
      </c>
      <c r="I766" s="164">
        <v>42663</v>
      </c>
      <c r="J766" s="166">
        <v>5000</v>
      </c>
      <c r="K766" s="168" t="s">
        <v>13</v>
      </c>
    </row>
    <row r="767" spans="1:11" ht="13" customHeight="1" x14ac:dyDescent="0.3">
      <c r="A767" s="160">
        <v>1</v>
      </c>
      <c r="B767" s="160" t="s">
        <v>3885</v>
      </c>
      <c r="C767" s="160" t="s">
        <v>3755</v>
      </c>
      <c r="D767" s="160" t="s">
        <v>3756</v>
      </c>
      <c r="E767" s="160" t="s">
        <v>3886</v>
      </c>
      <c r="F767" s="160" t="s">
        <v>3887</v>
      </c>
      <c r="G767" s="163">
        <v>1</v>
      </c>
      <c r="H767" s="160" t="s">
        <v>3888</v>
      </c>
      <c r="I767" s="164">
        <v>42306</v>
      </c>
      <c r="J767" s="166">
        <v>3000</v>
      </c>
      <c r="K767" s="170" t="s">
        <v>2410</v>
      </c>
    </row>
    <row r="768" spans="1:11" x14ac:dyDescent="0.3">
      <c r="A768" s="160">
        <v>1</v>
      </c>
      <c r="B768" s="160">
        <v>5925350001</v>
      </c>
      <c r="C768" s="160" t="s">
        <v>3755</v>
      </c>
      <c r="D768" s="160" t="s">
        <v>3756</v>
      </c>
      <c r="F768" s="160" t="s">
        <v>3889</v>
      </c>
      <c r="G768" s="163">
        <v>1</v>
      </c>
      <c r="H768" s="160" t="s">
        <v>3890</v>
      </c>
      <c r="I768" s="164">
        <v>45093</v>
      </c>
      <c r="J768" s="169">
        <v>100000</v>
      </c>
      <c r="K768" s="160" t="s">
        <v>13</v>
      </c>
    </row>
    <row r="769" spans="1:11" ht="13" customHeight="1" x14ac:dyDescent="0.3">
      <c r="A769" s="160">
        <v>1</v>
      </c>
      <c r="B769" s="160" t="s">
        <v>3891</v>
      </c>
      <c r="C769" s="160" t="s">
        <v>3755</v>
      </c>
      <c r="D769" s="160" t="s">
        <v>3756</v>
      </c>
      <c r="E769" s="160" t="s">
        <v>3892</v>
      </c>
      <c r="F769" s="160" t="s">
        <v>3893</v>
      </c>
      <c r="G769" s="163">
        <v>1</v>
      </c>
      <c r="H769" s="160" t="s">
        <v>3894</v>
      </c>
      <c r="I769" s="164">
        <v>42963</v>
      </c>
      <c r="J769" s="169">
        <v>40000</v>
      </c>
      <c r="K769" s="160" t="s">
        <v>13</v>
      </c>
    </row>
    <row r="770" spans="1:11" ht="13" customHeight="1" x14ac:dyDescent="0.3">
      <c r="A770" s="160">
        <v>1</v>
      </c>
      <c r="B770" s="160">
        <v>132138</v>
      </c>
      <c r="C770" s="160" t="s">
        <v>3755</v>
      </c>
      <c r="D770" s="160" t="s">
        <v>3756</v>
      </c>
      <c r="E770" s="160" t="s">
        <v>3892</v>
      </c>
      <c r="F770" s="160" t="s">
        <v>3895</v>
      </c>
      <c r="G770" s="163">
        <v>2</v>
      </c>
      <c r="H770" s="160" t="s">
        <v>3894</v>
      </c>
      <c r="I770" s="164">
        <v>44637</v>
      </c>
      <c r="J770" s="169">
        <v>40000</v>
      </c>
      <c r="K770" s="160" t="s">
        <v>13</v>
      </c>
    </row>
    <row r="771" spans="1:11" ht="13" customHeight="1" x14ac:dyDescent="0.3">
      <c r="A771" s="160">
        <v>1</v>
      </c>
      <c r="B771" s="160" t="s">
        <v>3896</v>
      </c>
      <c r="C771" s="160" t="s">
        <v>3755</v>
      </c>
      <c r="D771" s="160" t="s">
        <v>3756</v>
      </c>
      <c r="E771" s="160" t="s">
        <v>3897</v>
      </c>
      <c r="F771" s="160" t="s">
        <v>3898</v>
      </c>
      <c r="G771" s="163">
        <v>1</v>
      </c>
      <c r="H771" s="160" t="s">
        <v>3899</v>
      </c>
      <c r="I771" s="164">
        <v>42264</v>
      </c>
      <c r="J771" s="166">
        <v>10000</v>
      </c>
      <c r="K771" s="168" t="s">
        <v>13</v>
      </c>
    </row>
    <row r="772" spans="1:11" x14ac:dyDescent="0.3">
      <c r="A772" s="160">
        <v>1</v>
      </c>
      <c r="B772" s="160" t="s">
        <v>3900</v>
      </c>
      <c r="C772" s="160" t="s">
        <v>3755</v>
      </c>
      <c r="D772" s="160" t="s">
        <v>3756</v>
      </c>
      <c r="E772" s="160" t="s">
        <v>3897</v>
      </c>
      <c r="F772" s="160" t="s">
        <v>3901</v>
      </c>
      <c r="G772" s="163">
        <v>2</v>
      </c>
      <c r="H772" s="160" t="s">
        <v>3902</v>
      </c>
      <c r="I772" s="164">
        <v>42648</v>
      </c>
      <c r="J772" s="166">
        <v>18000</v>
      </c>
      <c r="K772" s="170" t="s">
        <v>2410</v>
      </c>
    </row>
    <row r="773" spans="1:11" x14ac:dyDescent="0.3">
      <c r="A773" s="160">
        <v>1</v>
      </c>
      <c r="B773" s="160" t="s">
        <v>3903</v>
      </c>
      <c r="C773" s="160" t="s">
        <v>3755</v>
      </c>
      <c r="D773" s="160" t="s">
        <v>3756</v>
      </c>
      <c r="E773" s="160" t="s">
        <v>3897</v>
      </c>
      <c r="F773" s="160" t="s">
        <v>3904</v>
      </c>
      <c r="G773" s="163">
        <v>3</v>
      </c>
      <c r="H773" s="160" t="s">
        <v>3899</v>
      </c>
      <c r="I773" s="164">
        <v>42902</v>
      </c>
      <c r="J773" s="169">
        <v>40000</v>
      </c>
      <c r="K773" s="160" t="s">
        <v>13</v>
      </c>
    </row>
    <row r="774" spans="1:11" ht="13" customHeight="1" x14ac:dyDescent="0.3">
      <c r="A774" s="160">
        <v>1</v>
      </c>
      <c r="B774" s="160">
        <v>27034</v>
      </c>
      <c r="C774" s="160" t="s">
        <v>3755</v>
      </c>
      <c r="D774" s="160" t="s">
        <v>3756</v>
      </c>
      <c r="E774" s="160" t="s">
        <v>3897</v>
      </c>
      <c r="F774" s="160" t="s">
        <v>3905</v>
      </c>
      <c r="G774" s="163">
        <v>4</v>
      </c>
      <c r="H774" s="160" t="s">
        <v>3899</v>
      </c>
      <c r="I774" s="164">
        <v>43431</v>
      </c>
      <c r="J774" s="169">
        <v>20000</v>
      </c>
      <c r="K774" s="160" t="s">
        <v>13</v>
      </c>
    </row>
    <row r="775" spans="1:11" ht="13" customHeight="1" x14ac:dyDescent="0.3">
      <c r="A775" s="160">
        <v>1</v>
      </c>
      <c r="B775" s="160">
        <v>38751</v>
      </c>
      <c r="C775" s="160" t="s">
        <v>3755</v>
      </c>
      <c r="D775" s="160" t="s">
        <v>3756</v>
      </c>
      <c r="E775" s="160" t="s">
        <v>3897</v>
      </c>
      <c r="F775" s="160" t="s">
        <v>3906</v>
      </c>
      <c r="G775" s="163">
        <v>5</v>
      </c>
      <c r="H775" s="160" t="s">
        <v>3899</v>
      </c>
      <c r="I775" s="164">
        <v>43627</v>
      </c>
      <c r="J775" s="169">
        <v>80000</v>
      </c>
      <c r="K775" s="160" t="s">
        <v>13</v>
      </c>
    </row>
    <row r="776" spans="1:11" ht="13" customHeight="1" x14ac:dyDescent="0.3">
      <c r="A776" s="160">
        <v>1</v>
      </c>
      <c r="B776" s="160">
        <v>48857</v>
      </c>
      <c r="C776" s="160" t="s">
        <v>3755</v>
      </c>
      <c r="D776" s="160" t="s">
        <v>3756</v>
      </c>
      <c r="E776" s="160" t="s">
        <v>3897</v>
      </c>
      <c r="F776" s="160" t="s">
        <v>3907</v>
      </c>
      <c r="G776" s="163">
        <v>6</v>
      </c>
      <c r="H776" s="160" t="s">
        <v>3899</v>
      </c>
      <c r="I776" s="164">
        <v>43761</v>
      </c>
      <c r="J776" s="169">
        <v>50000</v>
      </c>
      <c r="K776" s="160" t="s">
        <v>13</v>
      </c>
    </row>
    <row r="777" spans="1:11" ht="13" customHeight="1" x14ac:dyDescent="0.3">
      <c r="A777" s="160">
        <v>1</v>
      </c>
      <c r="B777" s="160" t="s">
        <v>3908</v>
      </c>
      <c r="C777" s="160" t="s">
        <v>3755</v>
      </c>
      <c r="D777" s="160" t="s">
        <v>3756</v>
      </c>
      <c r="E777" s="160" t="s">
        <v>3909</v>
      </c>
      <c r="F777" s="160" t="s">
        <v>3910</v>
      </c>
      <c r="G777" s="163">
        <v>1</v>
      </c>
      <c r="H777" s="160" t="s">
        <v>3911</v>
      </c>
      <c r="I777" s="164">
        <v>42177</v>
      </c>
      <c r="J777" s="166">
        <v>5000</v>
      </c>
      <c r="K777" s="168" t="s">
        <v>13</v>
      </c>
    </row>
    <row r="778" spans="1:11" x14ac:dyDescent="0.3">
      <c r="A778" s="160">
        <v>1</v>
      </c>
      <c r="B778" s="160" t="s">
        <v>3912</v>
      </c>
      <c r="C778" s="160" t="s">
        <v>3755</v>
      </c>
      <c r="D778" s="160" t="s">
        <v>3756</v>
      </c>
      <c r="E778" s="160" t="s">
        <v>3913</v>
      </c>
      <c r="F778" s="160" t="s">
        <v>3914</v>
      </c>
      <c r="G778" s="163">
        <v>1</v>
      </c>
      <c r="H778" s="160" t="s">
        <v>3915</v>
      </c>
      <c r="I778" s="164">
        <v>41712</v>
      </c>
      <c r="J778" s="166">
        <v>40000</v>
      </c>
      <c r="K778" s="175" t="s">
        <v>55</v>
      </c>
    </row>
    <row r="779" spans="1:11" x14ac:dyDescent="0.3">
      <c r="A779" s="160">
        <v>1</v>
      </c>
      <c r="B779" s="160" t="s">
        <v>3916</v>
      </c>
      <c r="C779" s="160" t="s">
        <v>3755</v>
      </c>
      <c r="D779" s="160" t="s">
        <v>3756</v>
      </c>
      <c r="E779" s="160" t="s">
        <v>3913</v>
      </c>
      <c r="F779" s="160" t="s">
        <v>3917</v>
      </c>
      <c r="G779" s="163">
        <v>2</v>
      </c>
      <c r="H779" s="160" t="s">
        <v>3915</v>
      </c>
      <c r="I779" s="164">
        <v>42104</v>
      </c>
      <c r="J779" s="166">
        <v>40000</v>
      </c>
      <c r="K779" s="168" t="s">
        <v>13</v>
      </c>
    </row>
    <row r="780" spans="1:11" x14ac:dyDescent="0.3">
      <c r="A780" s="160">
        <v>1</v>
      </c>
      <c r="B780" s="160" t="s">
        <v>3918</v>
      </c>
      <c r="C780" s="160" t="s">
        <v>3755</v>
      </c>
      <c r="D780" s="160" t="s">
        <v>3756</v>
      </c>
      <c r="E780" s="160" t="s">
        <v>3913</v>
      </c>
      <c r="F780" s="160" t="s">
        <v>3919</v>
      </c>
      <c r="G780" s="163">
        <v>3</v>
      </c>
      <c r="H780" s="160" t="s">
        <v>3915</v>
      </c>
      <c r="I780" s="164">
        <v>42134</v>
      </c>
      <c r="J780" s="166">
        <v>30000</v>
      </c>
      <c r="K780" s="168" t="s">
        <v>13</v>
      </c>
    </row>
    <row r="781" spans="1:11" x14ac:dyDescent="0.3">
      <c r="A781" s="160">
        <v>1</v>
      </c>
      <c r="B781" s="160" t="s">
        <v>3920</v>
      </c>
      <c r="C781" s="160" t="s">
        <v>3755</v>
      </c>
      <c r="D781" s="160" t="s">
        <v>3756</v>
      </c>
      <c r="E781" s="160" t="s">
        <v>3913</v>
      </c>
      <c r="F781" s="160" t="s">
        <v>3921</v>
      </c>
      <c r="G781" s="163">
        <v>4</v>
      </c>
      <c r="H781" s="160" t="s">
        <v>3915</v>
      </c>
      <c r="I781" s="164">
        <v>42165</v>
      </c>
      <c r="J781" s="166">
        <v>30000</v>
      </c>
      <c r="K781" s="168" t="s">
        <v>13</v>
      </c>
    </row>
    <row r="782" spans="1:11" x14ac:dyDescent="0.3">
      <c r="A782" s="160">
        <v>1</v>
      </c>
      <c r="B782" s="160" t="s">
        <v>3922</v>
      </c>
      <c r="C782" s="160" t="s">
        <v>3755</v>
      </c>
      <c r="D782" s="160" t="s">
        <v>3756</v>
      </c>
      <c r="E782" s="160" t="s">
        <v>3913</v>
      </c>
      <c r="F782" s="160" t="s">
        <v>3923</v>
      </c>
      <c r="G782" s="163">
        <v>5</v>
      </c>
      <c r="H782" s="160" t="s">
        <v>3915</v>
      </c>
      <c r="I782" s="164">
        <v>42466</v>
      </c>
      <c r="J782" s="166">
        <v>55752</v>
      </c>
      <c r="K782" s="168" t="s">
        <v>13</v>
      </c>
    </row>
    <row r="783" spans="1:11" x14ac:dyDescent="0.3">
      <c r="A783" s="160">
        <v>1</v>
      </c>
      <c r="B783" s="160" t="s">
        <v>3924</v>
      </c>
      <c r="C783" s="160" t="s">
        <v>3755</v>
      </c>
      <c r="D783" s="160" t="s">
        <v>3756</v>
      </c>
      <c r="E783" s="160" t="s">
        <v>3913</v>
      </c>
      <c r="F783" s="160" t="s">
        <v>3925</v>
      </c>
      <c r="G783" s="163">
        <v>6</v>
      </c>
      <c r="H783" s="160" t="s">
        <v>3915</v>
      </c>
      <c r="I783" s="164">
        <v>43158</v>
      </c>
      <c r="J783" s="169">
        <v>100000</v>
      </c>
      <c r="K783" s="160" t="s">
        <v>13</v>
      </c>
    </row>
    <row r="784" spans="1:11" ht="13" customHeight="1" x14ac:dyDescent="0.3">
      <c r="A784" s="160">
        <v>1</v>
      </c>
      <c r="B784" s="160">
        <v>87193</v>
      </c>
      <c r="C784" s="160" t="s">
        <v>3755</v>
      </c>
      <c r="D784" s="160" t="s">
        <v>3756</v>
      </c>
      <c r="E784" s="160" t="s">
        <v>3913</v>
      </c>
      <c r="F784" s="160" t="s">
        <v>3926</v>
      </c>
      <c r="G784" s="163">
        <v>7</v>
      </c>
      <c r="H784" s="160" t="s">
        <v>3915</v>
      </c>
      <c r="I784" s="164">
        <v>44211</v>
      </c>
      <c r="J784" s="169">
        <v>5000</v>
      </c>
      <c r="K784" s="160" t="s">
        <v>2410</v>
      </c>
    </row>
    <row r="785" spans="1:11" ht="13" customHeight="1" x14ac:dyDescent="0.3">
      <c r="A785" s="160">
        <v>1</v>
      </c>
      <c r="B785" s="160">
        <v>93725</v>
      </c>
      <c r="C785" s="160" t="s">
        <v>3755</v>
      </c>
      <c r="D785" s="160" t="s">
        <v>3756</v>
      </c>
      <c r="E785" s="160" t="s">
        <v>3913</v>
      </c>
      <c r="F785" s="160" t="s">
        <v>3927</v>
      </c>
      <c r="G785" s="163">
        <v>8</v>
      </c>
      <c r="H785" s="160" t="s">
        <v>3915</v>
      </c>
      <c r="I785" s="164">
        <v>44281</v>
      </c>
      <c r="J785" s="169">
        <v>150000</v>
      </c>
      <c r="K785" s="160" t="s">
        <v>13</v>
      </c>
    </row>
    <row r="786" spans="1:11" ht="13" customHeight="1" x14ac:dyDescent="0.3">
      <c r="A786" s="160">
        <v>1</v>
      </c>
      <c r="B786" s="160">
        <v>1434710001</v>
      </c>
      <c r="C786" s="160" t="s">
        <v>3755</v>
      </c>
      <c r="D786" s="160" t="s">
        <v>3756</v>
      </c>
      <c r="E786" s="160" t="s">
        <v>3913</v>
      </c>
      <c r="F786" s="160" t="s">
        <v>3928</v>
      </c>
      <c r="G786" s="163">
        <v>9</v>
      </c>
      <c r="H786" s="160" t="s">
        <v>3915</v>
      </c>
      <c r="I786" s="164">
        <v>45107</v>
      </c>
      <c r="J786" s="169">
        <v>50000</v>
      </c>
      <c r="K786" s="160" t="s">
        <v>13</v>
      </c>
    </row>
    <row r="787" spans="1:11" x14ac:dyDescent="0.3">
      <c r="A787" s="160">
        <v>1</v>
      </c>
      <c r="B787" s="160" t="s">
        <v>3929</v>
      </c>
      <c r="C787" s="160" t="s">
        <v>3755</v>
      </c>
      <c r="D787" s="160" t="s">
        <v>3756</v>
      </c>
      <c r="E787" s="160" t="s">
        <v>3930</v>
      </c>
      <c r="F787" s="160" t="s">
        <v>3931</v>
      </c>
      <c r="G787" s="163">
        <v>1</v>
      </c>
      <c r="H787" s="160" t="s">
        <v>3932</v>
      </c>
      <c r="I787" s="164">
        <v>42031</v>
      </c>
      <c r="J787" s="166">
        <v>5000</v>
      </c>
      <c r="K787" s="168" t="s">
        <v>13</v>
      </c>
    </row>
    <row r="788" spans="1:11" x14ac:dyDescent="0.3">
      <c r="A788" s="160">
        <v>1</v>
      </c>
      <c r="B788" s="160" t="s">
        <v>3933</v>
      </c>
      <c r="C788" s="160" t="s">
        <v>3755</v>
      </c>
      <c r="D788" s="160" t="s">
        <v>3756</v>
      </c>
      <c r="E788" s="160" t="s">
        <v>3930</v>
      </c>
      <c r="F788" s="160" t="s">
        <v>3934</v>
      </c>
      <c r="G788" s="163">
        <v>2</v>
      </c>
      <c r="H788" s="160" t="s">
        <v>3932</v>
      </c>
      <c r="I788" s="164">
        <v>42201</v>
      </c>
      <c r="J788" s="166">
        <v>50000</v>
      </c>
      <c r="K788" s="168" t="s">
        <v>13</v>
      </c>
    </row>
    <row r="789" spans="1:11" x14ac:dyDescent="0.3">
      <c r="A789" s="160">
        <v>1</v>
      </c>
      <c r="B789" s="160" t="s">
        <v>3935</v>
      </c>
      <c r="C789" s="160" t="s">
        <v>3755</v>
      </c>
      <c r="D789" s="160" t="s">
        <v>3756</v>
      </c>
      <c r="E789" s="160" t="s">
        <v>3930</v>
      </c>
      <c r="F789" s="160" t="s">
        <v>3936</v>
      </c>
      <c r="G789" s="163">
        <v>3</v>
      </c>
      <c r="H789" s="160" t="s">
        <v>3932</v>
      </c>
      <c r="I789" s="164">
        <v>42565</v>
      </c>
      <c r="J789" s="166">
        <v>34000</v>
      </c>
      <c r="K789" s="168" t="s">
        <v>13</v>
      </c>
    </row>
    <row r="790" spans="1:11" x14ac:dyDescent="0.3">
      <c r="A790" s="160">
        <v>1</v>
      </c>
      <c r="B790" s="160" t="s">
        <v>3937</v>
      </c>
      <c r="C790" s="160" t="s">
        <v>3755</v>
      </c>
      <c r="D790" s="160" t="s">
        <v>3756</v>
      </c>
      <c r="E790" s="160" t="s">
        <v>3930</v>
      </c>
      <c r="F790" s="160" t="s">
        <v>3938</v>
      </c>
      <c r="G790" s="163">
        <v>4</v>
      </c>
      <c r="H790" s="160" t="s">
        <v>3932</v>
      </c>
      <c r="I790" s="164">
        <v>42601</v>
      </c>
      <c r="J790" s="166">
        <v>16000</v>
      </c>
      <c r="K790" s="168" t="s">
        <v>13</v>
      </c>
    </row>
    <row r="791" spans="1:11" x14ac:dyDescent="0.3">
      <c r="A791" s="160">
        <v>1</v>
      </c>
      <c r="B791" s="160" t="s">
        <v>3939</v>
      </c>
      <c r="C791" s="160" t="s">
        <v>3755</v>
      </c>
      <c r="D791" s="160" t="s">
        <v>3756</v>
      </c>
      <c r="E791" s="160" t="s">
        <v>3930</v>
      </c>
      <c r="F791" s="160" t="s">
        <v>3940</v>
      </c>
      <c r="G791" s="163">
        <v>5</v>
      </c>
      <c r="H791" s="160" t="s">
        <v>3932</v>
      </c>
      <c r="I791" s="164">
        <v>42879</v>
      </c>
      <c r="J791" s="169">
        <v>25000</v>
      </c>
      <c r="K791" s="160" t="s">
        <v>13</v>
      </c>
    </row>
    <row r="792" spans="1:11" x14ac:dyDescent="0.3">
      <c r="A792" s="160">
        <v>1</v>
      </c>
      <c r="B792" s="160" t="s">
        <v>3941</v>
      </c>
      <c r="C792" s="160" t="s">
        <v>3755</v>
      </c>
      <c r="D792" s="160" t="s">
        <v>3756</v>
      </c>
      <c r="E792" s="160" t="s">
        <v>3930</v>
      </c>
      <c r="F792" s="160" t="s">
        <v>3942</v>
      </c>
      <c r="G792" s="163">
        <v>6</v>
      </c>
      <c r="H792" s="160" t="s">
        <v>3932</v>
      </c>
      <c r="I792" s="164">
        <v>43279</v>
      </c>
      <c r="J792" s="169">
        <v>100000</v>
      </c>
      <c r="K792" s="160" t="s">
        <v>13</v>
      </c>
    </row>
    <row r="793" spans="1:11" x14ac:dyDescent="0.3">
      <c r="A793" s="160">
        <v>1</v>
      </c>
      <c r="B793" s="160">
        <v>33241</v>
      </c>
      <c r="C793" s="160" t="s">
        <v>3755</v>
      </c>
      <c r="D793" s="160" t="s">
        <v>3756</v>
      </c>
      <c r="E793" s="160" t="s">
        <v>3930</v>
      </c>
      <c r="F793" s="160" t="s">
        <v>3943</v>
      </c>
      <c r="G793" s="163">
        <v>7</v>
      </c>
      <c r="H793" s="160" t="s">
        <v>3932</v>
      </c>
      <c r="I793" s="164">
        <v>43542</v>
      </c>
      <c r="J793" s="169">
        <v>50000</v>
      </c>
      <c r="K793" s="160" t="s">
        <v>13</v>
      </c>
    </row>
    <row r="794" spans="1:11" x14ac:dyDescent="0.3">
      <c r="A794" s="160">
        <v>1</v>
      </c>
      <c r="B794" s="160">
        <v>107900</v>
      </c>
      <c r="C794" s="160" t="s">
        <v>3755</v>
      </c>
      <c r="D794" s="160" t="s">
        <v>3756</v>
      </c>
      <c r="E794" s="160" t="s">
        <v>3930</v>
      </c>
      <c r="F794" s="160" t="s">
        <v>3944</v>
      </c>
      <c r="G794" s="163">
        <v>8</v>
      </c>
      <c r="H794" s="160" t="s">
        <v>3932</v>
      </c>
      <c r="I794" s="164">
        <v>44419</v>
      </c>
      <c r="J794" s="169">
        <v>80000</v>
      </c>
      <c r="K794" s="160" t="s">
        <v>70</v>
      </c>
    </row>
    <row r="795" spans="1:11" x14ac:dyDescent="0.3">
      <c r="A795" s="160">
        <v>1</v>
      </c>
      <c r="B795" s="160">
        <v>5000320001</v>
      </c>
      <c r="C795" s="160" t="s">
        <v>3755</v>
      </c>
      <c r="D795" s="160" t="s">
        <v>3756</v>
      </c>
      <c r="E795" s="160" t="s">
        <v>3930</v>
      </c>
      <c r="F795" s="160" t="s">
        <v>3945</v>
      </c>
      <c r="G795" s="163">
        <v>9</v>
      </c>
      <c r="H795" s="160" t="s">
        <v>3932</v>
      </c>
      <c r="I795" s="164">
        <v>45322</v>
      </c>
      <c r="J795" s="169">
        <v>200000</v>
      </c>
      <c r="K795" s="160" t="s">
        <v>13</v>
      </c>
    </row>
    <row r="796" spans="1:11" x14ac:dyDescent="0.3">
      <c r="A796" s="160">
        <v>1</v>
      </c>
      <c r="B796" s="160" t="s">
        <v>3946</v>
      </c>
      <c r="C796" s="160" t="s">
        <v>3755</v>
      </c>
      <c r="D796" s="160" t="s">
        <v>3756</v>
      </c>
      <c r="E796" s="160" t="s">
        <v>3947</v>
      </c>
      <c r="F796" s="160" t="s">
        <v>3948</v>
      </c>
      <c r="G796" s="163">
        <v>1</v>
      </c>
      <c r="H796" s="160" t="s">
        <v>3949</v>
      </c>
      <c r="I796" s="164">
        <v>42587</v>
      </c>
      <c r="J796" s="166">
        <v>10000</v>
      </c>
      <c r="K796" s="168" t="s">
        <v>13</v>
      </c>
    </row>
    <row r="797" spans="1:11" x14ac:dyDescent="0.3">
      <c r="A797" s="160">
        <v>1</v>
      </c>
      <c r="B797" s="160" t="s">
        <v>3950</v>
      </c>
      <c r="C797" s="160" t="s">
        <v>3755</v>
      </c>
      <c r="D797" s="160" t="s">
        <v>3756</v>
      </c>
      <c r="E797" s="160" t="s">
        <v>3947</v>
      </c>
      <c r="F797" s="160" t="s">
        <v>3951</v>
      </c>
      <c r="G797" s="163">
        <v>2</v>
      </c>
      <c r="H797" s="160" t="s">
        <v>3949</v>
      </c>
      <c r="I797" s="164">
        <v>43039</v>
      </c>
      <c r="J797" s="169">
        <v>15000</v>
      </c>
      <c r="K797" s="160" t="s">
        <v>13</v>
      </c>
    </row>
    <row r="798" spans="1:11" x14ac:dyDescent="0.3">
      <c r="A798" s="160">
        <v>1</v>
      </c>
      <c r="B798" s="160">
        <v>40909</v>
      </c>
      <c r="C798" s="160" t="s">
        <v>3755</v>
      </c>
      <c r="D798" s="160" t="s">
        <v>3756</v>
      </c>
      <c r="E798" s="160" t="s">
        <v>3947</v>
      </c>
      <c r="F798" s="160" t="s">
        <v>3952</v>
      </c>
      <c r="G798" s="163">
        <v>3</v>
      </c>
      <c r="H798" s="160" t="s">
        <v>3949</v>
      </c>
      <c r="I798" s="164">
        <v>43669</v>
      </c>
      <c r="J798" s="169">
        <v>20000</v>
      </c>
      <c r="K798" s="160" t="s">
        <v>13</v>
      </c>
    </row>
    <row r="799" spans="1:11" x14ac:dyDescent="0.3">
      <c r="A799" s="160">
        <v>1</v>
      </c>
      <c r="B799" s="160">
        <v>109230</v>
      </c>
      <c r="C799" s="160" t="s">
        <v>3755</v>
      </c>
      <c r="D799" s="160" t="s">
        <v>3756</v>
      </c>
      <c r="E799" s="160" t="s">
        <v>3947</v>
      </c>
      <c r="F799" s="160" t="s">
        <v>3953</v>
      </c>
      <c r="G799" s="163">
        <v>4</v>
      </c>
      <c r="H799" s="160" t="s">
        <v>3949</v>
      </c>
      <c r="I799" s="164">
        <v>44432</v>
      </c>
      <c r="J799" s="169">
        <v>70000</v>
      </c>
      <c r="K799" s="160" t="s">
        <v>13</v>
      </c>
    </row>
    <row r="800" spans="1:11" x14ac:dyDescent="0.3">
      <c r="A800" s="160">
        <v>1</v>
      </c>
      <c r="B800" s="160" t="s">
        <v>3954</v>
      </c>
      <c r="C800" s="160" t="s">
        <v>3755</v>
      </c>
      <c r="D800" s="160" t="s">
        <v>3756</v>
      </c>
      <c r="E800" s="160" t="s">
        <v>3955</v>
      </c>
      <c r="F800" s="160" t="s">
        <v>3956</v>
      </c>
      <c r="G800" s="163">
        <v>1</v>
      </c>
      <c r="H800" s="160" t="s">
        <v>3957</v>
      </c>
      <c r="I800" s="164">
        <v>41963</v>
      </c>
      <c r="J800" s="166">
        <v>5000</v>
      </c>
      <c r="K800" s="167" t="s">
        <v>70</v>
      </c>
    </row>
    <row r="801" spans="1:11" x14ac:dyDescent="0.3">
      <c r="A801" s="160">
        <v>1</v>
      </c>
      <c r="B801" s="160" t="s">
        <v>3958</v>
      </c>
      <c r="C801" s="160" t="s">
        <v>3755</v>
      </c>
      <c r="D801" s="160" t="s">
        <v>3756</v>
      </c>
      <c r="E801" s="160" t="s">
        <v>3955</v>
      </c>
      <c r="F801" s="160" t="s">
        <v>3959</v>
      </c>
      <c r="G801" s="163">
        <v>2</v>
      </c>
      <c r="H801" s="160" t="s">
        <v>3957</v>
      </c>
      <c r="I801" s="164">
        <v>42258</v>
      </c>
      <c r="J801" s="166">
        <v>20000</v>
      </c>
      <c r="K801" s="168" t="s">
        <v>13</v>
      </c>
    </row>
    <row r="802" spans="1:11" x14ac:dyDescent="0.3">
      <c r="A802" s="160">
        <v>1</v>
      </c>
      <c r="B802" s="160" t="s">
        <v>3960</v>
      </c>
      <c r="C802" s="160" t="s">
        <v>3755</v>
      </c>
      <c r="D802" s="160" t="s">
        <v>3756</v>
      </c>
      <c r="E802" s="160" t="s">
        <v>3955</v>
      </c>
      <c r="F802" s="160" t="s">
        <v>3961</v>
      </c>
      <c r="G802" s="163">
        <v>3</v>
      </c>
      <c r="H802" s="160" t="s">
        <v>3957</v>
      </c>
      <c r="I802" s="164">
        <v>43027</v>
      </c>
      <c r="J802" s="169">
        <v>30000</v>
      </c>
      <c r="K802" s="160" t="s">
        <v>70</v>
      </c>
    </row>
    <row r="803" spans="1:11" x14ac:dyDescent="0.3">
      <c r="A803" s="160">
        <v>1</v>
      </c>
      <c r="B803" s="160">
        <v>145542</v>
      </c>
      <c r="C803" s="160" t="s">
        <v>3755</v>
      </c>
      <c r="D803" s="160" t="s">
        <v>3756</v>
      </c>
      <c r="E803" s="160" t="s">
        <v>3955</v>
      </c>
      <c r="F803" s="160" t="s">
        <v>3962</v>
      </c>
      <c r="G803" s="163">
        <v>4</v>
      </c>
      <c r="H803" s="160" t="s">
        <v>3957</v>
      </c>
      <c r="I803" s="164">
        <v>44742</v>
      </c>
      <c r="J803" s="169">
        <v>30000</v>
      </c>
      <c r="K803" s="160" t="s">
        <v>13</v>
      </c>
    </row>
    <row r="804" spans="1:11" x14ac:dyDescent="0.3">
      <c r="A804" s="160">
        <v>1</v>
      </c>
      <c r="B804" s="160">
        <v>2761280001</v>
      </c>
      <c r="C804" s="160" t="s">
        <v>3755</v>
      </c>
      <c r="D804" s="160" t="s">
        <v>3756</v>
      </c>
      <c r="E804" s="160" t="s">
        <v>3955</v>
      </c>
      <c r="F804" s="160" t="s">
        <v>3963</v>
      </c>
      <c r="G804" s="163">
        <v>5</v>
      </c>
      <c r="H804" s="160" t="s">
        <v>3957</v>
      </c>
      <c r="I804" s="164">
        <v>45435</v>
      </c>
      <c r="J804" s="169">
        <v>50000</v>
      </c>
      <c r="K804" s="160" t="s">
        <v>13</v>
      </c>
    </row>
    <row r="805" spans="1:11" x14ac:dyDescent="0.3">
      <c r="A805" s="160">
        <v>1</v>
      </c>
      <c r="B805" s="160" t="s">
        <v>3964</v>
      </c>
      <c r="C805" s="160" t="s">
        <v>3755</v>
      </c>
      <c r="D805" s="160" t="s">
        <v>3756</v>
      </c>
      <c r="E805" s="160" t="s">
        <v>3965</v>
      </c>
      <c r="F805" s="160" t="s">
        <v>3966</v>
      </c>
      <c r="G805" s="163">
        <v>1</v>
      </c>
      <c r="H805" s="160" t="s">
        <v>3967</v>
      </c>
      <c r="I805" s="164">
        <v>42458</v>
      </c>
      <c r="J805" s="166">
        <v>70000</v>
      </c>
      <c r="K805" s="167" t="s">
        <v>70</v>
      </c>
    </row>
    <row r="806" spans="1:11" x14ac:dyDescent="0.3">
      <c r="A806" s="160">
        <v>1</v>
      </c>
      <c r="B806" s="160" t="s">
        <v>3968</v>
      </c>
      <c r="C806" s="160" t="s">
        <v>3755</v>
      </c>
      <c r="D806" s="160" t="s">
        <v>3756</v>
      </c>
      <c r="E806" s="160" t="s">
        <v>3965</v>
      </c>
      <c r="F806" s="160" t="s">
        <v>3969</v>
      </c>
      <c r="G806" s="163">
        <v>2</v>
      </c>
      <c r="H806" s="160" t="s">
        <v>3967</v>
      </c>
      <c r="I806" s="164">
        <v>42978</v>
      </c>
      <c r="J806" s="169">
        <v>10000</v>
      </c>
      <c r="K806" s="160" t="s">
        <v>13</v>
      </c>
    </row>
    <row r="807" spans="1:11" x14ac:dyDescent="0.3">
      <c r="A807" s="160">
        <v>1</v>
      </c>
      <c r="B807" s="160">
        <v>29204</v>
      </c>
      <c r="C807" s="160" t="s">
        <v>3970</v>
      </c>
      <c r="D807" s="160" t="s">
        <v>3756</v>
      </c>
      <c r="E807" s="160" t="s">
        <v>3965</v>
      </c>
      <c r="F807" s="160" t="s">
        <v>3971</v>
      </c>
      <c r="G807" s="163">
        <v>3</v>
      </c>
      <c r="H807" s="160" t="s">
        <v>3967</v>
      </c>
      <c r="I807" s="164">
        <v>43455</v>
      </c>
      <c r="J807" s="169">
        <v>40000</v>
      </c>
      <c r="K807" s="160" t="s">
        <v>13</v>
      </c>
    </row>
    <row r="808" spans="1:11" x14ac:dyDescent="0.3">
      <c r="A808" s="160">
        <v>1</v>
      </c>
      <c r="B808" s="160">
        <v>112619</v>
      </c>
      <c r="C808" s="160" t="s">
        <v>3970</v>
      </c>
      <c r="D808" s="160" t="s">
        <v>3756</v>
      </c>
      <c r="E808" s="160" t="s">
        <v>3965</v>
      </c>
      <c r="F808" s="160" t="s">
        <v>3972</v>
      </c>
      <c r="G808" s="163">
        <v>4</v>
      </c>
      <c r="H808" s="160" t="s">
        <v>3973</v>
      </c>
      <c r="I808" s="164">
        <v>44461</v>
      </c>
      <c r="J808" s="169">
        <v>30000</v>
      </c>
      <c r="K808" s="160" t="s">
        <v>13</v>
      </c>
    </row>
    <row r="809" spans="1:11" x14ac:dyDescent="0.3">
      <c r="A809" s="160">
        <v>1</v>
      </c>
      <c r="B809" s="160" t="s">
        <v>3974</v>
      </c>
      <c r="C809" s="160" t="s">
        <v>3755</v>
      </c>
      <c r="D809" s="160" t="s">
        <v>3756</v>
      </c>
      <c r="E809" s="160" t="s">
        <v>3975</v>
      </c>
      <c r="F809" s="160" t="s">
        <v>3976</v>
      </c>
      <c r="G809" s="163">
        <v>1</v>
      </c>
      <c r="H809" s="160" t="s">
        <v>3977</v>
      </c>
      <c r="I809" s="164">
        <v>42241</v>
      </c>
      <c r="J809" s="166">
        <v>23000</v>
      </c>
      <c r="K809" s="168" t="s">
        <v>13</v>
      </c>
    </row>
    <row r="810" spans="1:11" x14ac:dyDescent="0.3">
      <c r="A810" s="160">
        <v>1</v>
      </c>
      <c r="B810" s="160" t="s">
        <v>3978</v>
      </c>
      <c r="C810" s="160" t="s">
        <v>3755</v>
      </c>
      <c r="D810" s="160" t="s">
        <v>3756</v>
      </c>
      <c r="E810" s="160" t="s">
        <v>3975</v>
      </c>
      <c r="F810" s="160" t="s">
        <v>3979</v>
      </c>
      <c r="G810" s="163">
        <v>2</v>
      </c>
      <c r="H810" s="160" t="s">
        <v>3977</v>
      </c>
      <c r="I810" s="164">
        <v>42654</v>
      </c>
      <c r="J810" s="166">
        <v>15000</v>
      </c>
      <c r="K810" s="168" t="s">
        <v>13</v>
      </c>
    </row>
    <row r="811" spans="1:11" x14ac:dyDescent="0.3">
      <c r="A811" s="160">
        <v>1</v>
      </c>
      <c r="B811" s="160">
        <v>44761</v>
      </c>
      <c r="C811" s="160" t="s">
        <v>3755</v>
      </c>
      <c r="D811" s="160" t="s">
        <v>3756</v>
      </c>
      <c r="E811" s="160" t="s">
        <v>3975</v>
      </c>
      <c r="F811" s="160" t="s">
        <v>3980</v>
      </c>
      <c r="G811" s="163">
        <v>3</v>
      </c>
      <c r="H811" s="160" t="s">
        <v>3977</v>
      </c>
      <c r="I811" s="164">
        <v>43732</v>
      </c>
      <c r="J811" s="169">
        <v>25000</v>
      </c>
      <c r="K811" s="160" t="s">
        <v>13</v>
      </c>
    </row>
    <row r="812" spans="1:11" x14ac:dyDescent="0.3">
      <c r="A812" s="160">
        <v>1</v>
      </c>
      <c r="B812" s="160">
        <v>120642</v>
      </c>
      <c r="C812" s="160" t="s">
        <v>3755</v>
      </c>
      <c r="D812" s="160" t="s">
        <v>3756</v>
      </c>
      <c r="E812" s="160" t="s">
        <v>3975</v>
      </c>
      <c r="F812" s="160" t="s">
        <v>3981</v>
      </c>
      <c r="G812" s="163">
        <v>4</v>
      </c>
      <c r="H812" s="160" t="s">
        <v>3977</v>
      </c>
      <c r="I812" s="164">
        <v>44525</v>
      </c>
      <c r="J812" s="169">
        <v>50000</v>
      </c>
      <c r="K812" s="160" t="s">
        <v>13</v>
      </c>
    </row>
    <row r="813" spans="1:11" x14ac:dyDescent="0.3">
      <c r="A813" s="160">
        <v>1</v>
      </c>
      <c r="B813" s="160">
        <v>10911891</v>
      </c>
      <c r="C813" s="160" t="s">
        <v>3755</v>
      </c>
      <c r="D813" s="160" t="s">
        <v>3756</v>
      </c>
      <c r="E813" s="160" t="s">
        <v>3975</v>
      </c>
      <c r="F813" s="160" t="s">
        <v>3982</v>
      </c>
      <c r="G813" s="163">
        <v>5</v>
      </c>
      <c r="H813" s="160" t="s">
        <v>3977</v>
      </c>
      <c r="I813" s="164">
        <v>44944</v>
      </c>
      <c r="J813" s="169">
        <v>70000</v>
      </c>
      <c r="K813" s="160" t="s">
        <v>13</v>
      </c>
    </row>
    <row r="814" spans="1:11" x14ac:dyDescent="0.3">
      <c r="A814" s="160">
        <v>1</v>
      </c>
      <c r="B814" s="160">
        <v>2623280001</v>
      </c>
      <c r="C814" s="160" t="s">
        <v>3755</v>
      </c>
      <c r="D814" s="160" t="s">
        <v>3756</v>
      </c>
      <c r="E814" s="160" t="s">
        <v>3975</v>
      </c>
      <c r="F814" s="160" t="s">
        <v>3983</v>
      </c>
      <c r="G814" s="163">
        <v>6</v>
      </c>
      <c r="H814" s="160" t="s">
        <v>3977</v>
      </c>
      <c r="I814" s="164">
        <v>45331</v>
      </c>
      <c r="J814" s="169">
        <v>100000</v>
      </c>
      <c r="K814" s="160" t="s">
        <v>13</v>
      </c>
    </row>
    <row r="815" spans="1:11" x14ac:dyDescent="0.3">
      <c r="A815" s="160">
        <v>1</v>
      </c>
      <c r="B815" s="160">
        <v>2623280003</v>
      </c>
      <c r="C815" s="160" t="s">
        <v>3755</v>
      </c>
      <c r="D815" s="160" t="s">
        <v>3756</v>
      </c>
      <c r="E815" s="160" t="s">
        <v>3975</v>
      </c>
      <c r="F815" s="160" t="s">
        <v>3984</v>
      </c>
      <c r="G815" s="163">
        <v>7</v>
      </c>
      <c r="H815" s="160" t="s">
        <v>3977</v>
      </c>
      <c r="I815" s="164">
        <v>45636</v>
      </c>
      <c r="J815" s="169">
        <v>50000</v>
      </c>
      <c r="K815" s="160" t="s">
        <v>13</v>
      </c>
    </row>
    <row r="816" spans="1:11" x14ac:dyDescent="0.3">
      <c r="A816" s="160">
        <v>1</v>
      </c>
      <c r="C816" s="160" t="s">
        <v>3755</v>
      </c>
      <c r="D816" s="160" t="s">
        <v>3756</v>
      </c>
      <c r="F816" s="160" t="s">
        <v>3985</v>
      </c>
      <c r="G816" s="163">
        <v>1</v>
      </c>
      <c r="H816" s="160" t="s">
        <v>3986</v>
      </c>
      <c r="I816" s="164">
        <v>44826</v>
      </c>
      <c r="J816" s="169">
        <v>20000</v>
      </c>
      <c r="K816" s="160" t="s">
        <v>13</v>
      </c>
    </row>
    <row r="817" spans="1:11" x14ac:dyDescent="0.3">
      <c r="A817" s="160">
        <v>1</v>
      </c>
      <c r="B817" s="160" t="s">
        <v>3987</v>
      </c>
      <c r="C817" s="160" t="s">
        <v>3755</v>
      </c>
      <c r="D817" s="160" t="s">
        <v>3756</v>
      </c>
      <c r="E817" s="160" t="s">
        <v>3988</v>
      </c>
      <c r="F817" s="160" t="s">
        <v>3989</v>
      </c>
      <c r="G817" s="163">
        <v>1</v>
      </c>
      <c r="H817" s="160" t="s">
        <v>3990</v>
      </c>
      <c r="I817" s="164">
        <v>41799</v>
      </c>
      <c r="J817" s="166">
        <v>5000</v>
      </c>
      <c r="K817" s="168" t="s">
        <v>13</v>
      </c>
    </row>
    <row r="818" spans="1:11" x14ac:dyDescent="0.3">
      <c r="A818" s="160">
        <v>1</v>
      </c>
      <c r="B818" s="160" t="s">
        <v>3991</v>
      </c>
      <c r="C818" s="160" t="s">
        <v>3755</v>
      </c>
      <c r="D818" s="160" t="s">
        <v>3756</v>
      </c>
      <c r="E818" s="160" t="s">
        <v>3988</v>
      </c>
      <c r="F818" s="160" t="s">
        <v>3992</v>
      </c>
      <c r="G818" s="163">
        <v>2</v>
      </c>
      <c r="H818" s="160" t="s">
        <v>3990</v>
      </c>
      <c r="I818" s="164">
        <v>41992</v>
      </c>
      <c r="J818" s="166">
        <v>3000</v>
      </c>
      <c r="K818" s="170" t="s">
        <v>2410</v>
      </c>
    </row>
    <row r="819" spans="1:11" x14ac:dyDescent="0.3">
      <c r="A819" s="160">
        <v>1</v>
      </c>
      <c r="B819" s="160" t="s">
        <v>3993</v>
      </c>
      <c r="C819" s="160" t="s">
        <v>3755</v>
      </c>
      <c r="D819" s="160" t="s">
        <v>3756</v>
      </c>
      <c r="E819" s="160" t="s">
        <v>3994</v>
      </c>
      <c r="F819" s="160" t="s">
        <v>3995</v>
      </c>
      <c r="G819" s="163">
        <v>1</v>
      </c>
      <c r="H819" s="160" t="s">
        <v>3996</v>
      </c>
      <c r="I819" s="164">
        <v>41899</v>
      </c>
      <c r="J819" s="166">
        <v>5000</v>
      </c>
      <c r="K819" s="168" t="s">
        <v>13</v>
      </c>
    </row>
    <row r="820" spans="1:11" x14ac:dyDescent="0.3">
      <c r="A820" s="160">
        <v>1</v>
      </c>
      <c r="B820" s="160" t="s">
        <v>3997</v>
      </c>
      <c r="C820" s="160" t="s">
        <v>3755</v>
      </c>
      <c r="D820" s="160" t="s">
        <v>3756</v>
      </c>
      <c r="E820" s="160" t="s">
        <v>3994</v>
      </c>
      <c r="F820" s="160" t="s">
        <v>3998</v>
      </c>
      <c r="G820" s="163">
        <v>2</v>
      </c>
      <c r="H820" s="160" t="s">
        <v>3996</v>
      </c>
      <c r="I820" s="164">
        <v>42314</v>
      </c>
      <c r="J820" s="166">
        <v>70000</v>
      </c>
      <c r="K820" s="168" t="s">
        <v>13</v>
      </c>
    </row>
    <row r="821" spans="1:11" x14ac:dyDescent="0.3">
      <c r="A821" s="160">
        <v>1</v>
      </c>
      <c r="B821" s="160" t="s">
        <v>3999</v>
      </c>
      <c r="C821" s="160" t="s">
        <v>3755</v>
      </c>
      <c r="D821" s="160" t="s">
        <v>3756</v>
      </c>
      <c r="E821" s="160" t="s">
        <v>4000</v>
      </c>
      <c r="F821" s="160" t="s">
        <v>4001</v>
      </c>
      <c r="G821" s="163">
        <v>1</v>
      </c>
      <c r="H821" s="160" t="s">
        <v>4002</v>
      </c>
      <c r="I821" s="164">
        <v>42060</v>
      </c>
      <c r="J821" s="166">
        <v>40000</v>
      </c>
      <c r="K821" s="168" t="s">
        <v>13</v>
      </c>
    </row>
    <row r="822" spans="1:11" x14ac:dyDescent="0.3">
      <c r="A822" s="160">
        <v>1</v>
      </c>
      <c r="B822" s="160" t="s">
        <v>4003</v>
      </c>
      <c r="C822" s="160" t="s">
        <v>3755</v>
      </c>
      <c r="D822" s="160" t="s">
        <v>3756</v>
      </c>
      <c r="E822" s="160" t="s">
        <v>4000</v>
      </c>
      <c r="F822" s="160" t="s">
        <v>4004</v>
      </c>
      <c r="G822" s="163">
        <v>2</v>
      </c>
      <c r="H822" s="160" t="s">
        <v>4002</v>
      </c>
      <c r="I822" s="164">
        <v>42647</v>
      </c>
      <c r="J822" s="166">
        <v>90000</v>
      </c>
      <c r="K822" s="167" t="s">
        <v>70</v>
      </c>
    </row>
    <row r="823" spans="1:11" x14ac:dyDescent="0.3">
      <c r="A823" s="160">
        <v>1</v>
      </c>
      <c r="B823" s="160" t="s">
        <v>4005</v>
      </c>
      <c r="C823" s="160" t="s">
        <v>3755</v>
      </c>
      <c r="D823" s="160" t="s">
        <v>3756</v>
      </c>
      <c r="E823" s="160" t="s">
        <v>4000</v>
      </c>
      <c r="F823" s="160" t="s">
        <v>4006</v>
      </c>
      <c r="G823" s="163">
        <v>3</v>
      </c>
      <c r="H823" s="160" t="s">
        <v>4002</v>
      </c>
      <c r="I823" s="164">
        <v>43110</v>
      </c>
      <c r="J823" s="169">
        <v>40000</v>
      </c>
      <c r="K823" s="160" t="s">
        <v>13</v>
      </c>
    </row>
    <row r="824" spans="1:11" x14ac:dyDescent="0.3">
      <c r="A824" s="160">
        <v>1</v>
      </c>
      <c r="B824" s="160">
        <v>46792</v>
      </c>
      <c r="C824" s="160" t="s">
        <v>3755</v>
      </c>
      <c r="D824" s="160" t="s">
        <v>3756</v>
      </c>
      <c r="E824" s="160" t="s">
        <v>4000</v>
      </c>
      <c r="F824" s="160" t="s">
        <v>4007</v>
      </c>
      <c r="G824" s="163">
        <v>4</v>
      </c>
      <c r="H824" s="160" t="s">
        <v>4002</v>
      </c>
      <c r="I824" s="164">
        <v>43746</v>
      </c>
      <c r="J824" s="169">
        <v>100000</v>
      </c>
      <c r="K824" s="160" t="s">
        <v>13</v>
      </c>
    </row>
    <row r="825" spans="1:11" x14ac:dyDescent="0.3">
      <c r="A825" s="160">
        <v>1</v>
      </c>
      <c r="B825" s="160">
        <v>139823</v>
      </c>
      <c r="C825" s="160" t="s">
        <v>3755</v>
      </c>
      <c r="D825" s="160" t="s">
        <v>3756</v>
      </c>
      <c r="E825" s="160" t="s">
        <v>4000</v>
      </c>
      <c r="F825" s="160" t="s">
        <v>4008</v>
      </c>
      <c r="G825" s="163">
        <v>5</v>
      </c>
      <c r="H825" s="160" t="s">
        <v>4002</v>
      </c>
      <c r="I825" s="164">
        <v>44701</v>
      </c>
      <c r="J825" s="169">
        <v>50000</v>
      </c>
      <c r="K825" s="160" t="s">
        <v>13</v>
      </c>
    </row>
    <row r="826" spans="1:11" x14ac:dyDescent="0.3">
      <c r="A826" s="160">
        <v>1</v>
      </c>
      <c r="B826" s="160">
        <v>2371680001</v>
      </c>
      <c r="C826" s="160" t="s">
        <v>3755</v>
      </c>
      <c r="D826" s="160" t="s">
        <v>3756</v>
      </c>
      <c r="E826" s="160" t="s">
        <v>4000</v>
      </c>
      <c r="F826" s="160" t="s">
        <v>4009</v>
      </c>
      <c r="G826" s="163">
        <v>6</v>
      </c>
      <c r="H826" s="160" t="s">
        <v>4002</v>
      </c>
      <c r="I826" s="164">
        <v>45875</v>
      </c>
      <c r="J826" s="169">
        <v>60000</v>
      </c>
      <c r="K826" s="160" t="s">
        <v>13</v>
      </c>
    </row>
    <row r="827" spans="1:11" x14ac:dyDescent="0.3">
      <c r="A827" s="160">
        <v>1</v>
      </c>
      <c r="B827" s="160" t="s">
        <v>4010</v>
      </c>
      <c r="C827" s="160" t="s">
        <v>3755</v>
      </c>
      <c r="D827" s="160" t="s">
        <v>3756</v>
      </c>
      <c r="E827" s="160" t="s">
        <v>4011</v>
      </c>
      <c r="F827" s="160" t="s">
        <v>4012</v>
      </c>
      <c r="G827" s="163">
        <v>1</v>
      </c>
      <c r="H827" s="160" t="s">
        <v>4013</v>
      </c>
      <c r="I827" s="164">
        <v>41915</v>
      </c>
      <c r="J827" s="166">
        <v>2000</v>
      </c>
      <c r="K827" s="170" t="s">
        <v>2410</v>
      </c>
    </row>
    <row r="828" spans="1:11" x14ac:dyDescent="0.3">
      <c r="A828" s="160">
        <v>1</v>
      </c>
      <c r="B828" s="160" t="s">
        <v>4014</v>
      </c>
      <c r="C828" s="160" t="s">
        <v>3755</v>
      </c>
      <c r="D828" s="160" t="s">
        <v>3756</v>
      </c>
      <c r="E828" s="160" t="s">
        <v>4011</v>
      </c>
      <c r="F828" s="160" t="s">
        <v>4015</v>
      </c>
      <c r="G828" s="163">
        <v>2</v>
      </c>
      <c r="H828" s="160" t="s">
        <v>4013</v>
      </c>
      <c r="I828" s="164">
        <v>41991</v>
      </c>
      <c r="J828" s="166">
        <v>3000</v>
      </c>
      <c r="K828" s="170" t="s">
        <v>2410</v>
      </c>
    </row>
    <row r="829" spans="1:11" x14ac:dyDescent="0.3">
      <c r="A829" s="160">
        <v>1</v>
      </c>
      <c r="B829" s="160" t="s">
        <v>4016</v>
      </c>
      <c r="C829" s="160" t="s">
        <v>3755</v>
      </c>
      <c r="D829" s="160" t="s">
        <v>3756</v>
      </c>
      <c r="E829" s="160" t="s">
        <v>4011</v>
      </c>
      <c r="F829" s="160" t="s">
        <v>4017</v>
      </c>
      <c r="G829" s="163">
        <v>3</v>
      </c>
      <c r="H829" s="160" t="s">
        <v>4013</v>
      </c>
      <c r="I829" s="164">
        <v>42369</v>
      </c>
      <c r="J829" s="166">
        <v>5000</v>
      </c>
      <c r="K829" s="170" t="s">
        <v>2410</v>
      </c>
    </row>
    <row r="830" spans="1:11" x14ac:dyDescent="0.3">
      <c r="A830" s="160">
        <v>1</v>
      </c>
      <c r="B830" s="160" t="s">
        <v>4018</v>
      </c>
      <c r="C830" s="160" t="s">
        <v>3755</v>
      </c>
      <c r="D830" s="160" t="s">
        <v>3756</v>
      </c>
      <c r="E830" s="160" t="s">
        <v>4019</v>
      </c>
      <c r="F830" s="160" t="s">
        <v>4020</v>
      </c>
      <c r="G830" s="163">
        <v>1</v>
      </c>
      <c r="H830" s="160" t="s">
        <v>4021</v>
      </c>
      <c r="I830" s="164">
        <v>42136</v>
      </c>
      <c r="J830" s="166">
        <v>25000</v>
      </c>
      <c r="K830" s="168" t="s">
        <v>13</v>
      </c>
    </row>
    <row r="831" spans="1:11" x14ac:dyDescent="0.3">
      <c r="A831" s="160">
        <v>1</v>
      </c>
      <c r="B831" s="160">
        <v>157379</v>
      </c>
      <c r="C831" s="160" t="s">
        <v>3755</v>
      </c>
      <c r="D831" s="160" t="s">
        <v>3756</v>
      </c>
      <c r="E831" s="160" t="s">
        <v>4019</v>
      </c>
      <c r="F831" s="160" t="s">
        <v>4022</v>
      </c>
      <c r="G831" s="163">
        <v>2</v>
      </c>
      <c r="H831" s="160" t="s">
        <v>4021</v>
      </c>
      <c r="I831" s="164">
        <v>44839</v>
      </c>
      <c r="J831" s="165">
        <v>35000</v>
      </c>
      <c r="K831" s="160" t="s">
        <v>13</v>
      </c>
    </row>
    <row r="832" spans="1:11" x14ac:dyDescent="0.3">
      <c r="A832" s="160">
        <v>1</v>
      </c>
      <c r="B832" s="160">
        <v>5539530001</v>
      </c>
      <c r="C832" s="160" t="s">
        <v>3755</v>
      </c>
      <c r="D832" s="160" t="s">
        <v>3756</v>
      </c>
      <c r="E832" s="160" t="s">
        <v>4019</v>
      </c>
      <c r="F832" s="160" t="s">
        <v>4023</v>
      </c>
      <c r="G832" s="163">
        <v>3</v>
      </c>
      <c r="H832" s="160" t="s">
        <v>4021</v>
      </c>
      <c r="I832" s="164">
        <v>45646</v>
      </c>
      <c r="J832" s="165">
        <v>50000</v>
      </c>
      <c r="K832" s="160" t="s">
        <v>13</v>
      </c>
    </row>
    <row r="833" spans="1:11" x14ac:dyDescent="0.3">
      <c r="A833" s="160">
        <v>1</v>
      </c>
      <c r="B833" s="160">
        <v>10906805</v>
      </c>
      <c r="C833" s="160" t="s">
        <v>3755</v>
      </c>
      <c r="D833" s="160" t="s">
        <v>3756</v>
      </c>
      <c r="F833" s="160" t="s">
        <v>4024</v>
      </c>
      <c r="G833" s="163">
        <v>1</v>
      </c>
      <c r="H833" s="160" t="s">
        <v>4025</v>
      </c>
      <c r="I833" s="164">
        <v>44902</v>
      </c>
      <c r="J833" s="165">
        <v>80000</v>
      </c>
      <c r="K833" s="160" t="s">
        <v>13</v>
      </c>
    </row>
    <row r="834" spans="1:11" x14ac:dyDescent="0.3">
      <c r="A834" s="160">
        <v>1</v>
      </c>
      <c r="B834" s="160">
        <v>5569200001</v>
      </c>
      <c r="C834" s="160" t="s">
        <v>3755</v>
      </c>
      <c r="D834" s="160" t="s">
        <v>3756</v>
      </c>
      <c r="F834" s="160" t="s">
        <v>4026</v>
      </c>
      <c r="G834" s="163">
        <v>2</v>
      </c>
      <c r="H834" s="160" t="s">
        <v>4025</v>
      </c>
      <c r="I834" s="164">
        <v>45516</v>
      </c>
      <c r="J834" s="165">
        <v>60000</v>
      </c>
      <c r="K834" s="160" t="s">
        <v>13</v>
      </c>
    </row>
    <row r="835" spans="1:11" x14ac:dyDescent="0.3">
      <c r="A835" s="160">
        <v>1</v>
      </c>
      <c r="B835" s="160">
        <v>5569200002</v>
      </c>
      <c r="C835" s="160" t="s">
        <v>3755</v>
      </c>
      <c r="D835" s="160" t="s">
        <v>3756</v>
      </c>
      <c r="F835" s="160" t="s">
        <v>4027</v>
      </c>
      <c r="G835" s="163">
        <v>3</v>
      </c>
      <c r="H835" s="160" t="s">
        <v>4025</v>
      </c>
      <c r="I835" s="164">
        <v>45889</v>
      </c>
      <c r="J835" s="165">
        <v>100000</v>
      </c>
      <c r="K835" s="160" t="s">
        <v>13</v>
      </c>
    </row>
    <row r="836" spans="1:11" x14ac:dyDescent="0.3">
      <c r="A836" s="160">
        <v>1</v>
      </c>
      <c r="B836" s="160" t="s">
        <v>4028</v>
      </c>
      <c r="C836" s="160" t="s">
        <v>3755</v>
      </c>
      <c r="D836" s="160" t="s">
        <v>3756</v>
      </c>
      <c r="E836" s="160" t="s">
        <v>4029</v>
      </c>
      <c r="F836" s="160" t="s">
        <v>4030</v>
      </c>
      <c r="G836" s="163">
        <v>1</v>
      </c>
      <c r="H836" s="160" t="s">
        <v>4031</v>
      </c>
      <c r="I836" s="164">
        <v>42486</v>
      </c>
      <c r="J836" s="166">
        <v>25000</v>
      </c>
      <c r="K836" s="168" t="s">
        <v>13</v>
      </c>
    </row>
    <row r="837" spans="1:11" x14ac:dyDescent="0.3">
      <c r="A837" s="160">
        <v>1</v>
      </c>
      <c r="B837" s="160" t="s">
        <v>4032</v>
      </c>
      <c r="C837" s="160" t="s">
        <v>3755</v>
      </c>
      <c r="D837" s="160" t="s">
        <v>3756</v>
      </c>
      <c r="E837" s="160" t="s">
        <v>4029</v>
      </c>
      <c r="F837" s="160" t="s">
        <v>4033</v>
      </c>
      <c r="G837" s="163">
        <v>2</v>
      </c>
      <c r="H837" s="160" t="s">
        <v>4034</v>
      </c>
      <c r="I837" s="164">
        <v>42829</v>
      </c>
      <c r="J837" s="169">
        <v>40000</v>
      </c>
      <c r="K837" s="160" t="s">
        <v>13</v>
      </c>
    </row>
    <row r="838" spans="1:11" x14ac:dyDescent="0.3">
      <c r="A838" s="160">
        <v>1</v>
      </c>
      <c r="B838" s="160" t="s">
        <v>4035</v>
      </c>
      <c r="C838" s="160" t="s">
        <v>3755</v>
      </c>
      <c r="D838" s="160" t="s">
        <v>3756</v>
      </c>
      <c r="E838" s="160" t="s">
        <v>4036</v>
      </c>
      <c r="F838" s="160" t="s">
        <v>4037</v>
      </c>
      <c r="G838" s="163">
        <v>1</v>
      </c>
      <c r="H838" s="160" t="s">
        <v>4038</v>
      </c>
      <c r="I838" s="164">
        <v>42117</v>
      </c>
      <c r="J838" s="166">
        <v>30000</v>
      </c>
      <c r="K838" s="168" t="s">
        <v>13</v>
      </c>
    </row>
    <row r="839" spans="1:11" x14ac:dyDescent="0.3">
      <c r="A839" s="160">
        <v>1</v>
      </c>
      <c r="B839" s="160" t="s">
        <v>4039</v>
      </c>
      <c r="C839" s="160" t="s">
        <v>4040</v>
      </c>
      <c r="D839" s="160" t="s">
        <v>4041</v>
      </c>
      <c r="E839" s="160" t="s">
        <v>4042</v>
      </c>
      <c r="F839" s="160" t="s">
        <v>4043</v>
      </c>
      <c r="G839" s="163">
        <v>1</v>
      </c>
      <c r="H839" s="160" t="s">
        <v>4044</v>
      </c>
      <c r="I839" s="164">
        <v>41416</v>
      </c>
      <c r="J839" s="166">
        <v>10000</v>
      </c>
      <c r="K839" s="168" t="s">
        <v>13</v>
      </c>
    </row>
    <row r="840" spans="1:11" x14ac:dyDescent="0.3">
      <c r="A840" s="160">
        <v>1</v>
      </c>
      <c r="B840" s="160" t="s">
        <v>4045</v>
      </c>
      <c r="C840" s="160" t="s">
        <v>4040</v>
      </c>
      <c r="D840" s="160" t="s">
        <v>4041</v>
      </c>
      <c r="E840" s="160" t="s">
        <v>4042</v>
      </c>
      <c r="F840" s="160" t="s">
        <v>4046</v>
      </c>
      <c r="G840" s="163">
        <v>2</v>
      </c>
      <c r="H840" s="160" t="s">
        <v>4047</v>
      </c>
      <c r="I840" s="164">
        <v>43027</v>
      </c>
      <c r="J840" s="169">
        <v>35000</v>
      </c>
      <c r="K840" s="160" t="s">
        <v>13</v>
      </c>
    </row>
    <row r="841" spans="1:11" x14ac:dyDescent="0.3">
      <c r="A841" s="160">
        <v>1</v>
      </c>
      <c r="B841" s="160" t="s">
        <v>4048</v>
      </c>
      <c r="C841" s="160" t="s">
        <v>4040</v>
      </c>
      <c r="D841" s="160" t="s">
        <v>4041</v>
      </c>
      <c r="E841" s="160" t="s">
        <v>4049</v>
      </c>
      <c r="F841" s="160" t="s">
        <v>4050</v>
      </c>
      <c r="G841" s="163">
        <v>1</v>
      </c>
      <c r="H841" s="160" t="s">
        <v>4051</v>
      </c>
      <c r="I841" s="164">
        <v>41737</v>
      </c>
      <c r="J841" s="166">
        <v>11000</v>
      </c>
      <c r="K841" s="168" t="s">
        <v>13</v>
      </c>
    </row>
    <row r="842" spans="1:11" x14ac:dyDescent="0.3">
      <c r="A842" s="160">
        <v>1</v>
      </c>
      <c r="C842" s="160" t="s">
        <v>3580</v>
      </c>
      <c r="D842" s="160" t="s">
        <v>4041</v>
      </c>
      <c r="F842" s="160" t="s">
        <v>4052</v>
      </c>
      <c r="G842" s="163">
        <v>1</v>
      </c>
      <c r="H842" s="160" t="s">
        <v>4053</v>
      </c>
      <c r="I842" s="164">
        <v>40163</v>
      </c>
      <c r="J842" s="166">
        <v>5000</v>
      </c>
      <c r="K842" s="168" t="s">
        <v>13</v>
      </c>
    </row>
    <row r="843" spans="1:11" x14ac:dyDescent="0.3">
      <c r="A843" s="160">
        <v>1</v>
      </c>
      <c r="C843" s="160" t="s">
        <v>3580</v>
      </c>
      <c r="D843" s="160" t="s">
        <v>4041</v>
      </c>
      <c r="F843" s="160" t="s">
        <v>4054</v>
      </c>
      <c r="G843" s="163">
        <v>2</v>
      </c>
      <c r="H843" s="160" t="s">
        <v>4053</v>
      </c>
      <c r="I843" s="164">
        <v>40311</v>
      </c>
      <c r="J843" s="166">
        <v>3000</v>
      </c>
      <c r="K843" s="168" t="s">
        <v>13</v>
      </c>
    </row>
    <row r="844" spans="1:11" x14ac:dyDescent="0.3">
      <c r="A844" s="160">
        <v>1</v>
      </c>
      <c r="B844" s="160" t="s">
        <v>4055</v>
      </c>
      <c r="C844" s="160" t="s">
        <v>4040</v>
      </c>
      <c r="D844" s="160" t="s">
        <v>4041</v>
      </c>
      <c r="E844" s="160" t="s">
        <v>4056</v>
      </c>
      <c r="F844" s="160" t="s">
        <v>4057</v>
      </c>
      <c r="G844" s="163">
        <v>1</v>
      </c>
      <c r="H844" s="160" t="s">
        <v>4058</v>
      </c>
      <c r="I844" s="164">
        <v>41841</v>
      </c>
      <c r="J844" s="166">
        <v>15000</v>
      </c>
      <c r="K844" s="168" t="s">
        <v>13</v>
      </c>
    </row>
    <row r="845" spans="1:11" x14ac:dyDescent="0.3">
      <c r="A845" s="160">
        <v>1</v>
      </c>
      <c r="B845" s="160" t="s">
        <v>4059</v>
      </c>
      <c r="C845" s="160" t="s">
        <v>4040</v>
      </c>
      <c r="D845" s="160" t="s">
        <v>4041</v>
      </c>
      <c r="E845" s="160" t="s">
        <v>4056</v>
      </c>
      <c r="F845" s="160" t="s">
        <v>4060</v>
      </c>
      <c r="G845" s="163">
        <v>2</v>
      </c>
      <c r="H845" s="160" t="s">
        <v>4058</v>
      </c>
      <c r="I845" s="164">
        <v>42262</v>
      </c>
      <c r="J845" s="166">
        <v>12000</v>
      </c>
      <c r="K845" s="168" t="s">
        <v>13</v>
      </c>
    </row>
    <row r="846" spans="1:11" x14ac:dyDescent="0.3">
      <c r="A846" s="160">
        <v>1</v>
      </c>
      <c r="B846" s="160" t="s">
        <v>4061</v>
      </c>
      <c r="C846" s="160" t="s">
        <v>4040</v>
      </c>
      <c r="D846" s="160" t="s">
        <v>4041</v>
      </c>
      <c r="E846" s="160" t="s">
        <v>4056</v>
      </c>
      <c r="F846" s="160" t="s">
        <v>4062</v>
      </c>
      <c r="G846" s="163">
        <v>3</v>
      </c>
      <c r="H846" s="160" t="s">
        <v>4058</v>
      </c>
      <c r="I846" s="164">
        <v>42760</v>
      </c>
      <c r="J846" s="166">
        <v>30000</v>
      </c>
      <c r="K846" s="168" t="s">
        <v>13</v>
      </c>
    </row>
    <row r="847" spans="1:11" x14ac:dyDescent="0.3">
      <c r="A847" s="160">
        <v>1</v>
      </c>
      <c r="B847" s="160">
        <v>34011</v>
      </c>
      <c r="C847" s="160" t="s">
        <v>4040</v>
      </c>
      <c r="D847" s="160" t="s">
        <v>4041</v>
      </c>
      <c r="E847" s="160" t="s">
        <v>4056</v>
      </c>
      <c r="F847" s="160" t="s">
        <v>4063</v>
      </c>
      <c r="G847" s="163">
        <v>4</v>
      </c>
      <c r="H847" s="160" t="s">
        <v>4058</v>
      </c>
      <c r="I847" s="164">
        <v>43551</v>
      </c>
      <c r="J847" s="169">
        <v>70000</v>
      </c>
      <c r="K847" s="160" t="s">
        <v>55</v>
      </c>
    </row>
    <row r="848" spans="1:11" x14ac:dyDescent="0.3">
      <c r="A848" s="160">
        <v>1</v>
      </c>
      <c r="B848" s="160">
        <v>138464</v>
      </c>
      <c r="C848" s="160" t="s">
        <v>4040</v>
      </c>
      <c r="D848" s="160" t="s">
        <v>4041</v>
      </c>
      <c r="E848" s="160" t="s">
        <v>4056</v>
      </c>
      <c r="F848" s="160" t="s">
        <v>4064</v>
      </c>
      <c r="G848" s="163">
        <v>5</v>
      </c>
      <c r="H848" s="160" t="s">
        <v>4058</v>
      </c>
      <c r="I848" s="164">
        <v>44690</v>
      </c>
      <c r="J848" s="169">
        <v>30000</v>
      </c>
      <c r="K848" s="160" t="s">
        <v>70</v>
      </c>
    </row>
    <row r="849" spans="1:11" x14ac:dyDescent="0.3">
      <c r="A849" s="160">
        <v>1</v>
      </c>
      <c r="B849" s="160">
        <v>1803750003</v>
      </c>
      <c r="C849" s="160" t="s">
        <v>4040</v>
      </c>
      <c r="D849" s="160" t="s">
        <v>4041</v>
      </c>
      <c r="E849" s="160" t="s">
        <v>4056</v>
      </c>
      <c r="F849" s="160" t="s">
        <v>4065</v>
      </c>
      <c r="G849" s="163">
        <v>6</v>
      </c>
      <c r="H849" s="160" t="s">
        <v>4058</v>
      </c>
      <c r="I849" s="164">
        <v>45253</v>
      </c>
      <c r="J849" s="169">
        <v>40000</v>
      </c>
      <c r="K849" s="160" t="s">
        <v>13</v>
      </c>
    </row>
    <row r="850" spans="1:11" x14ac:dyDescent="0.3">
      <c r="A850" s="160">
        <v>1</v>
      </c>
      <c r="B850" s="160" t="s">
        <v>4066</v>
      </c>
      <c r="C850" s="160" t="s">
        <v>4040</v>
      </c>
      <c r="D850" s="160" t="s">
        <v>4041</v>
      </c>
      <c r="E850" s="160" t="s">
        <v>4067</v>
      </c>
      <c r="F850" s="160" t="s">
        <v>4068</v>
      </c>
      <c r="G850" s="163">
        <v>1</v>
      </c>
      <c r="H850" s="160" t="s">
        <v>4069</v>
      </c>
      <c r="I850" s="164">
        <v>41731</v>
      </c>
      <c r="J850" s="166">
        <v>40000</v>
      </c>
      <c r="K850" s="167" t="s">
        <v>70</v>
      </c>
    </row>
    <row r="851" spans="1:11" x14ac:dyDescent="0.3">
      <c r="A851" s="160">
        <v>1</v>
      </c>
      <c r="B851" s="160" t="s">
        <v>4070</v>
      </c>
      <c r="C851" s="160" t="s">
        <v>4040</v>
      </c>
      <c r="D851" s="160" t="s">
        <v>4041</v>
      </c>
      <c r="E851" s="160" t="s">
        <v>4067</v>
      </c>
      <c r="F851" s="160" t="s">
        <v>4071</v>
      </c>
      <c r="G851" s="163">
        <v>2</v>
      </c>
      <c r="H851" s="160" t="s">
        <v>4069</v>
      </c>
      <c r="I851" s="164">
        <v>42241</v>
      </c>
      <c r="J851" s="166">
        <v>15000</v>
      </c>
      <c r="K851" s="168" t="s">
        <v>13</v>
      </c>
    </row>
    <row r="852" spans="1:11" x14ac:dyDescent="0.3">
      <c r="A852" s="160">
        <v>1</v>
      </c>
      <c r="B852" s="160" t="s">
        <v>4072</v>
      </c>
      <c r="C852" s="160" t="s">
        <v>4040</v>
      </c>
      <c r="D852" s="160" t="s">
        <v>4041</v>
      </c>
      <c r="E852" s="160" t="s">
        <v>4067</v>
      </c>
      <c r="F852" s="160" t="s">
        <v>4073</v>
      </c>
      <c r="G852" s="163">
        <v>3</v>
      </c>
      <c r="H852" s="160" t="s">
        <v>4069</v>
      </c>
      <c r="I852" s="164">
        <v>42647</v>
      </c>
      <c r="J852" s="166">
        <v>20000</v>
      </c>
      <c r="K852" s="168" t="s">
        <v>13</v>
      </c>
    </row>
    <row r="853" spans="1:11" x14ac:dyDescent="0.3">
      <c r="A853" s="160">
        <v>1</v>
      </c>
      <c r="B853" s="160" t="s">
        <v>4074</v>
      </c>
      <c r="C853" s="160" t="s">
        <v>4040</v>
      </c>
      <c r="D853" s="160" t="s">
        <v>4041</v>
      </c>
      <c r="E853" s="160" t="s">
        <v>4067</v>
      </c>
      <c r="F853" s="160" t="s">
        <v>4075</v>
      </c>
      <c r="G853" s="163">
        <v>4</v>
      </c>
      <c r="H853" s="160" t="s">
        <v>4076</v>
      </c>
      <c r="I853" s="164">
        <v>43084</v>
      </c>
      <c r="J853" s="169">
        <v>50000</v>
      </c>
      <c r="K853" s="160" t="s">
        <v>70</v>
      </c>
    </row>
    <row r="854" spans="1:11" x14ac:dyDescent="0.3">
      <c r="A854" s="160">
        <v>1</v>
      </c>
      <c r="B854" s="160">
        <v>45780</v>
      </c>
      <c r="C854" s="160" t="s">
        <v>4040</v>
      </c>
      <c r="D854" s="160" t="s">
        <v>4041</v>
      </c>
      <c r="E854" s="160" t="s">
        <v>4067</v>
      </c>
      <c r="F854" s="160" t="s">
        <v>4077</v>
      </c>
      <c r="G854" s="163">
        <v>5</v>
      </c>
      <c r="H854" s="160" t="s">
        <v>4076</v>
      </c>
      <c r="I854" s="164">
        <v>43735</v>
      </c>
      <c r="J854" s="169">
        <v>5000</v>
      </c>
      <c r="K854" s="160" t="s">
        <v>13</v>
      </c>
    </row>
    <row r="855" spans="1:11" x14ac:dyDescent="0.3">
      <c r="A855" s="160">
        <v>1</v>
      </c>
      <c r="B855" s="160">
        <v>108768</v>
      </c>
      <c r="C855" s="160" t="s">
        <v>4040</v>
      </c>
      <c r="D855" s="160" t="s">
        <v>4041</v>
      </c>
      <c r="E855" s="160" t="s">
        <v>4067</v>
      </c>
      <c r="F855" s="160" t="s">
        <v>4078</v>
      </c>
      <c r="G855" s="163">
        <v>6</v>
      </c>
      <c r="H855" s="160" t="s">
        <v>4076</v>
      </c>
      <c r="I855" s="164">
        <v>44425</v>
      </c>
      <c r="J855" s="169">
        <v>5000</v>
      </c>
      <c r="K855" s="160" t="s">
        <v>2410</v>
      </c>
    </row>
    <row r="856" spans="1:11" x14ac:dyDescent="0.3">
      <c r="A856" s="160">
        <v>1</v>
      </c>
      <c r="C856" s="160" t="s">
        <v>4040</v>
      </c>
      <c r="D856" s="160" t="s">
        <v>4041</v>
      </c>
      <c r="F856" s="160" t="s">
        <v>4079</v>
      </c>
      <c r="G856" s="163">
        <v>1</v>
      </c>
      <c r="H856" s="160" t="s">
        <v>4080</v>
      </c>
      <c r="I856" s="164">
        <v>40183</v>
      </c>
      <c r="J856" s="166">
        <v>10000</v>
      </c>
      <c r="K856" s="167" t="s">
        <v>70</v>
      </c>
    </row>
    <row r="857" spans="1:11" x14ac:dyDescent="0.3">
      <c r="A857" s="160">
        <v>1</v>
      </c>
      <c r="C857" s="160" t="s">
        <v>4040</v>
      </c>
      <c r="D857" s="160" t="s">
        <v>4041</v>
      </c>
      <c r="F857" s="160" t="s">
        <v>4081</v>
      </c>
      <c r="G857" s="163">
        <v>2</v>
      </c>
      <c r="H857" s="160" t="s">
        <v>4080</v>
      </c>
      <c r="I857" s="164">
        <v>40276</v>
      </c>
      <c r="J857" s="166">
        <v>5000</v>
      </c>
      <c r="K857" s="175" t="s">
        <v>55</v>
      </c>
    </row>
    <row r="858" spans="1:11" x14ac:dyDescent="0.3">
      <c r="A858" s="160">
        <v>1</v>
      </c>
      <c r="B858" s="160" t="s">
        <v>4082</v>
      </c>
      <c r="C858" s="160" t="s">
        <v>4040</v>
      </c>
      <c r="D858" s="160" t="s">
        <v>4041</v>
      </c>
      <c r="E858" s="160" t="s">
        <v>4083</v>
      </c>
      <c r="F858" s="160" t="s">
        <v>4084</v>
      </c>
      <c r="G858" s="163">
        <v>1</v>
      </c>
      <c r="H858" s="160" t="s">
        <v>4085</v>
      </c>
      <c r="I858" s="164">
        <v>41353</v>
      </c>
      <c r="J858" s="166">
        <v>9000</v>
      </c>
      <c r="K858" s="168" t="s">
        <v>13</v>
      </c>
    </row>
    <row r="859" spans="1:11" x14ac:dyDescent="0.3">
      <c r="A859" s="160">
        <v>1</v>
      </c>
      <c r="B859" s="160" t="s">
        <v>4086</v>
      </c>
      <c r="C859" s="160" t="s">
        <v>4040</v>
      </c>
      <c r="D859" s="160" t="s">
        <v>4041</v>
      </c>
      <c r="E859" s="160" t="s">
        <v>4083</v>
      </c>
      <c r="F859" s="160" t="s">
        <v>4087</v>
      </c>
      <c r="G859" s="163">
        <v>2</v>
      </c>
      <c r="H859" s="160" t="s">
        <v>4085</v>
      </c>
      <c r="I859" s="164">
        <v>41801</v>
      </c>
      <c r="J859" s="166">
        <v>20000</v>
      </c>
      <c r="K859" s="168" t="s">
        <v>13</v>
      </c>
    </row>
    <row r="860" spans="1:11" x14ac:dyDescent="0.3">
      <c r="A860" s="160">
        <v>1</v>
      </c>
      <c r="B860" s="160" t="s">
        <v>4088</v>
      </c>
      <c r="C860" s="160" t="s">
        <v>4040</v>
      </c>
      <c r="D860" s="160" t="s">
        <v>4041</v>
      </c>
      <c r="E860" s="160" t="s">
        <v>4083</v>
      </c>
      <c r="F860" s="160" t="s">
        <v>4089</v>
      </c>
      <c r="G860" s="163">
        <v>3</v>
      </c>
      <c r="H860" s="160" t="s">
        <v>4085</v>
      </c>
      <c r="I860" s="164">
        <v>42192</v>
      </c>
      <c r="J860" s="166">
        <v>17000</v>
      </c>
      <c r="K860" s="167" t="s">
        <v>70</v>
      </c>
    </row>
    <row r="861" spans="1:11" x14ac:dyDescent="0.3">
      <c r="A861" s="160">
        <v>1</v>
      </c>
      <c r="B861" s="160" t="s">
        <v>4090</v>
      </c>
      <c r="C861" s="160" t="s">
        <v>4040</v>
      </c>
      <c r="D861" s="160" t="s">
        <v>4041</v>
      </c>
      <c r="E861" s="160" t="s">
        <v>4083</v>
      </c>
      <c r="F861" s="160" t="s">
        <v>4091</v>
      </c>
      <c r="G861" s="163">
        <v>4</v>
      </c>
      <c r="H861" s="160" t="s">
        <v>4085</v>
      </c>
      <c r="I861" s="164">
        <v>42991</v>
      </c>
      <c r="J861" s="169">
        <v>35000</v>
      </c>
      <c r="K861" s="160" t="s">
        <v>13</v>
      </c>
    </row>
    <row r="862" spans="1:11" x14ac:dyDescent="0.3">
      <c r="A862" s="160">
        <v>1</v>
      </c>
      <c r="B862" s="160">
        <v>100031</v>
      </c>
      <c r="C862" s="160" t="s">
        <v>4040</v>
      </c>
      <c r="D862" s="160" t="s">
        <v>4041</v>
      </c>
      <c r="E862" s="160" t="s">
        <v>4083</v>
      </c>
      <c r="F862" s="160" t="s">
        <v>4092</v>
      </c>
      <c r="G862" s="163">
        <v>5</v>
      </c>
      <c r="H862" s="160" t="s">
        <v>4085</v>
      </c>
      <c r="I862" s="164">
        <v>44371</v>
      </c>
      <c r="J862" s="169">
        <v>100000</v>
      </c>
      <c r="K862" s="160" t="s">
        <v>13</v>
      </c>
    </row>
    <row r="863" spans="1:11" x14ac:dyDescent="0.3">
      <c r="A863" s="160">
        <v>1</v>
      </c>
      <c r="B863" s="160">
        <v>1933500001</v>
      </c>
      <c r="C863" s="160" t="s">
        <v>4040</v>
      </c>
      <c r="D863" s="160" t="s">
        <v>4041</v>
      </c>
      <c r="E863" s="160" t="s">
        <v>4083</v>
      </c>
      <c r="F863" s="160" t="s">
        <v>4093</v>
      </c>
      <c r="G863" s="163">
        <v>6</v>
      </c>
      <c r="H863" s="160" t="s">
        <v>4085</v>
      </c>
      <c r="I863" s="164">
        <v>45379</v>
      </c>
      <c r="J863" s="169">
        <v>50000</v>
      </c>
      <c r="K863" s="160" t="s">
        <v>13</v>
      </c>
    </row>
    <row r="864" spans="1:11" x14ac:dyDescent="0.3">
      <c r="A864" s="160">
        <v>1</v>
      </c>
      <c r="B864" s="160">
        <v>1933500002</v>
      </c>
      <c r="C864" s="160" t="s">
        <v>4040</v>
      </c>
      <c r="D864" s="160" t="s">
        <v>4041</v>
      </c>
      <c r="E864" s="160" t="s">
        <v>4083</v>
      </c>
      <c r="F864" s="160" t="s">
        <v>4094</v>
      </c>
      <c r="G864" s="163">
        <v>7</v>
      </c>
      <c r="H864" s="160" t="s">
        <v>4085</v>
      </c>
      <c r="I864" s="164">
        <v>45861</v>
      </c>
      <c r="J864" s="169">
        <v>100000</v>
      </c>
      <c r="K864" s="160" t="s">
        <v>13</v>
      </c>
    </row>
    <row r="865" spans="1:11" ht="13" customHeight="1" x14ac:dyDescent="0.3">
      <c r="A865" s="160">
        <v>1</v>
      </c>
      <c r="B865" s="160" t="s">
        <v>4095</v>
      </c>
      <c r="C865" s="160" t="s">
        <v>4040</v>
      </c>
      <c r="D865" s="160" t="s">
        <v>4041</v>
      </c>
      <c r="E865" s="160" t="s">
        <v>4096</v>
      </c>
      <c r="F865" s="160" t="s">
        <v>4097</v>
      </c>
      <c r="G865" s="163">
        <v>1</v>
      </c>
      <c r="H865" s="160" t="s">
        <v>4098</v>
      </c>
      <c r="I865" s="164">
        <v>41659</v>
      </c>
      <c r="J865" s="166">
        <v>15000</v>
      </c>
      <c r="K865" s="168" t="s">
        <v>13</v>
      </c>
    </row>
    <row r="866" spans="1:11" x14ac:dyDescent="0.3">
      <c r="A866" s="160">
        <v>1</v>
      </c>
      <c r="B866" s="160" t="s">
        <v>4099</v>
      </c>
      <c r="C866" s="160" t="s">
        <v>4040</v>
      </c>
      <c r="D866" s="160" t="s">
        <v>4041</v>
      </c>
      <c r="E866" s="160" t="s">
        <v>4096</v>
      </c>
      <c r="F866" s="160" t="s">
        <v>4100</v>
      </c>
      <c r="G866" s="163">
        <v>2</v>
      </c>
      <c r="H866" s="160" t="s">
        <v>4098</v>
      </c>
      <c r="I866" s="164">
        <v>42663</v>
      </c>
      <c r="J866" s="166">
        <v>5000</v>
      </c>
      <c r="K866" s="167" t="s">
        <v>70</v>
      </c>
    </row>
    <row r="867" spans="1:11" ht="13" customHeight="1" x14ac:dyDescent="0.3">
      <c r="A867" s="160">
        <v>1</v>
      </c>
      <c r="B867" s="160">
        <v>113831</v>
      </c>
      <c r="C867" s="160" t="s">
        <v>4040</v>
      </c>
      <c r="D867" s="160" t="s">
        <v>4041</v>
      </c>
      <c r="E867" s="160" t="s">
        <v>4096</v>
      </c>
      <c r="F867" s="160" t="s">
        <v>4101</v>
      </c>
      <c r="G867" s="163">
        <v>3</v>
      </c>
      <c r="H867" s="160" t="s">
        <v>4098</v>
      </c>
      <c r="I867" s="164">
        <v>44469</v>
      </c>
      <c r="J867" s="165">
        <v>35000</v>
      </c>
      <c r="K867" s="160" t="s">
        <v>13</v>
      </c>
    </row>
    <row r="868" spans="1:11" ht="13" customHeight="1" x14ac:dyDescent="0.3">
      <c r="A868" s="160">
        <v>1</v>
      </c>
      <c r="B868" s="160">
        <v>2966450001</v>
      </c>
      <c r="C868" s="160" t="s">
        <v>4040</v>
      </c>
      <c r="D868" s="160" t="s">
        <v>4041</v>
      </c>
      <c r="E868" s="160" t="s">
        <v>4096</v>
      </c>
      <c r="F868" s="160" t="s">
        <v>4102</v>
      </c>
      <c r="G868" s="163">
        <v>4</v>
      </c>
      <c r="H868" s="160" t="s">
        <v>4098</v>
      </c>
      <c r="I868" s="164">
        <v>45530</v>
      </c>
      <c r="J868" s="165">
        <v>50000</v>
      </c>
      <c r="K868" s="160" t="s">
        <v>13</v>
      </c>
    </row>
    <row r="869" spans="1:11" ht="13" customHeight="1" x14ac:dyDescent="0.3">
      <c r="A869" s="160">
        <v>1</v>
      </c>
      <c r="B869" s="160" t="s">
        <v>4103</v>
      </c>
      <c r="C869" s="160" t="s">
        <v>4040</v>
      </c>
      <c r="D869" s="160" t="s">
        <v>4041</v>
      </c>
      <c r="E869" s="160" t="s">
        <v>4104</v>
      </c>
      <c r="F869" s="160" t="s">
        <v>4105</v>
      </c>
      <c r="G869" s="163">
        <v>1</v>
      </c>
      <c r="H869" s="160" t="s">
        <v>4106</v>
      </c>
      <c r="I869" s="164">
        <v>41835</v>
      </c>
      <c r="J869" s="166">
        <v>9000</v>
      </c>
      <c r="K869" s="168" t="s">
        <v>13</v>
      </c>
    </row>
    <row r="870" spans="1:11" ht="13" customHeight="1" x14ac:dyDescent="0.3">
      <c r="A870" s="160">
        <v>1</v>
      </c>
      <c r="B870" s="160" t="s">
        <v>4107</v>
      </c>
      <c r="C870" s="160" t="s">
        <v>4040</v>
      </c>
      <c r="D870" s="160" t="s">
        <v>4041</v>
      </c>
      <c r="E870" s="160" t="s">
        <v>4104</v>
      </c>
      <c r="F870" s="160" t="s">
        <v>4108</v>
      </c>
      <c r="G870" s="163">
        <v>2</v>
      </c>
      <c r="H870" s="160" t="s">
        <v>4106</v>
      </c>
      <c r="I870" s="164">
        <v>42565</v>
      </c>
      <c r="J870" s="166">
        <v>10000</v>
      </c>
      <c r="K870" s="168" t="s">
        <v>13</v>
      </c>
    </row>
    <row r="871" spans="1:11" ht="13" customHeight="1" x14ac:dyDescent="0.3">
      <c r="A871" s="160">
        <v>1</v>
      </c>
      <c r="B871" s="160" t="s">
        <v>4109</v>
      </c>
      <c r="C871" s="160" t="s">
        <v>4040</v>
      </c>
      <c r="D871" s="160" t="s">
        <v>4041</v>
      </c>
      <c r="E871" s="160" t="s">
        <v>4104</v>
      </c>
      <c r="F871" s="160" t="s">
        <v>4110</v>
      </c>
      <c r="G871" s="163">
        <v>3</v>
      </c>
      <c r="H871" s="160" t="s">
        <v>4106</v>
      </c>
      <c r="I871" s="164">
        <v>42948</v>
      </c>
      <c r="J871" s="169">
        <v>20000</v>
      </c>
      <c r="K871" s="160" t="s">
        <v>13</v>
      </c>
    </row>
    <row r="872" spans="1:11" ht="13" customHeight="1" x14ac:dyDescent="0.3">
      <c r="A872" s="160">
        <v>1</v>
      </c>
      <c r="B872" s="160" t="s">
        <v>4111</v>
      </c>
      <c r="C872" s="160" t="s">
        <v>4040</v>
      </c>
      <c r="D872" s="160" t="s">
        <v>4041</v>
      </c>
      <c r="E872" s="160" t="s">
        <v>4104</v>
      </c>
      <c r="F872" s="160" t="s">
        <v>4112</v>
      </c>
      <c r="G872" s="163">
        <v>4</v>
      </c>
      <c r="H872" s="160" t="s">
        <v>4106</v>
      </c>
      <c r="I872" s="164">
        <v>43272</v>
      </c>
      <c r="J872" s="169">
        <v>10000</v>
      </c>
      <c r="K872" s="160" t="s">
        <v>70</v>
      </c>
    </row>
    <row r="873" spans="1:11" ht="13" customHeight="1" x14ac:dyDescent="0.3">
      <c r="A873" s="160">
        <v>1</v>
      </c>
      <c r="B873" s="160">
        <v>43360</v>
      </c>
      <c r="C873" s="160" t="s">
        <v>4040</v>
      </c>
      <c r="D873" s="160" t="s">
        <v>4041</v>
      </c>
      <c r="E873" s="160" t="s">
        <v>4104</v>
      </c>
      <c r="F873" s="160" t="s">
        <v>4113</v>
      </c>
      <c r="G873" s="163">
        <v>5</v>
      </c>
      <c r="H873" s="160" t="s">
        <v>4106</v>
      </c>
      <c r="I873" s="164">
        <v>43714</v>
      </c>
      <c r="J873" s="169">
        <v>6000</v>
      </c>
      <c r="K873" s="160" t="s">
        <v>2410</v>
      </c>
    </row>
    <row r="874" spans="1:11" ht="13" customHeight="1" x14ac:dyDescent="0.3">
      <c r="A874" s="160">
        <v>1</v>
      </c>
      <c r="B874" s="160">
        <v>43360</v>
      </c>
      <c r="C874" s="160" t="s">
        <v>4040</v>
      </c>
      <c r="D874" s="160" t="s">
        <v>4041</v>
      </c>
      <c r="E874" s="160" t="s">
        <v>4104</v>
      </c>
      <c r="F874" s="160" t="s">
        <v>4114</v>
      </c>
      <c r="G874" s="163">
        <v>6</v>
      </c>
      <c r="H874" s="160" t="s">
        <v>4106</v>
      </c>
      <c r="I874" s="164">
        <v>44406</v>
      </c>
      <c r="J874" s="169">
        <v>50000</v>
      </c>
      <c r="K874" s="160" t="s">
        <v>70</v>
      </c>
    </row>
    <row r="875" spans="1:11" ht="13" customHeight="1" x14ac:dyDescent="0.3">
      <c r="A875" s="160">
        <v>1</v>
      </c>
      <c r="B875" s="160">
        <v>2014230001</v>
      </c>
      <c r="C875" s="160" t="s">
        <v>4040</v>
      </c>
      <c r="D875" s="160" t="s">
        <v>4041</v>
      </c>
      <c r="E875" s="160" t="s">
        <v>4104</v>
      </c>
      <c r="F875" s="160" t="s">
        <v>4115</v>
      </c>
      <c r="G875" s="163">
        <v>7</v>
      </c>
      <c r="H875" s="160" t="s">
        <v>4106</v>
      </c>
      <c r="I875" s="164">
        <v>45645</v>
      </c>
      <c r="J875" s="169">
        <v>100000</v>
      </c>
      <c r="K875" s="160" t="s">
        <v>13</v>
      </c>
    </row>
    <row r="876" spans="1:11" ht="13" customHeight="1" x14ac:dyDescent="0.3">
      <c r="A876" s="160">
        <v>1</v>
      </c>
      <c r="B876" s="160" t="s">
        <v>4116</v>
      </c>
      <c r="C876" s="160" t="s">
        <v>4040</v>
      </c>
      <c r="D876" s="160" t="s">
        <v>4041</v>
      </c>
      <c r="E876" s="160" t="s">
        <v>4117</v>
      </c>
      <c r="F876" s="160" t="s">
        <v>4118</v>
      </c>
      <c r="G876" s="163">
        <v>1</v>
      </c>
      <c r="H876" s="160" t="s">
        <v>4119</v>
      </c>
      <c r="I876" s="164">
        <v>41697</v>
      </c>
      <c r="J876" s="166">
        <v>10000</v>
      </c>
      <c r="K876" s="175" t="s">
        <v>55</v>
      </c>
    </row>
    <row r="877" spans="1:11" ht="13" customHeight="1" x14ac:dyDescent="0.3">
      <c r="A877" s="160">
        <v>1</v>
      </c>
      <c r="B877" s="160" t="s">
        <v>4120</v>
      </c>
      <c r="C877" s="160" t="s">
        <v>4040</v>
      </c>
      <c r="D877" s="160" t="s">
        <v>4041</v>
      </c>
      <c r="E877" s="160" t="s">
        <v>4121</v>
      </c>
      <c r="F877" s="160" t="s">
        <v>4122</v>
      </c>
      <c r="G877" s="163">
        <v>1</v>
      </c>
      <c r="H877" s="160" t="s">
        <v>4123</v>
      </c>
      <c r="I877" s="164">
        <v>41683</v>
      </c>
      <c r="J877" s="166">
        <v>10000</v>
      </c>
      <c r="K877" s="168" t="s">
        <v>13</v>
      </c>
    </row>
    <row r="878" spans="1:11" ht="13" customHeight="1" x14ac:dyDescent="0.3">
      <c r="A878" s="160">
        <v>1</v>
      </c>
      <c r="B878" s="160">
        <v>10957853</v>
      </c>
      <c r="C878" s="160" t="s">
        <v>4040</v>
      </c>
      <c r="D878" s="160" t="s">
        <v>4041</v>
      </c>
      <c r="E878" s="160" t="s">
        <v>4121</v>
      </c>
      <c r="F878" s="160" t="s">
        <v>4124</v>
      </c>
      <c r="G878" s="163">
        <v>2</v>
      </c>
      <c r="H878" s="160" t="s">
        <v>4123</v>
      </c>
      <c r="I878" s="164">
        <v>44959</v>
      </c>
      <c r="J878" s="165">
        <v>5000</v>
      </c>
      <c r="K878" s="160" t="s">
        <v>13</v>
      </c>
    </row>
    <row r="879" spans="1:11" ht="13" customHeight="1" x14ac:dyDescent="0.3">
      <c r="A879" s="160">
        <v>1</v>
      </c>
      <c r="C879" s="160" t="s">
        <v>4040</v>
      </c>
      <c r="D879" s="160" t="s">
        <v>4041</v>
      </c>
      <c r="E879" s="160" t="s">
        <v>4125</v>
      </c>
      <c r="F879" s="160" t="s">
        <v>4126</v>
      </c>
      <c r="G879" s="163">
        <v>1</v>
      </c>
      <c r="H879" s="160" t="s">
        <v>4127</v>
      </c>
      <c r="I879" s="164">
        <v>40259</v>
      </c>
      <c r="J879" s="166">
        <v>1000</v>
      </c>
      <c r="K879" s="168" t="s">
        <v>13</v>
      </c>
    </row>
    <row r="880" spans="1:11" ht="13" customHeight="1" x14ac:dyDescent="0.3">
      <c r="A880" s="160">
        <v>1</v>
      </c>
      <c r="C880" s="160" t="s">
        <v>4040</v>
      </c>
      <c r="D880" s="160" t="s">
        <v>4041</v>
      </c>
      <c r="E880" s="160" t="s">
        <v>4125</v>
      </c>
      <c r="F880" s="160" t="s">
        <v>4128</v>
      </c>
      <c r="G880" s="163">
        <v>2</v>
      </c>
      <c r="H880" s="160" t="s">
        <v>4127</v>
      </c>
      <c r="I880" s="164">
        <v>40289</v>
      </c>
      <c r="J880" s="166">
        <v>2000</v>
      </c>
      <c r="K880" s="168" t="s">
        <v>13</v>
      </c>
    </row>
    <row r="881" spans="1:11" ht="13" customHeight="1" x14ac:dyDescent="0.3">
      <c r="A881" s="160">
        <v>1</v>
      </c>
      <c r="C881" s="160" t="s">
        <v>4040</v>
      </c>
      <c r="D881" s="160" t="s">
        <v>4041</v>
      </c>
      <c r="E881" s="160" t="s">
        <v>4125</v>
      </c>
      <c r="F881" s="160" t="s">
        <v>4129</v>
      </c>
      <c r="G881" s="163">
        <v>3</v>
      </c>
      <c r="H881" s="160" t="s">
        <v>4127</v>
      </c>
      <c r="I881" s="164">
        <v>40401</v>
      </c>
      <c r="J881" s="166">
        <v>1000</v>
      </c>
      <c r="K881" s="168" t="s">
        <v>13</v>
      </c>
    </row>
    <row r="882" spans="1:11" x14ac:dyDescent="0.3">
      <c r="A882" s="160">
        <v>1</v>
      </c>
      <c r="C882" s="160" t="s">
        <v>4040</v>
      </c>
      <c r="D882" s="160" t="s">
        <v>4041</v>
      </c>
      <c r="E882" s="160" t="s">
        <v>4125</v>
      </c>
      <c r="F882" s="160" t="s">
        <v>4130</v>
      </c>
      <c r="G882" s="163">
        <v>4</v>
      </c>
      <c r="H882" s="160" t="s">
        <v>4127</v>
      </c>
      <c r="I882" s="164">
        <v>41143</v>
      </c>
      <c r="J882" s="166">
        <v>4000</v>
      </c>
      <c r="K882" s="168" t="s">
        <v>13</v>
      </c>
    </row>
    <row r="883" spans="1:11" x14ac:dyDescent="0.3">
      <c r="A883" s="160">
        <v>1</v>
      </c>
      <c r="B883" s="160" t="s">
        <v>4131</v>
      </c>
      <c r="C883" s="160" t="s">
        <v>4040</v>
      </c>
      <c r="D883" s="160" t="s">
        <v>4041</v>
      </c>
      <c r="E883" s="160" t="s">
        <v>4125</v>
      </c>
      <c r="F883" s="160" t="s">
        <v>4132</v>
      </c>
      <c r="G883" s="163">
        <v>5</v>
      </c>
      <c r="H883" s="160" t="s">
        <v>4127</v>
      </c>
      <c r="I883" s="164">
        <v>41522</v>
      </c>
      <c r="J883" s="166">
        <v>2000</v>
      </c>
      <c r="K883" s="168" t="s">
        <v>13</v>
      </c>
    </row>
    <row r="884" spans="1:11" x14ac:dyDescent="0.3">
      <c r="A884" s="160">
        <v>1</v>
      </c>
      <c r="B884" s="160" t="s">
        <v>4133</v>
      </c>
      <c r="C884" s="160" t="s">
        <v>4040</v>
      </c>
      <c r="D884" s="160" t="s">
        <v>4041</v>
      </c>
      <c r="E884" s="160" t="s">
        <v>4125</v>
      </c>
      <c r="F884" s="160" t="s">
        <v>4134</v>
      </c>
      <c r="G884" s="163">
        <v>6</v>
      </c>
      <c r="H884" s="160" t="s">
        <v>4127</v>
      </c>
      <c r="I884" s="164">
        <v>42258</v>
      </c>
      <c r="J884" s="166">
        <v>3000</v>
      </c>
      <c r="K884" s="168" t="s">
        <v>13</v>
      </c>
    </row>
    <row r="885" spans="1:11" x14ac:dyDescent="0.3">
      <c r="A885" s="160">
        <v>1</v>
      </c>
      <c r="B885" s="160" t="s">
        <v>4135</v>
      </c>
      <c r="C885" s="160" t="s">
        <v>4040</v>
      </c>
      <c r="D885" s="160" t="s">
        <v>4041</v>
      </c>
      <c r="E885" s="160" t="s">
        <v>4136</v>
      </c>
      <c r="F885" s="160" t="s">
        <v>4137</v>
      </c>
      <c r="G885" s="163">
        <v>1</v>
      </c>
      <c r="H885" s="160" t="s">
        <v>4138</v>
      </c>
      <c r="I885" s="164">
        <v>42459</v>
      </c>
      <c r="J885" s="166">
        <v>4000</v>
      </c>
      <c r="K885" s="170" t="s">
        <v>2410</v>
      </c>
    </row>
    <row r="886" spans="1:11" ht="14.5" customHeight="1" x14ac:dyDescent="0.3">
      <c r="A886" s="160">
        <v>1</v>
      </c>
      <c r="B886" s="160" t="s">
        <v>4139</v>
      </c>
      <c r="C886" s="160" t="s">
        <v>4040</v>
      </c>
      <c r="D886" s="160" t="s">
        <v>4041</v>
      </c>
      <c r="E886" s="160" t="s">
        <v>4140</v>
      </c>
      <c r="F886" s="160" t="s">
        <v>4141</v>
      </c>
      <c r="G886" s="163">
        <v>1</v>
      </c>
      <c r="H886" s="160" t="s">
        <v>4142</v>
      </c>
      <c r="I886" s="164">
        <v>42193</v>
      </c>
      <c r="J886" s="166">
        <v>20000</v>
      </c>
      <c r="K886" s="168" t="s">
        <v>13</v>
      </c>
    </row>
    <row r="887" spans="1:11" x14ac:dyDescent="0.3">
      <c r="A887" s="160">
        <v>1</v>
      </c>
      <c r="C887" s="160" t="s">
        <v>4143</v>
      </c>
      <c r="D887" s="160" t="s">
        <v>4144</v>
      </c>
      <c r="F887" s="160" t="s">
        <v>4145</v>
      </c>
      <c r="G887" s="163">
        <v>1</v>
      </c>
      <c r="H887" s="160" t="s">
        <v>4146</v>
      </c>
      <c r="I887" s="164">
        <v>40841</v>
      </c>
      <c r="J887" s="166">
        <v>6000</v>
      </c>
      <c r="K887" s="168" t="s">
        <v>13</v>
      </c>
    </row>
    <row r="888" spans="1:11" x14ac:dyDescent="0.3">
      <c r="A888" s="160">
        <v>1</v>
      </c>
      <c r="B888" s="160" t="s">
        <v>4147</v>
      </c>
      <c r="C888" s="160" t="s">
        <v>4143</v>
      </c>
      <c r="D888" s="160" t="s">
        <v>4144</v>
      </c>
      <c r="E888" s="160" t="s">
        <v>4148</v>
      </c>
      <c r="F888" s="160" t="s">
        <v>4149</v>
      </c>
      <c r="G888" s="163">
        <v>1</v>
      </c>
      <c r="H888" s="160" t="s">
        <v>4150</v>
      </c>
      <c r="I888" s="164">
        <v>41344</v>
      </c>
      <c r="J888" s="166">
        <v>8000</v>
      </c>
      <c r="K888" s="168" t="s">
        <v>13</v>
      </c>
    </row>
    <row r="889" spans="1:11" ht="14.5" customHeight="1" x14ac:dyDescent="0.3">
      <c r="A889" s="160">
        <v>1</v>
      </c>
      <c r="C889" s="160" t="s">
        <v>4143</v>
      </c>
      <c r="D889" s="160" t="s">
        <v>4144</v>
      </c>
      <c r="E889" s="160" t="s">
        <v>4151</v>
      </c>
      <c r="F889" s="160" t="s">
        <v>4152</v>
      </c>
      <c r="G889" s="163">
        <v>1</v>
      </c>
      <c r="H889" s="160" t="s">
        <v>4153</v>
      </c>
      <c r="I889" s="164">
        <v>40708</v>
      </c>
      <c r="J889" s="166">
        <v>10000</v>
      </c>
      <c r="K889" s="168" t="s">
        <v>13</v>
      </c>
    </row>
    <row r="890" spans="1:11" x14ac:dyDescent="0.3">
      <c r="A890" s="160">
        <v>1</v>
      </c>
      <c r="C890" s="160" t="s">
        <v>4143</v>
      </c>
      <c r="D890" s="160" t="s">
        <v>4144</v>
      </c>
      <c r="E890" s="160" t="s">
        <v>4151</v>
      </c>
      <c r="F890" s="160" t="s">
        <v>4154</v>
      </c>
      <c r="G890" s="163">
        <v>2</v>
      </c>
      <c r="H890" s="160" t="s">
        <v>4153</v>
      </c>
      <c r="I890" s="164">
        <v>41155</v>
      </c>
      <c r="J890" s="166">
        <v>15000</v>
      </c>
      <c r="K890" s="168" t="s">
        <v>13</v>
      </c>
    </row>
    <row r="891" spans="1:11" x14ac:dyDescent="0.3">
      <c r="A891" s="160">
        <v>1</v>
      </c>
      <c r="B891" s="160" t="s">
        <v>4155</v>
      </c>
      <c r="C891" s="160" t="s">
        <v>4143</v>
      </c>
      <c r="D891" s="160" t="s">
        <v>4144</v>
      </c>
      <c r="E891" s="160" t="s">
        <v>4151</v>
      </c>
      <c r="F891" s="160" t="s">
        <v>4156</v>
      </c>
      <c r="G891" s="163">
        <v>3</v>
      </c>
      <c r="H891" s="160" t="s">
        <v>4153</v>
      </c>
      <c r="I891" s="164">
        <v>41767</v>
      </c>
      <c r="J891" s="166">
        <v>25000</v>
      </c>
      <c r="K891" s="168" t="s">
        <v>13</v>
      </c>
    </row>
    <row r="892" spans="1:11" x14ac:dyDescent="0.3">
      <c r="A892" s="160">
        <v>1</v>
      </c>
      <c r="C892" s="160" t="s">
        <v>4143</v>
      </c>
      <c r="D892" s="160" t="s">
        <v>4144</v>
      </c>
      <c r="F892" s="160" t="s">
        <v>4157</v>
      </c>
      <c r="G892" s="163">
        <v>1</v>
      </c>
      <c r="H892" s="160" t="s">
        <v>4158</v>
      </c>
      <c r="I892" s="164">
        <v>41255</v>
      </c>
      <c r="J892" s="166">
        <v>10000</v>
      </c>
      <c r="K892" s="168" t="s">
        <v>13</v>
      </c>
    </row>
    <row r="893" spans="1:11" x14ac:dyDescent="0.3">
      <c r="A893" s="160">
        <v>1</v>
      </c>
      <c r="C893" s="160" t="s">
        <v>4143</v>
      </c>
      <c r="D893" s="160" t="s">
        <v>4144</v>
      </c>
      <c r="F893" s="160" t="s">
        <v>4159</v>
      </c>
      <c r="G893" s="163">
        <v>1</v>
      </c>
      <c r="H893" s="160" t="s">
        <v>4160</v>
      </c>
      <c r="I893" s="164">
        <v>40708</v>
      </c>
      <c r="J893" s="166">
        <v>10000</v>
      </c>
      <c r="K893" s="168" t="s">
        <v>13</v>
      </c>
    </row>
    <row r="894" spans="1:11" x14ac:dyDescent="0.3">
      <c r="A894" s="160">
        <v>1</v>
      </c>
      <c r="C894" s="160" t="s">
        <v>4143</v>
      </c>
      <c r="D894" s="160" t="s">
        <v>4144</v>
      </c>
      <c r="F894" s="160" t="s">
        <v>4161</v>
      </c>
      <c r="G894" s="163">
        <v>2</v>
      </c>
      <c r="H894" s="160" t="s">
        <v>4160</v>
      </c>
      <c r="I894" s="164">
        <v>41115</v>
      </c>
      <c r="J894" s="166">
        <v>15000</v>
      </c>
      <c r="K894" s="168" t="s">
        <v>13</v>
      </c>
    </row>
    <row r="895" spans="1:11" x14ac:dyDescent="0.3">
      <c r="A895" s="160">
        <v>1</v>
      </c>
      <c r="C895" s="160" t="s">
        <v>4143</v>
      </c>
      <c r="D895" s="160" t="s">
        <v>4144</v>
      </c>
      <c r="F895" s="160" t="s">
        <v>4162</v>
      </c>
      <c r="G895" s="163">
        <v>1</v>
      </c>
      <c r="H895" s="160" t="s">
        <v>4163</v>
      </c>
      <c r="I895" s="164">
        <v>40728</v>
      </c>
      <c r="J895" s="166">
        <v>8000</v>
      </c>
      <c r="K895" s="168" t="s">
        <v>13</v>
      </c>
    </row>
    <row r="896" spans="1:11" x14ac:dyDescent="0.3">
      <c r="A896" s="160">
        <v>1</v>
      </c>
      <c r="C896" s="160" t="s">
        <v>4143</v>
      </c>
      <c r="D896" s="160" t="s">
        <v>4144</v>
      </c>
      <c r="F896" s="160" t="s">
        <v>4164</v>
      </c>
      <c r="G896" s="163">
        <v>2</v>
      </c>
      <c r="H896" s="160" t="s">
        <v>4163</v>
      </c>
      <c r="I896" s="164">
        <v>41067</v>
      </c>
      <c r="J896" s="166">
        <v>15000</v>
      </c>
      <c r="K896" s="168" t="s">
        <v>13</v>
      </c>
    </row>
    <row r="897" spans="1:11" x14ac:dyDescent="0.3">
      <c r="A897" s="160">
        <v>1</v>
      </c>
      <c r="B897" s="160">
        <v>5693000001</v>
      </c>
      <c r="C897" s="160" t="s">
        <v>4143</v>
      </c>
      <c r="D897" s="160" t="s">
        <v>4144</v>
      </c>
      <c r="F897" s="160" t="s">
        <v>4165</v>
      </c>
      <c r="G897" s="163">
        <v>1</v>
      </c>
      <c r="H897" s="160" t="s">
        <v>1511</v>
      </c>
      <c r="I897" s="164">
        <v>45267</v>
      </c>
      <c r="J897" s="165">
        <v>70000</v>
      </c>
      <c r="K897" s="160" t="s">
        <v>13</v>
      </c>
    </row>
    <row r="898" spans="1:11" x14ac:dyDescent="0.3">
      <c r="A898" s="160">
        <v>1</v>
      </c>
      <c r="B898" s="160">
        <v>5693000002</v>
      </c>
      <c r="C898" s="160" t="s">
        <v>4143</v>
      </c>
      <c r="D898" s="160" t="s">
        <v>4144</v>
      </c>
      <c r="F898" s="160" t="s">
        <v>4166</v>
      </c>
      <c r="G898" s="163">
        <v>2</v>
      </c>
      <c r="H898" s="160" t="s">
        <v>1511</v>
      </c>
      <c r="I898" s="164">
        <v>45905</v>
      </c>
      <c r="J898" s="165">
        <v>280000</v>
      </c>
      <c r="K898" s="160" t="s">
        <v>13</v>
      </c>
    </row>
    <row r="899" spans="1:11" x14ac:dyDescent="0.3">
      <c r="A899" s="160">
        <v>1</v>
      </c>
      <c r="C899" s="160" t="s">
        <v>4143</v>
      </c>
      <c r="D899" s="160" t="s">
        <v>4144</v>
      </c>
      <c r="F899" s="160" t="s">
        <v>4167</v>
      </c>
      <c r="G899" s="163">
        <v>1</v>
      </c>
      <c r="H899" s="160" t="s">
        <v>4168</v>
      </c>
      <c r="I899" s="164">
        <v>40708</v>
      </c>
      <c r="J899" s="166">
        <v>10000</v>
      </c>
      <c r="K899" s="168" t="s">
        <v>13</v>
      </c>
    </row>
    <row r="900" spans="1:11" x14ac:dyDescent="0.3">
      <c r="A900" s="160">
        <v>1</v>
      </c>
      <c r="C900" s="160" t="s">
        <v>4143</v>
      </c>
      <c r="D900" s="160" t="s">
        <v>4144</v>
      </c>
      <c r="F900" s="160" t="s">
        <v>4169</v>
      </c>
      <c r="G900" s="163">
        <v>2</v>
      </c>
      <c r="H900" s="160" t="s">
        <v>4168</v>
      </c>
      <c r="I900" s="164">
        <v>41142</v>
      </c>
      <c r="J900" s="166">
        <v>15000</v>
      </c>
      <c r="K900" s="168" t="s">
        <v>13</v>
      </c>
    </row>
    <row r="901" spans="1:11" x14ac:dyDescent="0.3">
      <c r="A901" s="160">
        <v>1</v>
      </c>
      <c r="C901" s="160" t="s">
        <v>4143</v>
      </c>
      <c r="D901" s="160" t="s">
        <v>4144</v>
      </c>
      <c r="F901" s="160" t="s">
        <v>4170</v>
      </c>
      <c r="G901" s="163">
        <v>1</v>
      </c>
      <c r="H901" s="160" t="s">
        <v>4171</v>
      </c>
      <c r="I901" s="164">
        <v>40765</v>
      </c>
      <c r="J901" s="166">
        <v>4000</v>
      </c>
      <c r="K901" s="168" t="s">
        <v>13</v>
      </c>
    </row>
    <row r="902" spans="1:11" x14ac:dyDescent="0.3">
      <c r="A902" s="160">
        <v>1</v>
      </c>
      <c r="C902" s="160" t="s">
        <v>4143</v>
      </c>
      <c r="D902" s="160" t="s">
        <v>4144</v>
      </c>
      <c r="F902" s="160" t="s">
        <v>4172</v>
      </c>
      <c r="G902" s="163">
        <v>2</v>
      </c>
      <c r="H902" s="160" t="s">
        <v>4171</v>
      </c>
      <c r="I902" s="164">
        <v>41255</v>
      </c>
      <c r="J902" s="166">
        <v>6000</v>
      </c>
      <c r="K902" s="168" t="s">
        <v>13</v>
      </c>
    </row>
    <row r="903" spans="1:11" x14ac:dyDescent="0.3">
      <c r="A903" s="160">
        <v>1</v>
      </c>
      <c r="C903" s="160" t="s">
        <v>4143</v>
      </c>
      <c r="D903" s="160" t="s">
        <v>4144</v>
      </c>
      <c r="F903" s="160" t="s">
        <v>4173</v>
      </c>
      <c r="G903" s="163">
        <v>1</v>
      </c>
      <c r="H903" s="160" t="s">
        <v>4174</v>
      </c>
      <c r="I903" s="164">
        <v>40749</v>
      </c>
      <c r="J903" s="166">
        <v>4000</v>
      </c>
      <c r="K903" s="168" t="s">
        <v>13</v>
      </c>
    </row>
    <row r="904" spans="1:11" x14ac:dyDescent="0.3">
      <c r="A904" s="160">
        <v>1</v>
      </c>
      <c r="C904" s="160" t="s">
        <v>4143</v>
      </c>
      <c r="D904" s="160" t="s">
        <v>4144</v>
      </c>
      <c r="E904" s="160" t="s">
        <v>4175</v>
      </c>
      <c r="F904" s="160" t="s">
        <v>4176</v>
      </c>
      <c r="G904" s="163">
        <v>1</v>
      </c>
      <c r="H904" s="160" t="s">
        <v>4177</v>
      </c>
      <c r="I904" s="164">
        <v>40729</v>
      </c>
      <c r="J904" s="166">
        <v>5000</v>
      </c>
      <c r="K904" s="168" t="s">
        <v>13</v>
      </c>
    </row>
    <row r="905" spans="1:11" x14ac:dyDescent="0.3">
      <c r="A905" s="160">
        <v>1</v>
      </c>
      <c r="C905" s="160" t="s">
        <v>4143</v>
      </c>
      <c r="D905" s="160" t="s">
        <v>4144</v>
      </c>
      <c r="E905" s="160" t="s">
        <v>4175</v>
      </c>
      <c r="F905" s="160" t="s">
        <v>4178</v>
      </c>
      <c r="G905" s="163">
        <v>2</v>
      </c>
      <c r="H905" s="160" t="s">
        <v>4177</v>
      </c>
      <c r="I905" s="164">
        <v>41193</v>
      </c>
      <c r="J905" s="166">
        <v>10000</v>
      </c>
      <c r="K905" s="168" t="s">
        <v>13</v>
      </c>
    </row>
    <row r="906" spans="1:11" x14ac:dyDescent="0.3">
      <c r="A906" s="160">
        <v>1</v>
      </c>
      <c r="B906" s="160" t="s">
        <v>4179</v>
      </c>
      <c r="C906" s="160" t="s">
        <v>4143</v>
      </c>
      <c r="D906" s="160" t="s">
        <v>4144</v>
      </c>
      <c r="E906" s="160" t="s">
        <v>4175</v>
      </c>
      <c r="F906" s="160" t="s">
        <v>4180</v>
      </c>
      <c r="G906" s="163">
        <v>3</v>
      </c>
      <c r="H906" s="160" t="s">
        <v>4177</v>
      </c>
      <c r="I906" s="164">
        <v>41684</v>
      </c>
      <c r="J906" s="166">
        <v>30000</v>
      </c>
      <c r="K906" s="167" t="s">
        <v>70</v>
      </c>
    </row>
    <row r="907" spans="1:11" s="171" customFormat="1" ht="13" customHeight="1" x14ac:dyDescent="0.3">
      <c r="A907" s="160">
        <v>1</v>
      </c>
      <c r="B907" s="160" t="s">
        <v>4181</v>
      </c>
      <c r="C907" s="160" t="s">
        <v>4143</v>
      </c>
      <c r="D907" s="160" t="s">
        <v>4144</v>
      </c>
      <c r="E907" s="160" t="s">
        <v>4175</v>
      </c>
      <c r="F907" s="160" t="s">
        <v>4182</v>
      </c>
      <c r="G907" s="163">
        <v>4</v>
      </c>
      <c r="H907" s="160" t="s">
        <v>4177</v>
      </c>
      <c r="I907" s="164">
        <v>41985</v>
      </c>
      <c r="J907" s="166">
        <v>12000</v>
      </c>
      <c r="K907" s="167" t="s">
        <v>70</v>
      </c>
    </row>
    <row r="908" spans="1:11" s="171" customFormat="1" ht="13" customHeight="1" x14ac:dyDescent="0.3">
      <c r="A908" s="171">
        <v>1</v>
      </c>
      <c r="B908" s="171">
        <v>111716</v>
      </c>
      <c r="C908" s="171" t="s">
        <v>4143</v>
      </c>
      <c r="D908" s="171" t="s">
        <v>4144</v>
      </c>
      <c r="E908" s="171" t="s">
        <v>4175</v>
      </c>
      <c r="F908" s="171" t="s">
        <v>4183</v>
      </c>
      <c r="G908" s="172">
        <v>5</v>
      </c>
      <c r="H908" s="171" t="s">
        <v>4177</v>
      </c>
      <c r="I908" s="173">
        <v>44453</v>
      </c>
      <c r="J908" s="179">
        <v>3000</v>
      </c>
      <c r="K908" s="171" t="s">
        <v>13</v>
      </c>
    </row>
    <row r="909" spans="1:11" ht="13" customHeight="1" x14ac:dyDescent="0.3">
      <c r="A909" s="171">
        <v>1</v>
      </c>
      <c r="B909" s="171">
        <v>139652</v>
      </c>
      <c r="C909" s="171" t="s">
        <v>4143</v>
      </c>
      <c r="D909" s="171" t="s">
        <v>4144</v>
      </c>
      <c r="E909" s="171" t="s">
        <v>4175</v>
      </c>
      <c r="F909" s="171" t="s">
        <v>4184</v>
      </c>
      <c r="G909" s="172">
        <v>6</v>
      </c>
      <c r="H909" s="171" t="s">
        <v>4177</v>
      </c>
      <c r="I909" s="173">
        <v>44700</v>
      </c>
      <c r="J909" s="179">
        <v>3000</v>
      </c>
      <c r="K909" s="171" t="s">
        <v>2410</v>
      </c>
    </row>
    <row r="910" spans="1:11" ht="13" customHeight="1" x14ac:dyDescent="0.3">
      <c r="A910" s="160">
        <v>1</v>
      </c>
      <c r="C910" s="160" t="s">
        <v>4143</v>
      </c>
      <c r="D910" s="160" t="s">
        <v>4144</v>
      </c>
      <c r="F910" s="160" t="s">
        <v>4185</v>
      </c>
      <c r="G910" s="163">
        <v>1</v>
      </c>
      <c r="H910" s="160" t="s">
        <v>4186</v>
      </c>
      <c r="I910" s="164">
        <v>40708</v>
      </c>
      <c r="J910" s="166">
        <v>10000</v>
      </c>
      <c r="K910" s="168" t="s">
        <v>13</v>
      </c>
    </row>
    <row r="911" spans="1:11" ht="13" customHeight="1" x14ac:dyDescent="0.3">
      <c r="A911" s="160">
        <v>1</v>
      </c>
      <c r="C911" s="160" t="s">
        <v>4143</v>
      </c>
      <c r="D911" s="160" t="s">
        <v>4144</v>
      </c>
      <c r="F911" s="160" t="s">
        <v>4187</v>
      </c>
      <c r="G911" s="163">
        <v>2</v>
      </c>
      <c r="H911" s="160" t="s">
        <v>4186</v>
      </c>
      <c r="I911" s="164">
        <v>41142</v>
      </c>
      <c r="J911" s="166">
        <v>15000</v>
      </c>
      <c r="K911" s="168" t="s">
        <v>13</v>
      </c>
    </row>
    <row r="912" spans="1:11" ht="13" customHeight="1" x14ac:dyDescent="0.3">
      <c r="A912" s="160">
        <v>1</v>
      </c>
      <c r="C912" s="160" t="s">
        <v>4143</v>
      </c>
      <c r="D912" s="160" t="s">
        <v>4144</v>
      </c>
      <c r="F912" s="160" t="s">
        <v>4188</v>
      </c>
      <c r="G912" s="163">
        <v>1</v>
      </c>
      <c r="H912" s="160" t="s">
        <v>4189</v>
      </c>
      <c r="I912" s="164">
        <v>40736</v>
      </c>
      <c r="J912" s="166">
        <v>10000</v>
      </c>
      <c r="K912" s="168" t="s">
        <v>13</v>
      </c>
    </row>
    <row r="913" spans="1:11" ht="13" customHeight="1" x14ac:dyDescent="0.3">
      <c r="A913" s="160">
        <v>1</v>
      </c>
      <c r="C913" s="160" t="s">
        <v>4143</v>
      </c>
      <c r="D913" s="160" t="s">
        <v>4144</v>
      </c>
      <c r="F913" s="160" t="s">
        <v>4190</v>
      </c>
      <c r="G913" s="163">
        <v>1</v>
      </c>
      <c r="H913" s="160" t="s">
        <v>4191</v>
      </c>
      <c r="I913" s="164">
        <v>40736</v>
      </c>
      <c r="J913" s="166">
        <v>5000</v>
      </c>
      <c r="K913" s="168" t="s">
        <v>13</v>
      </c>
    </row>
    <row r="914" spans="1:11" ht="13" customHeight="1" x14ac:dyDescent="0.3">
      <c r="A914" s="160">
        <v>1</v>
      </c>
      <c r="C914" s="160" t="s">
        <v>4143</v>
      </c>
      <c r="D914" s="160" t="s">
        <v>4144</v>
      </c>
      <c r="F914" s="160" t="s">
        <v>4192</v>
      </c>
      <c r="G914" s="163">
        <v>1</v>
      </c>
      <c r="H914" s="160" t="s">
        <v>4193</v>
      </c>
      <c r="I914" s="164">
        <v>41255</v>
      </c>
      <c r="J914" s="166">
        <v>10000</v>
      </c>
      <c r="K914" s="168" t="s">
        <v>13</v>
      </c>
    </row>
    <row r="915" spans="1:11" ht="13" customHeight="1" x14ac:dyDescent="0.3">
      <c r="A915" s="160">
        <v>1</v>
      </c>
      <c r="C915" s="160" t="s">
        <v>4143</v>
      </c>
      <c r="D915" s="160" t="s">
        <v>4144</v>
      </c>
      <c r="E915" s="160" t="s">
        <v>4194</v>
      </c>
      <c r="F915" s="160" t="s">
        <v>4195</v>
      </c>
      <c r="G915" s="163">
        <v>1</v>
      </c>
      <c r="H915" s="160" t="s">
        <v>4196</v>
      </c>
      <c r="I915" s="164">
        <v>40736</v>
      </c>
      <c r="J915" s="166">
        <v>5200</v>
      </c>
      <c r="K915" s="168" t="s">
        <v>13</v>
      </c>
    </row>
    <row r="916" spans="1:11" ht="13" customHeight="1" x14ac:dyDescent="0.3">
      <c r="A916" s="160">
        <v>1</v>
      </c>
      <c r="B916" s="160" t="s">
        <v>4197</v>
      </c>
      <c r="C916" s="160" t="s">
        <v>4143</v>
      </c>
      <c r="D916" s="160" t="s">
        <v>4144</v>
      </c>
      <c r="E916" s="160" t="s">
        <v>4198</v>
      </c>
      <c r="F916" s="160" t="s">
        <v>4199</v>
      </c>
      <c r="G916" s="163">
        <v>2</v>
      </c>
      <c r="H916" s="160" t="s">
        <v>4196</v>
      </c>
      <c r="I916" s="164">
        <v>41430</v>
      </c>
      <c r="J916" s="166">
        <v>4000</v>
      </c>
      <c r="K916" s="168" t="s">
        <v>13</v>
      </c>
    </row>
    <row r="917" spans="1:11" ht="13" customHeight="1" x14ac:dyDescent="0.3">
      <c r="A917" s="160">
        <v>1</v>
      </c>
      <c r="B917" s="160" t="s">
        <v>4200</v>
      </c>
      <c r="C917" s="160" t="s">
        <v>4143</v>
      </c>
      <c r="D917" s="160" t="s">
        <v>4144</v>
      </c>
      <c r="E917" s="160" t="s">
        <v>4198</v>
      </c>
      <c r="F917" s="160" t="s">
        <v>4201</v>
      </c>
      <c r="G917" s="163">
        <v>3</v>
      </c>
      <c r="H917" s="160" t="s">
        <v>4196</v>
      </c>
      <c r="I917" s="164">
        <v>41754</v>
      </c>
      <c r="J917" s="166">
        <v>10000</v>
      </c>
      <c r="K917" s="168" t="s">
        <v>13</v>
      </c>
    </row>
    <row r="918" spans="1:11" ht="13" customHeight="1" x14ac:dyDescent="0.3">
      <c r="A918" s="160">
        <v>1</v>
      </c>
      <c r="C918" s="160" t="s">
        <v>4143</v>
      </c>
      <c r="D918" s="160" t="s">
        <v>4144</v>
      </c>
      <c r="F918" s="160" t="s">
        <v>4202</v>
      </c>
      <c r="G918" s="163">
        <v>1</v>
      </c>
      <c r="H918" s="160" t="s">
        <v>4203</v>
      </c>
      <c r="I918" s="164">
        <v>40757</v>
      </c>
      <c r="J918" s="166">
        <v>4000</v>
      </c>
      <c r="K918" s="168" t="s">
        <v>13</v>
      </c>
    </row>
    <row r="919" spans="1:11" ht="13" customHeight="1" x14ac:dyDescent="0.3">
      <c r="A919" s="160">
        <v>1</v>
      </c>
      <c r="C919" s="160" t="s">
        <v>4143</v>
      </c>
      <c r="D919" s="160" t="s">
        <v>4144</v>
      </c>
      <c r="F919" s="160" t="s">
        <v>4204</v>
      </c>
      <c r="G919" s="163">
        <v>1</v>
      </c>
      <c r="H919" s="160" t="s">
        <v>4205</v>
      </c>
      <c r="I919" s="164">
        <v>41255</v>
      </c>
      <c r="J919" s="166">
        <v>10000</v>
      </c>
      <c r="K919" s="168" t="s">
        <v>13</v>
      </c>
    </row>
    <row r="920" spans="1:11" ht="13" customHeight="1" x14ac:dyDescent="0.3">
      <c r="A920" s="160">
        <v>1</v>
      </c>
      <c r="C920" s="160" t="s">
        <v>4143</v>
      </c>
      <c r="D920" s="160" t="s">
        <v>4144</v>
      </c>
      <c r="E920" s="160" t="s">
        <v>4206</v>
      </c>
      <c r="F920" s="160" t="s">
        <v>4207</v>
      </c>
      <c r="G920" s="163">
        <v>1</v>
      </c>
      <c r="H920" s="160" t="s">
        <v>4208</v>
      </c>
      <c r="I920" s="164">
        <v>40715</v>
      </c>
      <c r="J920" s="166">
        <v>5000</v>
      </c>
      <c r="K920" s="168" t="s">
        <v>13</v>
      </c>
    </row>
    <row r="921" spans="1:11" x14ac:dyDescent="0.3">
      <c r="A921" s="160">
        <v>1</v>
      </c>
      <c r="C921" s="160" t="s">
        <v>4143</v>
      </c>
      <c r="D921" s="160" t="s">
        <v>4144</v>
      </c>
      <c r="E921" s="160" t="s">
        <v>4206</v>
      </c>
      <c r="F921" s="160" t="s">
        <v>4209</v>
      </c>
      <c r="G921" s="163">
        <v>2</v>
      </c>
      <c r="H921" s="160" t="s">
        <v>4208</v>
      </c>
      <c r="I921" s="164">
        <v>41074</v>
      </c>
      <c r="J921" s="166">
        <v>10000</v>
      </c>
      <c r="K921" s="168" t="s">
        <v>13</v>
      </c>
    </row>
    <row r="922" spans="1:11" x14ac:dyDescent="0.3">
      <c r="A922" s="160">
        <v>1</v>
      </c>
      <c r="B922" s="160" t="s">
        <v>4210</v>
      </c>
      <c r="C922" s="160" t="s">
        <v>4143</v>
      </c>
      <c r="D922" s="160" t="s">
        <v>4144</v>
      </c>
      <c r="E922" s="160" t="s">
        <v>4206</v>
      </c>
      <c r="F922" s="160" t="s">
        <v>4211</v>
      </c>
      <c r="G922" s="163">
        <v>3</v>
      </c>
      <c r="H922" s="160" t="s">
        <v>4208</v>
      </c>
      <c r="I922" s="164">
        <v>41534</v>
      </c>
      <c r="J922" s="166">
        <v>15000</v>
      </c>
      <c r="K922" s="168" t="s">
        <v>13</v>
      </c>
    </row>
    <row r="923" spans="1:11" x14ac:dyDescent="0.3">
      <c r="A923" s="160">
        <v>1</v>
      </c>
      <c r="B923" s="160" t="s">
        <v>4212</v>
      </c>
      <c r="C923" s="160" t="s">
        <v>4143</v>
      </c>
      <c r="D923" s="160" t="s">
        <v>4144</v>
      </c>
      <c r="E923" s="160" t="s">
        <v>4206</v>
      </c>
      <c r="F923" s="160" t="s">
        <v>4213</v>
      </c>
      <c r="G923" s="163">
        <v>4</v>
      </c>
      <c r="H923" s="160" t="s">
        <v>4208</v>
      </c>
      <c r="I923" s="164">
        <v>42079</v>
      </c>
      <c r="J923" s="166">
        <v>20000</v>
      </c>
      <c r="K923" s="168" t="s">
        <v>13</v>
      </c>
    </row>
    <row r="924" spans="1:11" x14ac:dyDescent="0.3">
      <c r="A924" s="160">
        <v>1</v>
      </c>
      <c r="B924" s="160" t="s">
        <v>4214</v>
      </c>
      <c r="C924" s="160" t="s">
        <v>4215</v>
      </c>
      <c r="D924" s="160" t="s">
        <v>4144</v>
      </c>
      <c r="E924" s="160" t="s">
        <v>4216</v>
      </c>
      <c r="F924" s="160" t="s">
        <v>4217</v>
      </c>
      <c r="G924" s="163">
        <v>1</v>
      </c>
      <c r="H924" s="160" t="s">
        <v>4218</v>
      </c>
      <c r="I924" s="164">
        <v>41344</v>
      </c>
      <c r="J924" s="166">
        <v>8000</v>
      </c>
      <c r="K924" s="168" t="s">
        <v>13</v>
      </c>
    </row>
    <row r="925" spans="1:11" x14ac:dyDescent="0.3">
      <c r="A925" s="160">
        <v>1</v>
      </c>
      <c r="C925" s="160" t="s">
        <v>4143</v>
      </c>
      <c r="D925" s="160" t="s">
        <v>4144</v>
      </c>
      <c r="F925" s="160" t="s">
        <v>4219</v>
      </c>
      <c r="G925" s="163">
        <v>1</v>
      </c>
      <c r="H925" s="160" t="s">
        <v>4220</v>
      </c>
      <c r="I925" s="164">
        <v>41255</v>
      </c>
      <c r="J925" s="166">
        <v>10000</v>
      </c>
      <c r="K925" s="168" t="s">
        <v>13</v>
      </c>
    </row>
    <row r="926" spans="1:11" x14ac:dyDescent="0.3">
      <c r="A926" s="160">
        <v>1</v>
      </c>
      <c r="C926" s="160" t="s">
        <v>4143</v>
      </c>
      <c r="D926" s="160" t="s">
        <v>4144</v>
      </c>
      <c r="F926" s="160" t="s">
        <v>4221</v>
      </c>
      <c r="G926" s="163">
        <v>1</v>
      </c>
      <c r="H926" s="160" t="s">
        <v>4222</v>
      </c>
      <c r="I926" s="164">
        <v>40715</v>
      </c>
      <c r="J926" s="166">
        <v>8000</v>
      </c>
      <c r="K926" s="168" t="s">
        <v>13</v>
      </c>
    </row>
    <row r="927" spans="1:11" x14ac:dyDescent="0.3">
      <c r="A927" s="160">
        <v>1</v>
      </c>
      <c r="C927" s="160" t="s">
        <v>4143</v>
      </c>
      <c r="D927" s="160" t="s">
        <v>4144</v>
      </c>
      <c r="F927" s="160" t="s">
        <v>4223</v>
      </c>
      <c r="G927" s="163">
        <v>1</v>
      </c>
      <c r="H927" s="160" t="s">
        <v>4224</v>
      </c>
      <c r="I927" s="164">
        <v>41255</v>
      </c>
      <c r="J927" s="166">
        <v>10000</v>
      </c>
      <c r="K927" s="168" t="s">
        <v>13</v>
      </c>
    </row>
    <row r="928" spans="1:11" x14ac:dyDescent="0.3">
      <c r="A928" s="160">
        <v>1</v>
      </c>
      <c r="C928" s="160" t="s">
        <v>4143</v>
      </c>
      <c r="D928" s="160" t="s">
        <v>4144</v>
      </c>
      <c r="F928" s="160" t="s">
        <v>4225</v>
      </c>
      <c r="G928" s="163">
        <v>1</v>
      </c>
      <c r="H928" s="160" t="s">
        <v>4226</v>
      </c>
      <c r="I928" s="164">
        <v>41255</v>
      </c>
      <c r="J928" s="166">
        <v>10000</v>
      </c>
      <c r="K928" s="168" t="s">
        <v>13</v>
      </c>
    </row>
    <row r="929" spans="1:11" x14ac:dyDescent="0.3">
      <c r="A929" s="160">
        <v>1</v>
      </c>
      <c r="C929" s="160" t="s">
        <v>4143</v>
      </c>
      <c r="D929" s="160" t="s">
        <v>4144</v>
      </c>
      <c r="E929" s="160" t="s">
        <v>4227</v>
      </c>
      <c r="F929" s="160" t="s">
        <v>4228</v>
      </c>
      <c r="G929" s="163">
        <v>1</v>
      </c>
      <c r="H929" s="160" t="s">
        <v>4229</v>
      </c>
      <c r="I929" s="164">
        <v>40764</v>
      </c>
      <c r="J929" s="166">
        <v>5000</v>
      </c>
      <c r="K929" s="168" t="s">
        <v>13</v>
      </c>
    </row>
    <row r="930" spans="1:11" x14ac:dyDescent="0.3">
      <c r="A930" s="160">
        <v>1</v>
      </c>
      <c r="B930" s="160" t="s">
        <v>4230</v>
      </c>
      <c r="C930" s="160" t="s">
        <v>4143</v>
      </c>
      <c r="D930" s="160" t="s">
        <v>4144</v>
      </c>
      <c r="E930" s="160" t="s">
        <v>4227</v>
      </c>
      <c r="F930" s="160" t="s">
        <v>4231</v>
      </c>
      <c r="G930" s="163">
        <v>2</v>
      </c>
      <c r="H930" s="160" t="s">
        <v>4229</v>
      </c>
      <c r="I930" s="164">
        <v>41558</v>
      </c>
      <c r="J930" s="166">
        <v>7000</v>
      </c>
      <c r="K930" s="168" t="s">
        <v>13</v>
      </c>
    </row>
    <row r="931" spans="1:11" x14ac:dyDescent="0.3">
      <c r="A931" s="160">
        <v>1</v>
      </c>
      <c r="B931" s="160" t="s">
        <v>4232</v>
      </c>
      <c r="C931" s="160" t="s">
        <v>4143</v>
      </c>
      <c r="D931" s="160" t="s">
        <v>4144</v>
      </c>
      <c r="E931" s="160" t="s">
        <v>4227</v>
      </c>
      <c r="F931" s="160" t="s">
        <v>4233</v>
      </c>
      <c r="G931" s="163">
        <v>3</v>
      </c>
      <c r="H931" s="160" t="s">
        <v>4229</v>
      </c>
      <c r="I931" s="164">
        <v>42079</v>
      </c>
      <c r="J931" s="166">
        <v>10000</v>
      </c>
      <c r="K931" s="168" t="s">
        <v>13</v>
      </c>
    </row>
    <row r="932" spans="1:11" x14ac:dyDescent="0.3">
      <c r="A932" s="160">
        <v>1</v>
      </c>
      <c r="B932" s="160">
        <v>153299</v>
      </c>
      <c r="C932" s="160" t="s">
        <v>4143</v>
      </c>
      <c r="D932" s="160" t="s">
        <v>4144</v>
      </c>
      <c r="E932" s="160" t="s">
        <v>4227</v>
      </c>
      <c r="F932" s="160" t="s">
        <v>4234</v>
      </c>
      <c r="G932" s="163">
        <v>4</v>
      </c>
      <c r="H932" s="160" t="s">
        <v>4229</v>
      </c>
      <c r="I932" s="164">
        <v>44834</v>
      </c>
      <c r="J932" s="165">
        <v>12000</v>
      </c>
      <c r="K932" s="160" t="s">
        <v>70</v>
      </c>
    </row>
    <row r="933" spans="1:11" x14ac:dyDescent="0.3">
      <c r="A933" s="160">
        <v>1</v>
      </c>
      <c r="C933" s="160" t="s">
        <v>4143</v>
      </c>
      <c r="D933" s="160" t="s">
        <v>4144</v>
      </c>
      <c r="F933" s="160" t="s">
        <v>4235</v>
      </c>
      <c r="G933" s="163">
        <v>1</v>
      </c>
      <c r="H933" s="160" t="s">
        <v>4236</v>
      </c>
      <c r="I933" s="164">
        <v>40708</v>
      </c>
      <c r="J933" s="166">
        <v>10000</v>
      </c>
      <c r="K933" s="168" t="s">
        <v>13</v>
      </c>
    </row>
    <row r="934" spans="1:11" x14ac:dyDescent="0.3">
      <c r="A934" s="160">
        <v>1</v>
      </c>
      <c r="C934" s="160" t="s">
        <v>4143</v>
      </c>
      <c r="D934" s="160" t="s">
        <v>4144</v>
      </c>
      <c r="F934" s="160" t="s">
        <v>4237</v>
      </c>
      <c r="G934" s="163">
        <v>2</v>
      </c>
      <c r="H934" s="160" t="s">
        <v>4236</v>
      </c>
      <c r="I934" s="164">
        <v>41009</v>
      </c>
      <c r="J934" s="166">
        <v>15000</v>
      </c>
      <c r="K934" s="168" t="s">
        <v>13</v>
      </c>
    </row>
    <row r="935" spans="1:11" x14ac:dyDescent="0.3">
      <c r="A935" s="160">
        <v>1</v>
      </c>
      <c r="C935" s="160" t="s">
        <v>4143</v>
      </c>
      <c r="D935" s="160" t="s">
        <v>4144</v>
      </c>
      <c r="F935" s="160" t="s">
        <v>4238</v>
      </c>
      <c r="G935" s="163">
        <v>1</v>
      </c>
      <c r="H935" s="160" t="s">
        <v>4239</v>
      </c>
      <c r="I935" s="164">
        <v>41255</v>
      </c>
      <c r="J935" s="166">
        <v>10000</v>
      </c>
      <c r="K935" s="168" t="s">
        <v>13</v>
      </c>
    </row>
    <row r="936" spans="1:11" x14ac:dyDescent="0.3">
      <c r="A936" s="160">
        <v>1</v>
      </c>
      <c r="B936" s="160" t="s">
        <v>4240</v>
      </c>
      <c r="C936" s="160" t="s">
        <v>4215</v>
      </c>
      <c r="D936" s="160" t="s">
        <v>4144</v>
      </c>
      <c r="E936" s="160" t="s">
        <v>4241</v>
      </c>
      <c r="F936" s="160" t="s">
        <v>4242</v>
      </c>
      <c r="G936" s="163">
        <v>2</v>
      </c>
      <c r="H936" s="160" t="s">
        <v>4243</v>
      </c>
      <c r="I936" s="164">
        <v>41682</v>
      </c>
      <c r="J936" s="166">
        <v>15000</v>
      </c>
      <c r="K936" s="168" t="s">
        <v>13</v>
      </c>
    </row>
    <row r="937" spans="1:11" x14ac:dyDescent="0.3">
      <c r="A937" s="160">
        <v>1</v>
      </c>
      <c r="C937" s="160" t="s">
        <v>4143</v>
      </c>
      <c r="D937" s="160" t="s">
        <v>4144</v>
      </c>
      <c r="E937" s="160" t="s">
        <v>4244</v>
      </c>
      <c r="F937" s="160" t="s">
        <v>4245</v>
      </c>
      <c r="G937" s="163">
        <v>1</v>
      </c>
      <c r="H937" s="160" t="s">
        <v>4246</v>
      </c>
      <c r="I937" s="164">
        <v>40715</v>
      </c>
      <c r="J937" s="166">
        <v>7000</v>
      </c>
      <c r="K937" s="168" t="s">
        <v>13</v>
      </c>
    </row>
    <row r="938" spans="1:11" x14ac:dyDescent="0.3">
      <c r="A938" s="160">
        <v>1</v>
      </c>
      <c r="B938" s="160" t="s">
        <v>4247</v>
      </c>
      <c r="C938" s="160" t="s">
        <v>4143</v>
      </c>
      <c r="D938" s="160" t="s">
        <v>4144</v>
      </c>
      <c r="E938" s="160" t="s">
        <v>4244</v>
      </c>
      <c r="F938" s="160" t="s">
        <v>4248</v>
      </c>
      <c r="G938" s="163">
        <v>2</v>
      </c>
      <c r="H938" s="160" t="s">
        <v>4246</v>
      </c>
      <c r="I938" s="164">
        <v>41682</v>
      </c>
      <c r="J938" s="166">
        <v>12000</v>
      </c>
      <c r="K938" s="168" t="s">
        <v>13</v>
      </c>
    </row>
    <row r="939" spans="1:11" x14ac:dyDescent="0.3">
      <c r="A939" s="160">
        <v>1</v>
      </c>
      <c r="B939" s="160">
        <v>4175200001</v>
      </c>
      <c r="C939" s="160" t="s">
        <v>4249</v>
      </c>
      <c r="D939" s="160" t="s">
        <v>4250</v>
      </c>
      <c r="F939" s="160" t="s">
        <v>4251</v>
      </c>
      <c r="G939" s="163">
        <v>1</v>
      </c>
      <c r="H939" s="160" t="s">
        <v>4252</v>
      </c>
      <c r="I939" s="164">
        <v>45233</v>
      </c>
      <c r="J939" s="165">
        <v>50000</v>
      </c>
      <c r="K939" s="160" t="s">
        <v>13</v>
      </c>
    </row>
    <row r="940" spans="1:11" ht="13" customHeight="1" x14ac:dyDescent="0.3">
      <c r="A940" s="160">
        <v>1</v>
      </c>
      <c r="B940" s="160" t="s">
        <v>4253</v>
      </c>
      <c r="C940" s="160" t="s">
        <v>4249</v>
      </c>
      <c r="D940" s="160" t="s">
        <v>4250</v>
      </c>
      <c r="E940" s="160" t="s">
        <v>4254</v>
      </c>
      <c r="F940" s="160" t="s">
        <v>4255</v>
      </c>
      <c r="G940" s="163">
        <v>1</v>
      </c>
      <c r="H940" s="160" t="s">
        <v>4256</v>
      </c>
      <c r="I940" s="164">
        <v>42255</v>
      </c>
      <c r="J940" s="166">
        <v>8000</v>
      </c>
      <c r="K940" s="170" t="s">
        <v>2410</v>
      </c>
    </row>
    <row r="941" spans="1:11" ht="13" customHeight="1" x14ac:dyDescent="0.3">
      <c r="A941" s="160">
        <v>1</v>
      </c>
      <c r="B941" s="160" t="s">
        <v>4257</v>
      </c>
      <c r="C941" s="160" t="s">
        <v>4249</v>
      </c>
      <c r="D941" s="160" t="s">
        <v>4250</v>
      </c>
      <c r="E941" s="160" t="s">
        <v>4254</v>
      </c>
      <c r="F941" s="160" t="s">
        <v>4258</v>
      </c>
      <c r="G941" s="163">
        <v>2</v>
      </c>
      <c r="H941" s="160" t="s">
        <v>4256</v>
      </c>
      <c r="I941" s="164">
        <v>43236</v>
      </c>
      <c r="J941" s="169">
        <v>120000</v>
      </c>
      <c r="K941" s="160" t="s">
        <v>70</v>
      </c>
    </row>
    <row r="942" spans="1:11" x14ac:dyDescent="0.3">
      <c r="A942" s="160">
        <v>1</v>
      </c>
      <c r="B942" s="160">
        <v>43838</v>
      </c>
      <c r="C942" s="160" t="s">
        <v>4249</v>
      </c>
      <c r="D942" s="160" t="s">
        <v>4250</v>
      </c>
      <c r="E942" s="160" t="s">
        <v>4254</v>
      </c>
      <c r="F942" s="160" t="s">
        <v>4259</v>
      </c>
      <c r="G942" s="163">
        <v>3</v>
      </c>
      <c r="H942" s="160" t="s">
        <v>4260</v>
      </c>
      <c r="I942" s="164">
        <v>43721</v>
      </c>
      <c r="J942" s="169">
        <v>80000</v>
      </c>
      <c r="K942" s="160" t="s">
        <v>13</v>
      </c>
    </row>
    <row r="943" spans="1:11" x14ac:dyDescent="0.3">
      <c r="A943" s="160">
        <v>1</v>
      </c>
      <c r="B943" s="160">
        <v>145696</v>
      </c>
      <c r="C943" s="160" t="s">
        <v>4249</v>
      </c>
      <c r="D943" s="160" t="s">
        <v>4250</v>
      </c>
      <c r="E943" s="160" t="s">
        <v>4254</v>
      </c>
      <c r="F943" s="160" t="s">
        <v>4261</v>
      </c>
      <c r="G943" s="163">
        <v>4</v>
      </c>
      <c r="H943" s="160" t="s">
        <v>4260</v>
      </c>
      <c r="I943" s="164">
        <v>44742</v>
      </c>
      <c r="J943" s="169">
        <v>35000</v>
      </c>
      <c r="K943" s="160" t="s">
        <v>2410</v>
      </c>
    </row>
    <row r="944" spans="1:11" x14ac:dyDescent="0.3">
      <c r="A944" s="160">
        <v>1</v>
      </c>
      <c r="B944" s="160">
        <v>145696</v>
      </c>
      <c r="C944" s="160" t="s">
        <v>4249</v>
      </c>
      <c r="D944" s="160" t="s">
        <v>4250</v>
      </c>
      <c r="E944" s="160" t="s">
        <v>4254</v>
      </c>
      <c r="F944" s="160" t="s">
        <v>4262</v>
      </c>
      <c r="G944" s="163">
        <v>5</v>
      </c>
      <c r="H944" s="160" t="s">
        <v>4260</v>
      </c>
      <c r="I944" s="164">
        <v>45149</v>
      </c>
      <c r="J944" s="169">
        <v>20000</v>
      </c>
      <c r="K944" s="160" t="s">
        <v>13</v>
      </c>
    </row>
    <row r="945" spans="1:11" x14ac:dyDescent="0.3">
      <c r="A945" s="160">
        <v>1</v>
      </c>
      <c r="B945" s="160">
        <v>5150160001</v>
      </c>
      <c r="C945" s="160" t="s">
        <v>4249</v>
      </c>
      <c r="D945" s="160" t="s">
        <v>4250</v>
      </c>
      <c r="F945" s="160" t="s">
        <v>4263</v>
      </c>
      <c r="G945" s="163">
        <v>1</v>
      </c>
      <c r="H945" s="160" t="s">
        <v>4264</v>
      </c>
      <c r="I945" s="164">
        <v>45532</v>
      </c>
      <c r="J945" s="169">
        <v>100000</v>
      </c>
      <c r="K945" s="160" t="s">
        <v>13</v>
      </c>
    </row>
    <row r="946" spans="1:11" ht="13" customHeight="1" x14ac:dyDescent="0.3">
      <c r="A946" s="160">
        <v>1</v>
      </c>
      <c r="B946" s="160" t="s">
        <v>4265</v>
      </c>
      <c r="C946" s="160" t="s">
        <v>4249</v>
      </c>
      <c r="D946" s="160" t="s">
        <v>4250</v>
      </c>
      <c r="E946" s="160" t="s">
        <v>4266</v>
      </c>
      <c r="F946" s="160" t="s">
        <v>4267</v>
      </c>
      <c r="G946" s="163">
        <v>1</v>
      </c>
      <c r="H946" s="160" t="s">
        <v>4268</v>
      </c>
      <c r="I946" s="164">
        <v>42297</v>
      </c>
      <c r="J946" s="166">
        <v>15000</v>
      </c>
      <c r="K946" s="167" t="s">
        <v>70</v>
      </c>
    </row>
    <row r="947" spans="1:11" ht="13" customHeight="1" x14ac:dyDescent="0.3">
      <c r="A947" s="160">
        <v>1</v>
      </c>
      <c r="B947" s="160" t="s">
        <v>4269</v>
      </c>
      <c r="C947" s="160" t="s">
        <v>4249</v>
      </c>
      <c r="D947" s="160" t="s">
        <v>4250</v>
      </c>
      <c r="E947" s="160" t="s">
        <v>4266</v>
      </c>
      <c r="F947" s="160" t="s">
        <v>4270</v>
      </c>
      <c r="G947" s="163">
        <v>2</v>
      </c>
      <c r="H947" s="160" t="s">
        <v>4268</v>
      </c>
      <c r="I947" s="164">
        <v>42753</v>
      </c>
      <c r="J947" s="166">
        <v>20000</v>
      </c>
      <c r="K947" s="168" t="s">
        <v>13</v>
      </c>
    </row>
    <row r="948" spans="1:11" x14ac:dyDescent="0.3">
      <c r="A948" s="160">
        <v>1</v>
      </c>
      <c r="B948" s="160" t="s">
        <v>4271</v>
      </c>
      <c r="C948" s="160" t="s">
        <v>4249</v>
      </c>
      <c r="D948" s="160" t="s">
        <v>4250</v>
      </c>
      <c r="E948" s="160" t="s">
        <v>4266</v>
      </c>
      <c r="F948" s="160" t="s">
        <v>4272</v>
      </c>
      <c r="G948" s="163">
        <v>3</v>
      </c>
      <c r="H948" s="160" t="s">
        <v>4273</v>
      </c>
      <c r="I948" s="164">
        <v>43342</v>
      </c>
      <c r="J948" s="169">
        <v>25000</v>
      </c>
      <c r="K948" s="160" t="s">
        <v>13</v>
      </c>
    </row>
    <row r="949" spans="1:11" x14ac:dyDescent="0.3">
      <c r="A949" s="160">
        <v>1</v>
      </c>
      <c r="B949" s="160">
        <v>53069</v>
      </c>
      <c r="C949" s="160" t="s">
        <v>4249</v>
      </c>
      <c r="D949" s="160" t="s">
        <v>4250</v>
      </c>
      <c r="E949" s="160" t="s">
        <v>4266</v>
      </c>
      <c r="F949" s="160" t="s">
        <v>4274</v>
      </c>
      <c r="G949" s="163">
        <v>4</v>
      </c>
      <c r="H949" s="160" t="s">
        <v>4273</v>
      </c>
      <c r="I949" s="164">
        <v>43804</v>
      </c>
      <c r="J949" s="169">
        <v>35000</v>
      </c>
      <c r="K949" s="160" t="s">
        <v>13</v>
      </c>
    </row>
    <row r="950" spans="1:11" x14ac:dyDescent="0.3">
      <c r="A950" s="160">
        <v>1</v>
      </c>
      <c r="C950" s="160" t="s">
        <v>4249</v>
      </c>
      <c r="D950" s="160" t="s">
        <v>4250</v>
      </c>
      <c r="F950" s="160" t="s">
        <v>4275</v>
      </c>
      <c r="G950" s="163">
        <v>1</v>
      </c>
      <c r="H950" s="160" t="s">
        <v>4276</v>
      </c>
      <c r="I950" s="164">
        <v>40156</v>
      </c>
      <c r="J950" s="166">
        <v>4000</v>
      </c>
      <c r="K950" s="168" t="s">
        <v>13</v>
      </c>
    </row>
    <row r="951" spans="1:11" ht="14.5" customHeight="1" x14ac:dyDescent="0.3">
      <c r="A951" s="160">
        <v>1</v>
      </c>
      <c r="C951" s="160" t="s">
        <v>4249</v>
      </c>
      <c r="D951" s="160" t="s">
        <v>4250</v>
      </c>
      <c r="F951" s="160" t="s">
        <v>4277</v>
      </c>
      <c r="G951" s="163">
        <v>2</v>
      </c>
      <c r="H951" s="160" t="s">
        <v>4276</v>
      </c>
      <c r="I951" s="164">
        <v>40422</v>
      </c>
      <c r="J951" s="166">
        <v>10000</v>
      </c>
      <c r="K951" s="168" t="s">
        <v>13</v>
      </c>
    </row>
    <row r="952" spans="1:11" x14ac:dyDescent="0.3">
      <c r="A952" s="160">
        <v>1</v>
      </c>
      <c r="C952" s="160" t="s">
        <v>4249</v>
      </c>
      <c r="D952" s="160" t="s">
        <v>4250</v>
      </c>
      <c r="F952" s="160" t="s">
        <v>4278</v>
      </c>
      <c r="G952" s="163">
        <v>3</v>
      </c>
      <c r="H952" s="160" t="s">
        <v>4276</v>
      </c>
      <c r="I952" s="164">
        <v>40891</v>
      </c>
      <c r="J952" s="166">
        <v>10000</v>
      </c>
      <c r="K952" s="168" t="s">
        <v>13</v>
      </c>
    </row>
    <row r="953" spans="1:11" ht="14.5" customHeight="1" x14ac:dyDescent="0.3">
      <c r="A953" s="160">
        <v>1</v>
      </c>
      <c r="B953" s="160" t="s">
        <v>4279</v>
      </c>
      <c r="C953" s="160" t="s">
        <v>4249</v>
      </c>
      <c r="D953" s="160" t="s">
        <v>4250</v>
      </c>
      <c r="E953" s="160" t="s">
        <v>4280</v>
      </c>
      <c r="F953" s="160" t="s">
        <v>4281</v>
      </c>
      <c r="G953" s="163">
        <v>1</v>
      </c>
      <c r="H953" s="160" t="s">
        <v>4282</v>
      </c>
      <c r="I953" s="164">
        <v>43207</v>
      </c>
      <c r="J953" s="169">
        <v>20000</v>
      </c>
      <c r="K953" s="160" t="s">
        <v>70</v>
      </c>
    </row>
    <row r="954" spans="1:11" ht="14.5" customHeight="1" x14ac:dyDescent="0.3">
      <c r="A954" s="160">
        <v>1</v>
      </c>
      <c r="B954" s="160" t="s">
        <v>4283</v>
      </c>
      <c r="C954" s="160" t="s">
        <v>4249</v>
      </c>
      <c r="D954" s="160" t="s">
        <v>4250</v>
      </c>
      <c r="E954" s="160" t="s">
        <v>4280</v>
      </c>
      <c r="F954" s="160" t="s">
        <v>4284</v>
      </c>
      <c r="G954" s="163">
        <v>2</v>
      </c>
      <c r="H954" s="160" t="s">
        <v>4282</v>
      </c>
      <c r="I954" s="164">
        <v>43280</v>
      </c>
      <c r="J954" s="169">
        <v>60000</v>
      </c>
      <c r="K954" s="160" t="s">
        <v>70</v>
      </c>
    </row>
    <row r="955" spans="1:11" x14ac:dyDescent="0.3">
      <c r="A955" s="160">
        <v>1</v>
      </c>
      <c r="C955" s="160" t="s">
        <v>4249</v>
      </c>
      <c r="D955" s="160" t="s">
        <v>4250</v>
      </c>
      <c r="F955" s="160" t="s">
        <v>4285</v>
      </c>
      <c r="G955" s="163">
        <v>1</v>
      </c>
      <c r="H955" s="160" t="s">
        <v>4286</v>
      </c>
      <c r="I955" s="164">
        <v>40068</v>
      </c>
      <c r="J955" s="166">
        <v>2000</v>
      </c>
      <c r="K955" s="168" t="s">
        <v>13</v>
      </c>
    </row>
    <row r="956" spans="1:11" x14ac:dyDescent="0.3">
      <c r="A956" s="160">
        <v>1</v>
      </c>
      <c r="B956" s="160" t="s">
        <v>4287</v>
      </c>
      <c r="C956" s="160" t="s">
        <v>4249</v>
      </c>
      <c r="D956" s="160" t="s">
        <v>4250</v>
      </c>
      <c r="E956" s="160" t="s">
        <v>4288</v>
      </c>
      <c r="F956" s="160" t="s">
        <v>4289</v>
      </c>
      <c r="G956" s="163">
        <v>1</v>
      </c>
      <c r="H956" s="160" t="s">
        <v>4290</v>
      </c>
      <c r="I956" s="164">
        <v>42585</v>
      </c>
      <c r="J956" s="166">
        <v>30000</v>
      </c>
      <c r="K956" s="168" t="s">
        <v>13</v>
      </c>
    </row>
    <row r="957" spans="1:11" x14ac:dyDescent="0.3">
      <c r="A957" s="160">
        <v>1</v>
      </c>
      <c r="B957" s="160">
        <v>5949090001</v>
      </c>
      <c r="C957" s="160" t="s">
        <v>4249</v>
      </c>
      <c r="D957" s="160" t="s">
        <v>4250</v>
      </c>
      <c r="F957" s="160" t="s">
        <v>4291</v>
      </c>
      <c r="G957" s="163">
        <v>1</v>
      </c>
      <c r="H957" s="160" t="s">
        <v>4292</v>
      </c>
      <c r="I957" s="164">
        <v>45099</v>
      </c>
      <c r="J957" s="169">
        <v>35000</v>
      </c>
      <c r="K957" s="160" t="s">
        <v>70</v>
      </c>
    </row>
    <row r="958" spans="1:11" x14ac:dyDescent="0.3">
      <c r="A958" s="160">
        <v>1</v>
      </c>
      <c r="B958" s="160">
        <v>5949090002</v>
      </c>
      <c r="C958" s="160" t="s">
        <v>4249</v>
      </c>
      <c r="D958" s="160" t="s">
        <v>4250</v>
      </c>
      <c r="F958" s="160" t="s">
        <v>4293</v>
      </c>
      <c r="G958" s="163">
        <v>2</v>
      </c>
      <c r="H958" s="160" t="s">
        <v>4292</v>
      </c>
      <c r="I958" s="164">
        <v>45293</v>
      </c>
      <c r="J958" s="169">
        <v>80000</v>
      </c>
      <c r="K958" s="160" t="s">
        <v>13</v>
      </c>
    </row>
    <row r="959" spans="1:11" x14ac:dyDescent="0.3">
      <c r="A959" s="160">
        <v>1</v>
      </c>
      <c r="B959" s="160" t="s">
        <v>4294</v>
      </c>
      <c r="C959" s="160" t="s">
        <v>4249</v>
      </c>
      <c r="D959" s="160" t="s">
        <v>4250</v>
      </c>
      <c r="E959" s="160" t="s">
        <v>4295</v>
      </c>
      <c r="F959" s="160" t="s">
        <v>4296</v>
      </c>
      <c r="G959" s="163">
        <v>1</v>
      </c>
      <c r="H959" s="160" t="s">
        <v>4297</v>
      </c>
      <c r="I959" s="164">
        <v>42622</v>
      </c>
      <c r="J959" s="166">
        <v>25000</v>
      </c>
      <c r="K959" s="168" t="s">
        <v>13</v>
      </c>
    </row>
    <row r="960" spans="1:11" x14ac:dyDescent="0.3">
      <c r="A960" s="160">
        <v>1</v>
      </c>
      <c r="B960" s="160">
        <v>6074260001</v>
      </c>
      <c r="C960" s="160" t="s">
        <v>4249</v>
      </c>
      <c r="D960" s="160" t="s">
        <v>4250</v>
      </c>
      <c r="F960" s="160" t="s">
        <v>4298</v>
      </c>
      <c r="G960" s="163">
        <v>1</v>
      </c>
      <c r="H960" s="160" t="s">
        <v>4299</v>
      </c>
      <c r="I960" s="164">
        <v>45215</v>
      </c>
      <c r="J960" s="165">
        <v>50000</v>
      </c>
      <c r="K960" s="160" t="s">
        <v>13</v>
      </c>
    </row>
    <row r="961" spans="1:11" x14ac:dyDescent="0.3">
      <c r="A961" s="160">
        <v>1</v>
      </c>
      <c r="C961" s="160" t="s">
        <v>4249</v>
      </c>
      <c r="D961" s="160" t="s">
        <v>4250</v>
      </c>
      <c r="F961" s="160" t="s">
        <v>4300</v>
      </c>
      <c r="G961" s="163">
        <v>1</v>
      </c>
      <c r="H961" s="160" t="s">
        <v>4301</v>
      </c>
      <c r="I961" s="164">
        <v>41352</v>
      </c>
      <c r="J961" s="166">
        <v>15000</v>
      </c>
      <c r="K961" s="168" t="s">
        <v>13</v>
      </c>
    </row>
    <row r="962" spans="1:11" x14ac:dyDescent="0.3">
      <c r="A962" s="160">
        <v>1</v>
      </c>
      <c r="B962" s="160" t="s">
        <v>4302</v>
      </c>
      <c r="C962" s="160" t="s">
        <v>4249</v>
      </c>
      <c r="D962" s="160" t="s">
        <v>4250</v>
      </c>
      <c r="E962" s="160" t="s">
        <v>4303</v>
      </c>
      <c r="F962" s="160" t="s">
        <v>4304</v>
      </c>
      <c r="G962" s="163">
        <v>1</v>
      </c>
      <c r="H962" s="160" t="s">
        <v>4305</v>
      </c>
      <c r="I962" s="164">
        <v>42746</v>
      </c>
      <c r="J962" s="166">
        <v>10000</v>
      </c>
      <c r="K962" s="168" t="s">
        <v>13</v>
      </c>
    </row>
    <row r="963" spans="1:11" x14ac:dyDescent="0.3">
      <c r="A963" s="160">
        <v>1</v>
      </c>
      <c r="B963" s="160" t="s">
        <v>4306</v>
      </c>
      <c r="C963" s="160" t="s">
        <v>4249</v>
      </c>
      <c r="D963" s="160" t="s">
        <v>4250</v>
      </c>
      <c r="E963" s="160" t="s">
        <v>4303</v>
      </c>
      <c r="F963" s="160" t="s">
        <v>4307</v>
      </c>
      <c r="G963" s="163">
        <v>2</v>
      </c>
      <c r="H963" s="160" t="s">
        <v>4305</v>
      </c>
      <c r="I963" s="164">
        <v>42947</v>
      </c>
      <c r="J963" s="169">
        <v>10000</v>
      </c>
      <c r="K963" s="160" t="s">
        <v>13</v>
      </c>
    </row>
    <row r="964" spans="1:11" x14ac:dyDescent="0.3">
      <c r="A964" s="160">
        <v>1</v>
      </c>
      <c r="B964" s="160" t="s">
        <v>4308</v>
      </c>
      <c r="C964" s="160" t="s">
        <v>4249</v>
      </c>
      <c r="D964" s="160" t="s">
        <v>4250</v>
      </c>
      <c r="E964" s="160" t="s">
        <v>4303</v>
      </c>
      <c r="F964" s="160" t="s">
        <v>4309</v>
      </c>
      <c r="G964" s="163">
        <v>3</v>
      </c>
      <c r="H964" s="160" t="s">
        <v>4305</v>
      </c>
      <c r="I964" s="164">
        <v>42948</v>
      </c>
      <c r="J964" s="169">
        <v>10000</v>
      </c>
      <c r="K964" s="160" t="s">
        <v>13</v>
      </c>
    </row>
    <row r="965" spans="1:11" x14ac:dyDescent="0.3">
      <c r="A965" s="160">
        <v>1</v>
      </c>
      <c r="B965" s="160">
        <v>127068</v>
      </c>
      <c r="C965" s="160" t="s">
        <v>4249</v>
      </c>
      <c r="D965" s="160" t="s">
        <v>4250</v>
      </c>
      <c r="E965" s="160" t="s">
        <v>4303</v>
      </c>
      <c r="F965" s="160" t="s">
        <v>4310</v>
      </c>
      <c r="G965" s="163">
        <v>4</v>
      </c>
      <c r="H965" s="160" t="s">
        <v>4305</v>
      </c>
      <c r="I965" s="164">
        <v>44592</v>
      </c>
      <c r="J965" s="169">
        <v>80000</v>
      </c>
      <c r="K965" s="160" t="s">
        <v>70</v>
      </c>
    </row>
    <row r="966" spans="1:11" x14ac:dyDescent="0.3">
      <c r="A966" s="160">
        <v>1</v>
      </c>
      <c r="B966" s="160" t="s">
        <v>4311</v>
      </c>
      <c r="C966" s="160" t="s">
        <v>4249</v>
      </c>
      <c r="D966" s="160" t="s">
        <v>4250</v>
      </c>
      <c r="E966" s="160" t="s">
        <v>4312</v>
      </c>
      <c r="F966" s="160" t="s">
        <v>4313</v>
      </c>
      <c r="G966" s="163">
        <v>1</v>
      </c>
      <c r="H966" s="160" t="s">
        <v>4314</v>
      </c>
      <c r="I966" s="164">
        <v>42590</v>
      </c>
      <c r="J966" s="166">
        <v>5000</v>
      </c>
      <c r="K966" s="168" t="s">
        <v>13</v>
      </c>
    </row>
    <row r="967" spans="1:11" x14ac:dyDescent="0.3">
      <c r="A967" s="160">
        <v>1</v>
      </c>
      <c r="B967" s="160" t="s">
        <v>4315</v>
      </c>
      <c r="C967" s="160" t="s">
        <v>4249</v>
      </c>
      <c r="D967" s="160" t="s">
        <v>4250</v>
      </c>
      <c r="E967" s="160" t="s">
        <v>4312</v>
      </c>
      <c r="F967" s="160" t="s">
        <v>4316</v>
      </c>
      <c r="G967" s="163">
        <v>2</v>
      </c>
      <c r="H967" s="160" t="s">
        <v>4314</v>
      </c>
      <c r="I967" s="164">
        <v>43033</v>
      </c>
      <c r="J967" s="169">
        <v>6000</v>
      </c>
      <c r="K967" s="160" t="s">
        <v>13</v>
      </c>
    </row>
    <row r="968" spans="1:11" x14ac:dyDescent="0.3">
      <c r="A968" s="160">
        <v>1</v>
      </c>
      <c r="B968" s="160">
        <v>24550</v>
      </c>
      <c r="C968" s="160" t="s">
        <v>4249</v>
      </c>
      <c r="D968" s="160" t="s">
        <v>4250</v>
      </c>
      <c r="E968" s="160" t="s">
        <v>4312</v>
      </c>
      <c r="F968" s="160" t="s">
        <v>4317</v>
      </c>
      <c r="G968" s="163">
        <v>3</v>
      </c>
      <c r="H968" s="160" t="s">
        <v>4318</v>
      </c>
      <c r="I968" s="164">
        <v>43425</v>
      </c>
      <c r="J968" s="169">
        <v>10000</v>
      </c>
      <c r="K968" s="160" t="s">
        <v>2410</v>
      </c>
    </row>
    <row r="969" spans="1:11" x14ac:dyDescent="0.3">
      <c r="A969" s="160">
        <v>1</v>
      </c>
      <c r="B969" s="160" t="s">
        <v>4319</v>
      </c>
      <c r="C969" s="160" t="s">
        <v>4249</v>
      </c>
      <c r="D969" s="160" t="s">
        <v>4250</v>
      </c>
      <c r="E969" s="160" t="s">
        <v>4320</v>
      </c>
      <c r="F969" s="160" t="s">
        <v>4321</v>
      </c>
      <c r="G969" s="163">
        <v>1</v>
      </c>
      <c r="H969" s="160" t="s">
        <v>4322</v>
      </c>
      <c r="I969" s="164">
        <v>41928</v>
      </c>
      <c r="J969" s="166">
        <v>10000</v>
      </c>
      <c r="K969" s="168" t="s">
        <v>13</v>
      </c>
    </row>
    <row r="970" spans="1:11" ht="13" customHeight="1" x14ac:dyDescent="0.3">
      <c r="A970" s="160">
        <v>1</v>
      </c>
      <c r="B970" s="160" t="s">
        <v>4323</v>
      </c>
      <c r="C970" s="160" t="s">
        <v>4249</v>
      </c>
      <c r="D970" s="160" t="s">
        <v>4250</v>
      </c>
      <c r="E970" s="160" t="s">
        <v>4320</v>
      </c>
      <c r="F970" s="160" t="s">
        <v>4324</v>
      </c>
      <c r="G970" s="163">
        <v>2</v>
      </c>
      <c r="H970" s="160" t="s">
        <v>4322</v>
      </c>
      <c r="I970" s="164">
        <v>42333</v>
      </c>
      <c r="J970" s="166">
        <v>20000</v>
      </c>
      <c r="K970" s="168" t="s">
        <v>13</v>
      </c>
    </row>
    <row r="971" spans="1:11" ht="13" customHeight="1" x14ac:dyDescent="0.3">
      <c r="A971" s="160">
        <v>1</v>
      </c>
      <c r="B971" s="160" t="s">
        <v>4325</v>
      </c>
      <c r="C971" s="160" t="s">
        <v>4249</v>
      </c>
      <c r="D971" s="160" t="s">
        <v>4250</v>
      </c>
      <c r="E971" s="160" t="s">
        <v>4320</v>
      </c>
      <c r="F971" s="160" t="s">
        <v>4326</v>
      </c>
      <c r="G971" s="163">
        <v>3</v>
      </c>
      <c r="H971" s="160" t="s">
        <v>4322</v>
      </c>
      <c r="I971" s="164">
        <v>42766</v>
      </c>
      <c r="J971" s="166">
        <v>20000</v>
      </c>
      <c r="K971" s="168" t="s">
        <v>13</v>
      </c>
    </row>
    <row r="972" spans="1:11" ht="13" customHeight="1" x14ac:dyDescent="0.3">
      <c r="A972" s="160">
        <v>1</v>
      </c>
      <c r="B972" s="160" t="s">
        <v>4327</v>
      </c>
      <c r="C972" s="160" t="s">
        <v>4249</v>
      </c>
      <c r="D972" s="160" t="s">
        <v>4250</v>
      </c>
      <c r="E972" s="160" t="s">
        <v>4320</v>
      </c>
      <c r="F972" s="160" t="s">
        <v>4328</v>
      </c>
      <c r="G972" s="163">
        <v>4</v>
      </c>
      <c r="H972" s="160" t="s">
        <v>4322</v>
      </c>
      <c r="I972" s="164">
        <v>43125</v>
      </c>
      <c r="J972" s="169">
        <v>25000</v>
      </c>
      <c r="K972" s="160" t="s">
        <v>13</v>
      </c>
    </row>
    <row r="973" spans="1:11" ht="13" customHeight="1" x14ac:dyDescent="0.3">
      <c r="A973" s="160">
        <v>1</v>
      </c>
      <c r="B973" s="160">
        <v>38036</v>
      </c>
      <c r="C973" s="160" t="s">
        <v>4249</v>
      </c>
      <c r="D973" s="160" t="s">
        <v>4250</v>
      </c>
      <c r="E973" s="160" t="s">
        <v>4320</v>
      </c>
      <c r="F973" s="160" t="s">
        <v>4329</v>
      </c>
      <c r="G973" s="163">
        <v>5</v>
      </c>
      <c r="H973" s="160" t="s">
        <v>4322</v>
      </c>
      <c r="I973" s="164">
        <v>43613</v>
      </c>
      <c r="J973" s="169">
        <v>15000</v>
      </c>
      <c r="K973" s="160" t="s">
        <v>13</v>
      </c>
    </row>
    <row r="974" spans="1:11" ht="13" customHeight="1" x14ac:dyDescent="0.3">
      <c r="A974" s="160">
        <v>1</v>
      </c>
      <c r="B974" s="160">
        <v>117840</v>
      </c>
      <c r="C974" s="160" t="s">
        <v>4249</v>
      </c>
      <c r="D974" s="160" t="s">
        <v>4250</v>
      </c>
      <c r="E974" s="160" t="s">
        <v>4320</v>
      </c>
      <c r="F974" s="160" t="s">
        <v>4330</v>
      </c>
      <c r="G974" s="163">
        <v>6</v>
      </c>
      <c r="H974" s="160" t="s">
        <v>4322</v>
      </c>
      <c r="I974" s="164">
        <v>44503</v>
      </c>
      <c r="J974" s="169">
        <v>10000</v>
      </c>
      <c r="K974" s="160" t="s">
        <v>13</v>
      </c>
    </row>
    <row r="975" spans="1:11" ht="13" customHeight="1" x14ac:dyDescent="0.3">
      <c r="A975" s="160">
        <v>1</v>
      </c>
      <c r="B975" s="160" t="s">
        <v>4331</v>
      </c>
      <c r="C975" s="160" t="s">
        <v>4249</v>
      </c>
      <c r="D975" s="160" t="s">
        <v>4250</v>
      </c>
      <c r="E975" s="160" t="s">
        <v>4332</v>
      </c>
      <c r="F975" s="160" t="s">
        <v>4333</v>
      </c>
      <c r="G975" s="163">
        <v>1</v>
      </c>
      <c r="H975" s="160" t="s">
        <v>4334</v>
      </c>
      <c r="I975" s="164">
        <v>43123</v>
      </c>
      <c r="J975" s="169">
        <v>5000</v>
      </c>
      <c r="K975" s="160" t="s">
        <v>13</v>
      </c>
    </row>
    <row r="976" spans="1:11" x14ac:dyDescent="0.3">
      <c r="A976" s="160">
        <v>1</v>
      </c>
      <c r="B976" s="160" t="s">
        <v>4335</v>
      </c>
      <c r="C976" s="160" t="s">
        <v>4249</v>
      </c>
      <c r="D976" s="160" t="s">
        <v>4250</v>
      </c>
      <c r="E976" s="160" t="s">
        <v>4336</v>
      </c>
      <c r="F976" s="160" t="s">
        <v>4337</v>
      </c>
      <c r="G976" s="163">
        <v>1</v>
      </c>
      <c r="H976" s="160" t="s">
        <v>4338</v>
      </c>
      <c r="I976" s="164">
        <v>42255</v>
      </c>
      <c r="J976" s="166">
        <v>2500</v>
      </c>
      <c r="K976" s="170" t="s">
        <v>2410</v>
      </c>
    </row>
    <row r="977" spans="1:11" x14ac:dyDescent="0.3">
      <c r="A977" s="160">
        <v>1</v>
      </c>
      <c r="B977" s="160" t="s">
        <v>4339</v>
      </c>
      <c r="C977" s="160" t="s">
        <v>4249</v>
      </c>
      <c r="D977" s="160" t="s">
        <v>4250</v>
      </c>
      <c r="E977" s="160" t="s">
        <v>4336</v>
      </c>
      <c r="F977" s="160" t="s">
        <v>4340</v>
      </c>
      <c r="G977" s="163">
        <v>2</v>
      </c>
      <c r="H977" s="160" t="s">
        <v>4338</v>
      </c>
      <c r="I977" s="164">
        <v>42446</v>
      </c>
      <c r="J977" s="166">
        <v>3000</v>
      </c>
      <c r="K977" s="168" t="s">
        <v>13</v>
      </c>
    </row>
    <row r="978" spans="1:11" x14ac:dyDescent="0.3">
      <c r="A978" s="160">
        <v>1</v>
      </c>
      <c r="B978" s="160" t="s">
        <v>4341</v>
      </c>
      <c r="C978" s="160" t="s">
        <v>4249</v>
      </c>
      <c r="D978" s="160" t="s">
        <v>4250</v>
      </c>
      <c r="E978" s="160" t="s">
        <v>4336</v>
      </c>
      <c r="F978" s="160" t="s">
        <v>4342</v>
      </c>
      <c r="G978" s="163">
        <v>3</v>
      </c>
      <c r="H978" s="160" t="s">
        <v>4338</v>
      </c>
      <c r="I978" s="164">
        <v>42685</v>
      </c>
      <c r="J978" s="166">
        <v>5000</v>
      </c>
      <c r="K978" s="168" t="s">
        <v>13</v>
      </c>
    </row>
    <row r="979" spans="1:11" x14ac:dyDescent="0.3">
      <c r="A979" s="160">
        <v>1</v>
      </c>
      <c r="B979" s="160" t="s">
        <v>4343</v>
      </c>
      <c r="C979" s="160" t="s">
        <v>4249</v>
      </c>
      <c r="D979" s="160" t="s">
        <v>4250</v>
      </c>
      <c r="E979" s="160" t="s">
        <v>4336</v>
      </c>
      <c r="F979" s="160" t="s">
        <v>4344</v>
      </c>
      <c r="G979" s="163">
        <v>4</v>
      </c>
      <c r="H979" s="160" t="s">
        <v>4338</v>
      </c>
      <c r="I979" s="164">
        <v>42990</v>
      </c>
      <c r="J979" s="169">
        <v>10000</v>
      </c>
      <c r="K979" s="160" t="s">
        <v>13</v>
      </c>
    </row>
    <row r="980" spans="1:11" x14ac:dyDescent="0.3">
      <c r="A980" s="160">
        <v>1</v>
      </c>
      <c r="B980" s="160">
        <v>152155</v>
      </c>
      <c r="C980" s="160" t="s">
        <v>4249</v>
      </c>
      <c r="D980" s="160" t="s">
        <v>4250</v>
      </c>
      <c r="E980" s="160" t="s">
        <v>4336</v>
      </c>
      <c r="F980" s="160" t="s">
        <v>4345</v>
      </c>
      <c r="G980" s="163">
        <v>5</v>
      </c>
      <c r="H980" s="160" t="s">
        <v>4346</v>
      </c>
      <c r="I980" s="164">
        <v>44798</v>
      </c>
      <c r="J980" s="169">
        <v>20000</v>
      </c>
      <c r="K980" s="160" t="s">
        <v>13</v>
      </c>
    </row>
    <row r="981" spans="1:11" x14ac:dyDescent="0.3">
      <c r="A981" s="160">
        <v>1</v>
      </c>
      <c r="B981" s="160" t="s">
        <v>4347</v>
      </c>
      <c r="C981" s="160" t="s">
        <v>4249</v>
      </c>
      <c r="D981" s="160" t="s">
        <v>4250</v>
      </c>
      <c r="E981" s="160" t="s">
        <v>4348</v>
      </c>
      <c r="F981" s="160" t="s">
        <v>4349</v>
      </c>
      <c r="G981" s="163">
        <v>1</v>
      </c>
      <c r="H981" s="160" t="s">
        <v>4350</v>
      </c>
      <c r="I981" s="164">
        <v>42720</v>
      </c>
      <c r="J981" s="166">
        <v>2000</v>
      </c>
      <c r="K981" s="168" t="s">
        <v>13</v>
      </c>
    </row>
    <row r="982" spans="1:11" x14ac:dyDescent="0.3">
      <c r="A982" s="160">
        <v>1</v>
      </c>
      <c r="B982" s="160" t="s">
        <v>4351</v>
      </c>
      <c r="C982" s="160" t="s">
        <v>4249</v>
      </c>
      <c r="D982" s="160" t="s">
        <v>4250</v>
      </c>
      <c r="E982" s="160" t="s">
        <v>4348</v>
      </c>
      <c r="F982" s="160" t="s">
        <v>4352</v>
      </c>
      <c r="G982" s="163">
        <v>2</v>
      </c>
      <c r="H982" s="160" t="s">
        <v>4350</v>
      </c>
      <c r="I982" s="164">
        <v>43061</v>
      </c>
      <c r="J982" s="169">
        <v>2000</v>
      </c>
      <c r="K982" s="160" t="s">
        <v>13</v>
      </c>
    </row>
    <row r="983" spans="1:11" x14ac:dyDescent="0.3">
      <c r="A983" s="160">
        <v>1</v>
      </c>
      <c r="B983" s="160">
        <v>40786</v>
      </c>
      <c r="C983" s="160" t="s">
        <v>4249</v>
      </c>
      <c r="D983" s="160" t="s">
        <v>4250</v>
      </c>
      <c r="E983" s="160" t="s">
        <v>4348</v>
      </c>
      <c r="F983" s="160" t="s">
        <v>4353</v>
      </c>
      <c r="G983" s="163">
        <v>3</v>
      </c>
      <c r="H983" s="160" t="s">
        <v>4350</v>
      </c>
      <c r="I983" s="164">
        <v>43669</v>
      </c>
      <c r="J983" s="169">
        <v>3000</v>
      </c>
      <c r="K983" s="160" t="s">
        <v>13</v>
      </c>
    </row>
    <row r="984" spans="1:11" x14ac:dyDescent="0.3">
      <c r="A984" s="160">
        <v>1</v>
      </c>
      <c r="B984" s="160">
        <v>111416</v>
      </c>
      <c r="C984" s="160" t="s">
        <v>4249</v>
      </c>
      <c r="D984" s="160" t="s">
        <v>4250</v>
      </c>
      <c r="E984" s="160" t="s">
        <v>4348</v>
      </c>
      <c r="F984" s="160" t="s">
        <v>4354</v>
      </c>
      <c r="G984" s="163">
        <v>4</v>
      </c>
      <c r="H984" s="160" t="s">
        <v>4350</v>
      </c>
      <c r="I984" s="164">
        <v>44448</v>
      </c>
      <c r="J984" s="169">
        <v>3000</v>
      </c>
      <c r="K984" s="160" t="s">
        <v>70</v>
      </c>
    </row>
    <row r="985" spans="1:11" x14ac:dyDescent="0.3">
      <c r="A985" s="160">
        <v>1</v>
      </c>
      <c r="B985" s="160">
        <v>10903925</v>
      </c>
      <c r="C985" s="160" t="s">
        <v>4249</v>
      </c>
      <c r="D985" s="160" t="s">
        <v>4250</v>
      </c>
      <c r="E985" s="160" t="s">
        <v>4348</v>
      </c>
      <c r="F985" s="160" t="s">
        <v>4355</v>
      </c>
      <c r="G985" s="163">
        <v>5</v>
      </c>
      <c r="H985" s="160" t="s">
        <v>4350</v>
      </c>
      <c r="I985" s="164">
        <v>44880</v>
      </c>
      <c r="J985" s="169">
        <v>4000</v>
      </c>
      <c r="K985" s="160" t="s">
        <v>13</v>
      </c>
    </row>
    <row r="986" spans="1:11" x14ac:dyDescent="0.3">
      <c r="A986" s="160">
        <v>1</v>
      </c>
      <c r="B986" s="160">
        <v>2908480001</v>
      </c>
      <c r="C986" s="160" t="s">
        <v>4249</v>
      </c>
      <c r="D986" s="160" t="s">
        <v>4250</v>
      </c>
      <c r="E986" s="160" t="s">
        <v>4348</v>
      </c>
      <c r="F986" s="160" t="s">
        <v>4356</v>
      </c>
      <c r="G986" s="163">
        <v>6</v>
      </c>
      <c r="H986" s="160" t="s">
        <v>4350</v>
      </c>
      <c r="I986" s="164">
        <v>45321</v>
      </c>
      <c r="J986" s="169">
        <v>3000</v>
      </c>
      <c r="K986" s="160" t="s">
        <v>13</v>
      </c>
    </row>
    <row r="987" spans="1:11" x14ac:dyDescent="0.3">
      <c r="A987" s="160">
        <v>1</v>
      </c>
      <c r="B987" s="160">
        <v>5120080001</v>
      </c>
      <c r="C987" s="160" t="s">
        <v>4249</v>
      </c>
      <c r="D987" s="160" t="s">
        <v>4250</v>
      </c>
      <c r="F987" s="160" t="s">
        <v>4357</v>
      </c>
      <c r="G987" s="163">
        <v>1</v>
      </c>
      <c r="H987" s="160" t="s">
        <v>1198</v>
      </c>
      <c r="I987" s="164">
        <v>45079</v>
      </c>
      <c r="J987" s="165">
        <v>50000</v>
      </c>
      <c r="K987" s="160" t="s">
        <v>13</v>
      </c>
    </row>
    <row r="988" spans="1:11" x14ac:dyDescent="0.3">
      <c r="A988" s="160">
        <v>1</v>
      </c>
      <c r="B988" s="160">
        <v>5120080002</v>
      </c>
      <c r="C988" s="160" t="s">
        <v>4249</v>
      </c>
      <c r="D988" s="160" t="s">
        <v>4250</v>
      </c>
      <c r="F988" s="160" t="s">
        <v>4358</v>
      </c>
      <c r="G988" s="163">
        <v>2</v>
      </c>
      <c r="H988" s="160" t="s">
        <v>1198</v>
      </c>
      <c r="I988" s="164">
        <v>45356</v>
      </c>
      <c r="J988" s="165">
        <v>110000</v>
      </c>
      <c r="K988" s="160" t="s">
        <v>13</v>
      </c>
    </row>
    <row r="989" spans="1:11" x14ac:dyDescent="0.3">
      <c r="A989" s="160">
        <v>1</v>
      </c>
      <c r="C989" s="160" t="s">
        <v>4249</v>
      </c>
      <c r="D989" s="160" t="s">
        <v>4250</v>
      </c>
      <c r="F989" s="160" t="s">
        <v>4359</v>
      </c>
      <c r="G989" s="163">
        <v>1</v>
      </c>
      <c r="H989" s="160" t="s">
        <v>4360</v>
      </c>
      <c r="I989" s="164">
        <v>40567</v>
      </c>
      <c r="J989" s="166">
        <v>1000</v>
      </c>
      <c r="K989" s="168" t="s">
        <v>13</v>
      </c>
    </row>
    <row r="990" spans="1:11" x14ac:dyDescent="0.3">
      <c r="A990" s="160">
        <v>1</v>
      </c>
      <c r="B990" s="160">
        <v>6371420001</v>
      </c>
      <c r="C990" s="160" t="s">
        <v>4249</v>
      </c>
      <c r="D990" s="160" t="s">
        <v>4250</v>
      </c>
      <c r="F990" s="160" t="s">
        <v>4361</v>
      </c>
      <c r="G990" s="163">
        <v>1</v>
      </c>
      <c r="H990" s="160" t="s">
        <v>1085</v>
      </c>
      <c r="I990" s="164">
        <v>45436</v>
      </c>
      <c r="J990" s="165">
        <v>70000</v>
      </c>
      <c r="K990" s="160" t="s">
        <v>13</v>
      </c>
    </row>
    <row r="991" spans="1:11" x14ac:dyDescent="0.3">
      <c r="A991" s="160">
        <v>1</v>
      </c>
      <c r="C991" s="160" t="s">
        <v>4249</v>
      </c>
      <c r="D991" s="160" t="s">
        <v>4250</v>
      </c>
      <c r="F991" s="160" t="s">
        <v>4362</v>
      </c>
      <c r="G991" s="163">
        <v>1</v>
      </c>
      <c r="H991" s="160" t="s">
        <v>4363</v>
      </c>
      <c r="I991" s="164">
        <v>45327</v>
      </c>
      <c r="J991" s="165">
        <v>30000</v>
      </c>
      <c r="K991" s="160" t="s">
        <v>13</v>
      </c>
    </row>
    <row r="992" spans="1:11" x14ac:dyDescent="0.3">
      <c r="A992" s="160">
        <v>1</v>
      </c>
      <c r="B992" s="160" t="s">
        <v>4364</v>
      </c>
      <c r="C992" s="160" t="s">
        <v>4249</v>
      </c>
      <c r="D992" s="160" t="s">
        <v>4250</v>
      </c>
      <c r="E992" s="160" t="s">
        <v>4365</v>
      </c>
      <c r="F992" s="160" t="s">
        <v>4366</v>
      </c>
      <c r="G992" s="163">
        <v>1</v>
      </c>
      <c r="H992" s="160" t="s">
        <v>4367</v>
      </c>
      <c r="I992" s="164">
        <v>41715</v>
      </c>
      <c r="J992" s="166">
        <v>10000</v>
      </c>
      <c r="K992" s="168" t="s">
        <v>13</v>
      </c>
    </row>
    <row r="993" spans="1:11" x14ac:dyDescent="0.3">
      <c r="A993" s="160">
        <v>1</v>
      </c>
      <c r="C993" s="160" t="s">
        <v>4249</v>
      </c>
      <c r="D993" s="160" t="s">
        <v>4250</v>
      </c>
      <c r="E993" s="160" t="s">
        <v>4368</v>
      </c>
      <c r="F993" s="160" t="s">
        <v>4369</v>
      </c>
      <c r="G993" s="163">
        <v>1</v>
      </c>
      <c r="H993" s="160" t="s">
        <v>4370</v>
      </c>
      <c r="I993" s="164">
        <v>40577</v>
      </c>
      <c r="J993" s="166">
        <v>2000</v>
      </c>
      <c r="K993" s="175" t="s">
        <v>55</v>
      </c>
    </row>
    <row r="994" spans="1:11" ht="14.5" customHeight="1" x14ac:dyDescent="0.3">
      <c r="A994" s="160">
        <v>1</v>
      </c>
      <c r="B994" s="160" t="s">
        <v>4371</v>
      </c>
      <c r="C994" s="160" t="s">
        <v>4249</v>
      </c>
      <c r="D994" s="160" t="s">
        <v>4250</v>
      </c>
      <c r="E994" s="160" t="s">
        <v>4368</v>
      </c>
      <c r="F994" s="160" t="s">
        <v>4372</v>
      </c>
      <c r="G994" s="163">
        <v>2</v>
      </c>
      <c r="H994" s="160" t="s">
        <v>4373</v>
      </c>
      <c r="I994" s="164">
        <v>41723</v>
      </c>
      <c r="J994" s="166">
        <v>3000</v>
      </c>
      <c r="K994" s="168" t="s">
        <v>13</v>
      </c>
    </row>
    <row r="995" spans="1:11" x14ac:dyDescent="0.3">
      <c r="A995" s="160">
        <v>1</v>
      </c>
      <c r="B995" s="160" t="s">
        <v>4374</v>
      </c>
      <c r="C995" s="160" t="s">
        <v>4249</v>
      </c>
      <c r="D995" s="160" t="s">
        <v>4250</v>
      </c>
      <c r="E995" s="160" t="s">
        <v>4368</v>
      </c>
      <c r="F995" s="160" t="s">
        <v>4375</v>
      </c>
      <c r="G995" s="163">
        <v>3</v>
      </c>
      <c r="H995" s="160" t="s">
        <v>4376</v>
      </c>
      <c r="I995" s="164">
        <v>42710</v>
      </c>
      <c r="J995" s="166">
        <v>2000</v>
      </c>
      <c r="K995" s="168" t="s">
        <v>13</v>
      </c>
    </row>
    <row r="996" spans="1:11" x14ac:dyDescent="0.3">
      <c r="A996" s="160">
        <v>1</v>
      </c>
      <c r="B996" s="160" t="s">
        <v>4377</v>
      </c>
      <c r="C996" s="160" t="s">
        <v>4249</v>
      </c>
      <c r="D996" s="160" t="s">
        <v>4250</v>
      </c>
      <c r="E996" s="160" t="s">
        <v>4368</v>
      </c>
      <c r="F996" s="160" t="s">
        <v>4378</v>
      </c>
      <c r="G996" s="163">
        <v>4</v>
      </c>
      <c r="H996" s="160" t="s">
        <v>4370</v>
      </c>
      <c r="I996" s="164">
        <v>43056</v>
      </c>
      <c r="J996" s="169">
        <v>3000</v>
      </c>
      <c r="K996" s="160" t="s">
        <v>13</v>
      </c>
    </row>
    <row r="997" spans="1:11" x14ac:dyDescent="0.3">
      <c r="A997" s="160">
        <v>1</v>
      </c>
      <c r="B997" s="160">
        <v>27007</v>
      </c>
      <c r="C997" s="160" t="s">
        <v>4249</v>
      </c>
      <c r="D997" s="160" t="s">
        <v>4250</v>
      </c>
      <c r="E997" s="160" t="s">
        <v>4368</v>
      </c>
      <c r="F997" s="160" t="s">
        <v>4379</v>
      </c>
      <c r="G997" s="163">
        <v>5</v>
      </c>
      <c r="H997" s="160" t="s">
        <v>4370</v>
      </c>
      <c r="I997" s="164">
        <v>43430</v>
      </c>
      <c r="J997" s="169">
        <v>5000</v>
      </c>
      <c r="K997" s="160" t="s">
        <v>2410</v>
      </c>
    </row>
    <row r="998" spans="1:11" x14ac:dyDescent="0.3">
      <c r="A998" s="160">
        <v>1</v>
      </c>
      <c r="B998" s="160">
        <v>52324</v>
      </c>
      <c r="C998" s="160" t="s">
        <v>4249</v>
      </c>
      <c r="D998" s="160" t="s">
        <v>4250</v>
      </c>
      <c r="E998" s="160" t="s">
        <v>4368</v>
      </c>
      <c r="F998" s="160" t="s">
        <v>4380</v>
      </c>
      <c r="G998" s="163">
        <v>6</v>
      </c>
      <c r="H998" s="160" t="s">
        <v>4381</v>
      </c>
      <c r="I998" s="164">
        <v>43797</v>
      </c>
      <c r="J998" s="169">
        <v>15000</v>
      </c>
      <c r="K998" s="160" t="s">
        <v>13</v>
      </c>
    </row>
    <row r="999" spans="1:11" x14ac:dyDescent="0.3">
      <c r="A999" s="160">
        <v>1</v>
      </c>
      <c r="B999" s="160">
        <v>10911769</v>
      </c>
      <c r="C999" s="160" t="s">
        <v>4249</v>
      </c>
      <c r="D999" s="160" t="s">
        <v>4250</v>
      </c>
      <c r="F999" s="160" t="s">
        <v>4382</v>
      </c>
      <c r="G999" s="163">
        <v>1</v>
      </c>
      <c r="H999" s="160" t="s">
        <v>4383</v>
      </c>
      <c r="I999" s="164">
        <v>45079</v>
      </c>
      <c r="J999" s="169">
        <v>6000</v>
      </c>
      <c r="K999" s="160" t="s">
        <v>13</v>
      </c>
    </row>
    <row r="1000" spans="1:11" x14ac:dyDescent="0.3">
      <c r="A1000" s="160">
        <v>1</v>
      </c>
      <c r="B1000" s="160">
        <v>5163790001</v>
      </c>
      <c r="C1000" s="160" t="s">
        <v>4249</v>
      </c>
      <c r="D1000" s="160" t="s">
        <v>4250</v>
      </c>
      <c r="F1000" s="160" t="s">
        <v>4384</v>
      </c>
      <c r="G1000" s="163">
        <v>2</v>
      </c>
      <c r="H1000" s="160" t="s">
        <v>4383</v>
      </c>
      <c r="I1000" s="164">
        <v>45348</v>
      </c>
      <c r="J1000" s="169">
        <v>8000</v>
      </c>
      <c r="K1000" s="160" t="s">
        <v>13</v>
      </c>
    </row>
    <row r="1001" spans="1:11" x14ac:dyDescent="0.3">
      <c r="A1001" s="160">
        <v>1</v>
      </c>
      <c r="B1001" s="160">
        <v>112414</v>
      </c>
      <c r="C1001" s="160" t="s">
        <v>4249</v>
      </c>
      <c r="D1001" s="160" t="s">
        <v>4250</v>
      </c>
      <c r="F1001" s="160" t="s">
        <v>4385</v>
      </c>
      <c r="G1001" s="163">
        <v>1</v>
      </c>
      <c r="H1001" s="160" t="s">
        <v>4386</v>
      </c>
      <c r="I1001" s="164">
        <v>44456</v>
      </c>
      <c r="J1001" s="169">
        <v>21000</v>
      </c>
      <c r="K1001" s="160" t="s">
        <v>13</v>
      </c>
    </row>
    <row r="1002" spans="1:11" x14ac:dyDescent="0.3">
      <c r="A1002" s="160">
        <v>1</v>
      </c>
      <c r="B1002" s="160">
        <v>5048180001</v>
      </c>
      <c r="C1002" s="160" t="s">
        <v>4249</v>
      </c>
      <c r="D1002" s="160" t="s">
        <v>4250</v>
      </c>
      <c r="F1002" s="160" t="s">
        <v>4387</v>
      </c>
      <c r="G1002" s="163">
        <v>2</v>
      </c>
      <c r="H1002" s="160" t="s">
        <v>4386</v>
      </c>
      <c r="I1002" s="164">
        <v>45208</v>
      </c>
      <c r="J1002" s="169">
        <v>40000</v>
      </c>
      <c r="K1002" s="160" t="s">
        <v>13</v>
      </c>
    </row>
    <row r="1003" spans="1:11" x14ac:dyDescent="0.3">
      <c r="A1003" s="160">
        <v>1</v>
      </c>
      <c r="B1003" s="160">
        <v>5048180002</v>
      </c>
      <c r="C1003" s="160" t="s">
        <v>4249</v>
      </c>
      <c r="D1003" s="160" t="s">
        <v>4250</v>
      </c>
      <c r="F1003" s="160" t="s">
        <v>4388</v>
      </c>
      <c r="G1003" s="163">
        <v>3</v>
      </c>
      <c r="H1003" s="160" t="s">
        <v>4386</v>
      </c>
      <c r="I1003" s="164">
        <v>45462</v>
      </c>
      <c r="J1003" s="169">
        <v>80000</v>
      </c>
      <c r="K1003" s="160" t="s">
        <v>13</v>
      </c>
    </row>
    <row r="1004" spans="1:11" x14ac:dyDescent="0.3">
      <c r="A1004" s="160">
        <v>1</v>
      </c>
      <c r="B1004" s="160" t="s">
        <v>4389</v>
      </c>
      <c r="C1004" s="160" t="s">
        <v>4249</v>
      </c>
      <c r="D1004" s="160" t="s">
        <v>4250</v>
      </c>
      <c r="E1004" s="160" t="s">
        <v>4390</v>
      </c>
      <c r="F1004" s="160" t="s">
        <v>4391</v>
      </c>
      <c r="G1004" s="163">
        <v>1</v>
      </c>
      <c r="H1004" s="160" t="s">
        <v>4392</v>
      </c>
      <c r="I1004" s="164">
        <v>42951</v>
      </c>
      <c r="J1004" s="169">
        <v>150000</v>
      </c>
      <c r="K1004" s="160" t="s">
        <v>70</v>
      </c>
    </row>
    <row r="1005" spans="1:11" ht="13" customHeight="1" x14ac:dyDescent="0.3">
      <c r="A1005" s="160">
        <v>1</v>
      </c>
      <c r="B1005" s="160">
        <v>27647</v>
      </c>
      <c r="C1005" s="160" t="s">
        <v>4249</v>
      </c>
      <c r="D1005" s="160" t="s">
        <v>4250</v>
      </c>
      <c r="E1005" s="160" t="s">
        <v>4390</v>
      </c>
      <c r="F1005" s="160" t="s">
        <v>4393</v>
      </c>
      <c r="G1005" s="163">
        <v>2</v>
      </c>
      <c r="H1005" s="160" t="s">
        <v>4392</v>
      </c>
      <c r="I1005" s="164">
        <v>43438</v>
      </c>
      <c r="J1005" s="169">
        <v>100000</v>
      </c>
      <c r="K1005" s="160" t="s">
        <v>13</v>
      </c>
    </row>
    <row r="1006" spans="1:11" ht="13" customHeight="1" x14ac:dyDescent="0.3">
      <c r="A1006" s="160">
        <v>1</v>
      </c>
      <c r="B1006" s="160">
        <v>141570</v>
      </c>
      <c r="C1006" s="160" t="s">
        <v>4249</v>
      </c>
      <c r="D1006" s="160" t="s">
        <v>4250</v>
      </c>
      <c r="E1006" s="160" t="s">
        <v>4390</v>
      </c>
      <c r="F1006" s="160" t="s">
        <v>4394</v>
      </c>
      <c r="G1006" s="163">
        <v>3</v>
      </c>
      <c r="H1006" s="160" t="s">
        <v>4392</v>
      </c>
      <c r="I1006" s="164">
        <v>44711</v>
      </c>
      <c r="J1006" s="169">
        <v>200000</v>
      </c>
      <c r="K1006" s="160" t="s">
        <v>13</v>
      </c>
    </row>
    <row r="1007" spans="1:11" ht="13" customHeight="1" x14ac:dyDescent="0.3">
      <c r="A1007" s="160">
        <v>1</v>
      </c>
      <c r="C1007" s="160" t="s">
        <v>4249</v>
      </c>
      <c r="D1007" s="160" t="s">
        <v>4250</v>
      </c>
      <c r="E1007" s="160" t="s">
        <v>4395</v>
      </c>
      <c r="F1007" s="160" t="s">
        <v>4396</v>
      </c>
      <c r="G1007" s="163">
        <v>1</v>
      </c>
      <c r="H1007" s="160" t="s">
        <v>4397</v>
      </c>
      <c r="I1007" s="164">
        <v>40171</v>
      </c>
      <c r="J1007" s="166">
        <v>6000</v>
      </c>
      <c r="K1007" s="167" t="s">
        <v>70</v>
      </c>
    </row>
    <row r="1008" spans="1:11" ht="13" customHeight="1" x14ac:dyDescent="0.3">
      <c r="A1008" s="160">
        <v>1</v>
      </c>
      <c r="C1008" s="160" t="s">
        <v>4249</v>
      </c>
      <c r="D1008" s="160" t="s">
        <v>4250</v>
      </c>
      <c r="E1008" s="160" t="s">
        <v>4395</v>
      </c>
      <c r="F1008" s="160" t="s">
        <v>4398</v>
      </c>
      <c r="G1008" s="163">
        <v>2</v>
      </c>
      <c r="H1008" s="160" t="s">
        <v>4397</v>
      </c>
      <c r="I1008" s="164">
        <v>40819</v>
      </c>
      <c r="J1008" s="166">
        <v>7000</v>
      </c>
      <c r="K1008" s="175" t="s">
        <v>55</v>
      </c>
    </row>
    <row r="1009" spans="1:11" ht="13" customHeight="1" x14ac:dyDescent="0.3">
      <c r="A1009" s="160">
        <v>1</v>
      </c>
      <c r="B1009" s="160" t="s">
        <v>4399</v>
      </c>
      <c r="C1009" s="160" t="s">
        <v>4249</v>
      </c>
      <c r="D1009" s="160" t="s">
        <v>4250</v>
      </c>
      <c r="E1009" s="160" t="s">
        <v>4395</v>
      </c>
      <c r="F1009" s="160" t="s">
        <v>4400</v>
      </c>
      <c r="G1009" s="163">
        <v>3</v>
      </c>
      <c r="H1009" s="160" t="s">
        <v>4397</v>
      </c>
      <c r="I1009" s="164">
        <v>41667</v>
      </c>
      <c r="J1009" s="166">
        <v>8000</v>
      </c>
      <c r="K1009" s="168" t="s">
        <v>13</v>
      </c>
    </row>
    <row r="1010" spans="1:11" ht="13" customHeight="1" x14ac:dyDescent="0.3">
      <c r="A1010" s="160">
        <v>1</v>
      </c>
      <c r="B1010" s="160">
        <v>37240</v>
      </c>
      <c r="C1010" s="160" t="s">
        <v>4249</v>
      </c>
      <c r="D1010" s="160" t="s">
        <v>4250</v>
      </c>
      <c r="E1010" s="160" t="s">
        <v>4401</v>
      </c>
      <c r="F1010" s="160" t="s">
        <v>4402</v>
      </c>
      <c r="G1010" s="163">
        <v>1</v>
      </c>
      <c r="H1010" s="160" t="s">
        <v>4403</v>
      </c>
      <c r="I1010" s="164">
        <v>43602</v>
      </c>
      <c r="J1010" s="169">
        <v>50000</v>
      </c>
      <c r="K1010" s="160" t="s">
        <v>70</v>
      </c>
    </row>
    <row r="1011" spans="1:11" ht="13" customHeight="1" x14ac:dyDescent="0.3">
      <c r="A1011" s="160">
        <v>1</v>
      </c>
      <c r="C1011" s="160" t="s">
        <v>3546</v>
      </c>
      <c r="D1011" s="160" t="s">
        <v>4404</v>
      </c>
      <c r="E1011" s="160" t="s">
        <v>4405</v>
      </c>
      <c r="F1011" s="160" t="s">
        <v>4406</v>
      </c>
      <c r="G1011" s="163">
        <v>1</v>
      </c>
      <c r="H1011" s="160" t="s">
        <v>4407</v>
      </c>
      <c r="I1011" s="164">
        <v>40443</v>
      </c>
      <c r="J1011" s="166">
        <v>1500</v>
      </c>
      <c r="K1011" s="168" t="s">
        <v>13</v>
      </c>
    </row>
    <row r="1012" spans="1:11" ht="13" customHeight="1" x14ac:dyDescent="0.3">
      <c r="A1012" s="160">
        <v>1</v>
      </c>
      <c r="B1012" s="160" t="s">
        <v>4408</v>
      </c>
      <c r="C1012" s="160" t="s">
        <v>3546</v>
      </c>
      <c r="D1012" s="160" t="s">
        <v>4404</v>
      </c>
      <c r="E1012" s="160" t="s">
        <v>4405</v>
      </c>
      <c r="F1012" s="160" t="s">
        <v>4409</v>
      </c>
      <c r="G1012" s="163">
        <v>2</v>
      </c>
      <c r="H1012" s="160" t="s">
        <v>4407</v>
      </c>
      <c r="I1012" s="164">
        <v>41689</v>
      </c>
      <c r="J1012" s="166">
        <v>4000</v>
      </c>
      <c r="K1012" s="168" t="s">
        <v>13</v>
      </c>
    </row>
    <row r="1013" spans="1:11" x14ac:dyDescent="0.3">
      <c r="A1013" s="160">
        <v>1</v>
      </c>
      <c r="C1013" s="160" t="s">
        <v>3546</v>
      </c>
      <c r="D1013" s="160" t="s">
        <v>4404</v>
      </c>
      <c r="E1013" s="160" t="s">
        <v>4410</v>
      </c>
      <c r="F1013" s="160" t="s">
        <v>4411</v>
      </c>
      <c r="G1013" s="163">
        <v>1</v>
      </c>
      <c r="H1013" s="160" t="s">
        <v>4412</v>
      </c>
      <c r="I1013" s="164">
        <v>40134</v>
      </c>
      <c r="J1013" s="166">
        <v>2000</v>
      </c>
      <c r="K1013" s="168" t="s">
        <v>13</v>
      </c>
    </row>
    <row r="1014" spans="1:11" x14ac:dyDescent="0.3">
      <c r="A1014" s="160">
        <v>1</v>
      </c>
      <c r="C1014" s="160" t="s">
        <v>3546</v>
      </c>
      <c r="D1014" s="160" t="s">
        <v>4404</v>
      </c>
      <c r="E1014" s="160" t="s">
        <v>4410</v>
      </c>
      <c r="F1014" s="160" t="s">
        <v>4413</v>
      </c>
      <c r="G1014" s="163">
        <v>2</v>
      </c>
      <c r="H1014" s="160" t="s">
        <v>4412</v>
      </c>
      <c r="I1014" s="164">
        <v>40575</v>
      </c>
      <c r="J1014" s="166">
        <v>3000</v>
      </c>
      <c r="K1014" s="168" t="s">
        <v>13</v>
      </c>
    </row>
    <row r="1015" spans="1:11" x14ac:dyDescent="0.3">
      <c r="A1015" s="160">
        <v>1</v>
      </c>
      <c r="C1015" s="160" t="s">
        <v>3546</v>
      </c>
      <c r="D1015" s="160" t="s">
        <v>4404</v>
      </c>
      <c r="E1015" s="160" t="s">
        <v>4410</v>
      </c>
      <c r="F1015" s="160" t="s">
        <v>4414</v>
      </c>
      <c r="G1015" s="163">
        <v>3</v>
      </c>
      <c r="H1015" s="160" t="s">
        <v>4412</v>
      </c>
      <c r="I1015" s="164">
        <v>40728</v>
      </c>
      <c r="J1015" s="166">
        <v>3000</v>
      </c>
      <c r="K1015" s="168" t="s">
        <v>13</v>
      </c>
    </row>
    <row r="1016" spans="1:11" x14ac:dyDescent="0.3">
      <c r="A1016" s="160">
        <v>1</v>
      </c>
      <c r="C1016" s="160" t="s">
        <v>3546</v>
      </c>
      <c r="D1016" s="160" t="s">
        <v>4404</v>
      </c>
      <c r="F1016" s="160" t="s">
        <v>4415</v>
      </c>
      <c r="G1016" s="163">
        <v>1</v>
      </c>
      <c r="H1016" s="160" t="s">
        <v>4416</v>
      </c>
      <c r="I1016" s="164">
        <v>40422</v>
      </c>
      <c r="J1016" s="166">
        <v>5500</v>
      </c>
      <c r="K1016" s="168" t="s">
        <v>13</v>
      </c>
    </row>
    <row r="1017" spans="1:11" x14ac:dyDescent="0.3">
      <c r="A1017" s="160">
        <v>1</v>
      </c>
      <c r="C1017" s="160" t="s">
        <v>3546</v>
      </c>
      <c r="D1017" s="160" t="s">
        <v>4404</v>
      </c>
      <c r="F1017" s="160" t="s">
        <v>4417</v>
      </c>
      <c r="G1017" s="163">
        <v>2</v>
      </c>
      <c r="H1017" s="160" t="s">
        <v>4416</v>
      </c>
      <c r="I1017" s="164">
        <v>41325</v>
      </c>
      <c r="J1017" s="166">
        <v>8000</v>
      </c>
      <c r="K1017" s="168" t="s">
        <v>13</v>
      </c>
    </row>
    <row r="1018" spans="1:11" x14ac:dyDescent="0.3">
      <c r="A1018" s="160">
        <v>1</v>
      </c>
      <c r="B1018" s="160">
        <v>147808</v>
      </c>
      <c r="C1018" s="160" t="s">
        <v>3546</v>
      </c>
      <c r="D1018" s="160" t="s">
        <v>4404</v>
      </c>
      <c r="F1018" s="160" t="s">
        <v>4418</v>
      </c>
      <c r="G1018" s="163">
        <v>3</v>
      </c>
      <c r="H1018" s="160" t="s">
        <v>4416</v>
      </c>
      <c r="I1018" s="164">
        <v>44763</v>
      </c>
      <c r="J1018" s="165">
        <v>10000</v>
      </c>
      <c r="K1018" s="160" t="s">
        <v>13</v>
      </c>
    </row>
    <row r="1019" spans="1:11" x14ac:dyDescent="0.3">
      <c r="A1019" s="160">
        <v>1</v>
      </c>
      <c r="B1019" s="160">
        <v>5488610001</v>
      </c>
      <c r="C1019" s="160" t="s">
        <v>3546</v>
      </c>
      <c r="D1019" s="160" t="s">
        <v>4404</v>
      </c>
      <c r="F1019" s="160" t="s">
        <v>4419</v>
      </c>
      <c r="G1019" s="163">
        <v>4</v>
      </c>
      <c r="H1019" s="160" t="s">
        <v>4416</v>
      </c>
      <c r="I1019" s="164">
        <v>45106</v>
      </c>
      <c r="J1019" s="165">
        <v>65000</v>
      </c>
      <c r="K1019" s="160" t="s">
        <v>70</v>
      </c>
    </row>
    <row r="1020" spans="1:11" x14ac:dyDescent="0.3">
      <c r="A1020" s="160">
        <v>1</v>
      </c>
      <c r="C1020" s="160" t="s">
        <v>3546</v>
      </c>
      <c r="D1020" s="160" t="s">
        <v>4404</v>
      </c>
      <c r="F1020" s="160" t="s">
        <v>4420</v>
      </c>
      <c r="G1020" s="163">
        <v>1</v>
      </c>
      <c r="H1020" s="160" t="s">
        <v>4421</v>
      </c>
      <c r="I1020" s="164">
        <v>41295</v>
      </c>
      <c r="J1020" s="166">
        <v>7000</v>
      </c>
      <c r="K1020" s="168" t="s">
        <v>13</v>
      </c>
    </row>
    <row r="1021" spans="1:11" x14ac:dyDescent="0.3">
      <c r="A1021" s="160">
        <v>1</v>
      </c>
      <c r="C1021" s="160" t="s">
        <v>3546</v>
      </c>
      <c r="D1021" s="160" t="s">
        <v>4404</v>
      </c>
      <c r="F1021" s="160" t="s">
        <v>4422</v>
      </c>
      <c r="G1021" s="163">
        <v>1</v>
      </c>
      <c r="H1021" s="160" t="s">
        <v>4423</v>
      </c>
      <c r="I1021" s="164">
        <v>40456</v>
      </c>
      <c r="J1021" s="166">
        <v>7000</v>
      </c>
      <c r="K1021" s="167" t="s">
        <v>70</v>
      </c>
    </row>
    <row r="1022" spans="1:11" x14ac:dyDescent="0.3">
      <c r="A1022" s="160">
        <v>1</v>
      </c>
      <c r="B1022" s="160" t="s">
        <v>4424</v>
      </c>
      <c r="C1022" s="160" t="s">
        <v>3546</v>
      </c>
      <c r="D1022" s="160" t="s">
        <v>4404</v>
      </c>
      <c r="E1022" s="160" t="s">
        <v>4425</v>
      </c>
      <c r="F1022" s="160" t="s">
        <v>4426</v>
      </c>
      <c r="G1022" s="163">
        <v>1</v>
      </c>
      <c r="H1022" s="160" t="s">
        <v>4427</v>
      </c>
      <c r="I1022" s="164">
        <v>41373</v>
      </c>
      <c r="J1022" s="166">
        <v>5000</v>
      </c>
      <c r="K1022" s="168" t="s">
        <v>13</v>
      </c>
    </row>
    <row r="1023" spans="1:11" x14ac:dyDescent="0.3">
      <c r="A1023" s="160">
        <v>1</v>
      </c>
      <c r="C1023" s="160" t="s">
        <v>3546</v>
      </c>
      <c r="D1023" s="160" t="s">
        <v>4404</v>
      </c>
      <c r="F1023" s="160" t="s">
        <v>4428</v>
      </c>
      <c r="G1023" s="163">
        <v>1</v>
      </c>
      <c r="H1023" s="160" t="s">
        <v>4429</v>
      </c>
      <c r="I1023" s="164">
        <v>40134</v>
      </c>
      <c r="J1023" s="166">
        <v>4000</v>
      </c>
      <c r="K1023" s="168" t="s">
        <v>13</v>
      </c>
    </row>
    <row r="1024" spans="1:11" x14ac:dyDescent="0.3">
      <c r="A1024" s="160">
        <v>1</v>
      </c>
      <c r="C1024" s="160" t="s">
        <v>3546</v>
      </c>
      <c r="D1024" s="160" t="s">
        <v>4404</v>
      </c>
      <c r="F1024" s="160" t="s">
        <v>4430</v>
      </c>
      <c r="G1024" s="163">
        <v>2</v>
      </c>
      <c r="H1024" s="160" t="s">
        <v>4429</v>
      </c>
      <c r="I1024" s="164">
        <v>40603</v>
      </c>
      <c r="J1024" s="166">
        <v>4000</v>
      </c>
      <c r="K1024" s="168" t="s">
        <v>13</v>
      </c>
    </row>
    <row r="1025" spans="1:11" x14ac:dyDescent="0.3">
      <c r="A1025" s="160">
        <v>1</v>
      </c>
      <c r="C1025" s="160" t="s">
        <v>3546</v>
      </c>
      <c r="D1025" s="160" t="s">
        <v>4404</v>
      </c>
      <c r="F1025" s="160" t="s">
        <v>4431</v>
      </c>
      <c r="G1025" s="163">
        <v>3</v>
      </c>
      <c r="H1025" s="160" t="s">
        <v>4429</v>
      </c>
      <c r="I1025" s="164">
        <v>41159</v>
      </c>
      <c r="J1025" s="166">
        <v>6000</v>
      </c>
      <c r="K1025" s="168" t="s">
        <v>13</v>
      </c>
    </row>
    <row r="1026" spans="1:11" x14ac:dyDescent="0.3">
      <c r="A1026" s="160">
        <v>1</v>
      </c>
      <c r="B1026" s="160">
        <v>98157</v>
      </c>
      <c r="C1026" s="160" t="s">
        <v>3546</v>
      </c>
      <c r="D1026" s="160" t="s">
        <v>4404</v>
      </c>
      <c r="F1026" s="160" t="s">
        <v>4432</v>
      </c>
      <c r="G1026" s="163">
        <v>4</v>
      </c>
      <c r="H1026" s="160" t="s">
        <v>4429</v>
      </c>
      <c r="I1026" s="164">
        <v>44355</v>
      </c>
      <c r="J1026" s="165">
        <v>20000</v>
      </c>
      <c r="K1026" s="160" t="s">
        <v>13</v>
      </c>
    </row>
    <row r="1027" spans="1:11" x14ac:dyDescent="0.3">
      <c r="A1027" s="160">
        <v>1</v>
      </c>
      <c r="B1027" s="160">
        <v>4746580001</v>
      </c>
      <c r="C1027" s="160" t="s">
        <v>3546</v>
      </c>
      <c r="D1027" s="160" t="s">
        <v>4404</v>
      </c>
      <c r="F1027" s="160" t="s">
        <v>4433</v>
      </c>
      <c r="G1027" s="163">
        <v>5</v>
      </c>
      <c r="H1027" s="160" t="s">
        <v>4429</v>
      </c>
      <c r="I1027" s="164">
        <v>45173</v>
      </c>
      <c r="J1027" s="165">
        <v>60000</v>
      </c>
      <c r="K1027" s="160" t="s">
        <v>70</v>
      </c>
    </row>
    <row r="1028" spans="1:11" x14ac:dyDescent="0.3">
      <c r="A1028" s="160">
        <v>1</v>
      </c>
      <c r="B1028" s="160">
        <v>4746580002</v>
      </c>
      <c r="C1028" s="160" t="s">
        <v>3546</v>
      </c>
      <c r="D1028" s="160" t="s">
        <v>4404</v>
      </c>
      <c r="F1028" s="160" t="s">
        <v>4434</v>
      </c>
      <c r="G1028" s="163">
        <v>6</v>
      </c>
      <c r="H1028" s="160" t="s">
        <v>4429</v>
      </c>
      <c r="I1028" s="164">
        <v>45616</v>
      </c>
      <c r="J1028" s="165">
        <v>60000</v>
      </c>
      <c r="K1028" s="160" t="s">
        <v>13</v>
      </c>
    </row>
    <row r="1029" spans="1:11" x14ac:dyDescent="0.3">
      <c r="A1029" s="160">
        <v>1</v>
      </c>
      <c r="C1029" s="160" t="s">
        <v>3546</v>
      </c>
      <c r="D1029" s="160" t="s">
        <v>4404</v>
      </c>
      <c r="E1029" s="160" t="s">
        <v>4435</v>
      </c>
      <c r="F1029" s="160" t="s">
        <v>4436</v>
      </c>
      <c r="G1029" s="163">
        <v>1</v>
      </c>
      <c r="H1029" s="160" t="s">
        <v>4437</v>
      </c>
      <c r="I1029" s="164">
        <v>41235</v>
      </c>
      <c r="J1029" s="166">
        <v>4000</v>
      </c>
      <c r="K1029" s="168" t="s">
        <v>13</v>
      </c>
    </row>
    <row r="1030" spans="1:11" x14ac:dyDescent="0.3">
      <c r="A1030" s="160">
        <v>1</v>
      </c>
      <c r="B1030" s="160" t="s">
        <v>4438</v>
      </c>
      <c r="C1030" s="160" t="s">
        <v>3546</v>
      </c>
      <c r="D1030" s="160" t="s">
        <v>4404</v>
      </c>
      <c r="E1030" s="160" t="s">
        <v>4435</v>
      </c>
      <c r="F1030" s="160" t="s">
        <v>4439</v>
      </c>
      <c r="G1030" s="163">
        <v>2</v>
      </c>
      <c r="H1030" s="160" t="s">
        <v>4437</v>
      </c>
      <c r="I1030" s="164">
        <v>41906</v>
      </c>
      <c r="J1030" s="166">
        <v>5000</v>
      </c>
      <c r="K1030" s="168" t="s">
        <v>13</v>
      </c>
    </row>
    <row r="1031" spans="1:11" x14ac:dyDescent="0.3">
      <c r="A1031" s="160">
        <v>1</v>
      </c>
      <c r="B1031" s="160" t="s">
        <v>4440</v>
      </c>
      <c r="C1031" s="160" t="s">
        <v>3546</v>
      </c>
      <c r="D1031" s="160" t="s">
        <v>4404</v>
      </c>
      <c r="E1031" s="160" t="s">
        <v>4435</v>
      </c>
      <c r="F1031" s="160" t="s">
        <v>4441</v>
      </c>
      <c r="G1031" s="163">
        <v>3</v>
      </c>
      <c r="H1031" s="160" t="s">
        <v>4437</v>
      </c>
      <c r="I1031" s="164">
        <v>42453</v>
      </c>
      <c r="J1031" s="166">
        <v>8000</v>
      </c>
      <c r="K1031" s="168" t="s">
        <v>13</v>
      </c>
    </row>
    <row r="1032" spans="1:11" x14ac:dyDescent="0.3">
      <c r="A1032" s="160">
        <v>1</v>
      </c>
      <c r="B1032" s="160" t="s">
        <v>4442</v>
      </c>
      <c r="C1032" s="160" t="s">
        <v>3546</v>
      </c>
      <c r="D1032" s="160" t="s">
        <v>4404</v>
      </c>
      <c r="E1032" s="160" t="s">
        <v>4435</v>
      </c>
      <c r="F1032" s="160" t="s">
        <v>4443</v>
      </c>
      <c r="G1032" s="163">
        <v>4</v>
      </c>
      <c r="H1032" s="160" t="s">
        <v>4437</v>
      </c>
      <c r="I1032" s="164">
        <v>42640</v>
      </c>
      <c r="J1032" s="166">
        <v>6000</v>
      </c>
      <c r="K1032" s="168" t="s">
        <v>13</v>
      </c>
    </row>
    <row r="1033" spans="1:11" x14ac:dyDescent="0.3">
      <c r="A1033" s="160">
        <v>1</v>
      </c>
      <c r="B1033" s="160">
        <v>41951</v>
      </c>
      <c r="C1033" s="160" t="s">
        <v>3546</v>
      </c>
      <c r="D1033" s="160" t="s">
        <v>4404</v>
      </c>
      <c r="E1033" s="160" t="s">
        <v>4435</v>
      </c>
      <c r="F1033" s="160" t="s">
        <v>4444</v>
      </c>
      <c r="G1033" s="163">
        <v>5</v>
      </c>
      <c r="H1033" s="160" t="s">
        <v>4437</v>
      </c>
      <c r="I1033" s="164">
        <v>43679</v>
      </c>
      <c r="J1033" s="169">
        <v>20000</v>
      </c>
      <c r="K1033" s="160" t="s">
        <v>13</v>
      </c>
    </row>
    <row r="1034" spans="1:11" x14ac:dyDescent="0.3">
      <c r="A1034" s="160">
        <v>1</v>
      </c>
      <c r="B1034" s="160">
        <v>95840</v>
      </c>
      <c r="C1034" s="160" t="s">
        <v>3546</v>
      </c>
      <c r="D1034" s="160" t="s">
        <v>4404</v>
      </c>
      <c r="E1034" s="160" t="s">
        <v>4435</v>
      </c>
      <c r="F1034" s="160" t="s">
        <v>4445</v>
      </c>
      <c r="G1034" s="163">
        <v>6</v>
      </c>
      <c r="H1034" s="160" t="s">
        <v>4437</v>
      </c>
      <c r="I1034" s="164">
        <v>44332</v>
      </c>
      <c r="J1034" s="169">
        <v>30000</v>
      </c>
      <c r="K1034" s="160" t="s">
        <v>13</v>
      </c>
    </row>
    <row r="1035" spans="1:11" x14ac:dyDescent="0.3">
      <c r="A1035" s="160">
        <v>1</v>
      </c>
      <c r="B1035" s="160">
        <v>146816</v>
      </c>
      <c r="C1035" s="160" t="s">
        <v>3546</v>
      </c>
      <c r="D1035" s="160" t="s">
        <v>4404</v>
      </c>
      <c r="E1035" s="160" t="s">
        <v>4435</v>
      </c>
      <c r="F1035" s="160" t="s">
        <v>4446</v>
      </c>
      <c r="G1035" s="163">
        <v>7</v>
      </c>
      <c r="H1035" s="160" t="s">
        <v>4437</v>
      </c>
      <c r="I1035" s="164">
        <v>44754</v>
      </c>
      <c r="J1035" s="169">
        <v>60000</v>
      </c>
      <c r="K1035" s="160" t="s">
        <v>13</v>
      </c>
    </row>
    <row r="1036" spans="1:11" x14ac:dyDescent="0.3">
      <c r="A1036" s="160">
        <v>1</v>
      </c>
      <c r="B1036" s="160">
        <v>4826690001</v>
      </c>
      <c r="C1036" s="160" t="s">
        <v>3546</v>
      </c>
      <c r="D1036" s="160" t="s">
        <v>4404</v>
      </c>
      <c r="E1036" s="160" t="s">
        <v>4435</v>
      </c>
      <c r="F1036" s="160" t="s">
        <v>4447</v>
      </c>
      <c r="G1036" s="163">
        <v>8</v>
      </c>
      <c r="H1036" s="160" t="s">
        <v>4437</v>
      </c>
      <c r="I1036" s="164">
        <v>45189</v>
      </c>
      <c r="J1036" s="169">
        <v>60000</v>
      </c>
      <c r="K1036" s="160" t="s">
        <v>13</v>
      </c>
    </row>
    <row r="1037" spans="1:11" x14ac:dyDescent="0.3">
      <c r="A1037" s="160">
        <v>1</v>
      </c>
      <c r="B1037" s="160">
        <v>4826690002</v>
      </c>
      <c r="C1037" s="160" t="s">
        <v>3546</v>
      </c>
      <c r="D1037" s="160" t="s">
        <v>4404</v>
      </c>
      <c r="E1037" s="160" t="s">
        <v>4435</v>
      </c>
      <c r="F1037" s="160" t="s">
        <v>4448</v>
      </c>
      <c r="G1037" s="163">
        <v>9</v>
      </c>
      <c r="H1037" s="160" t="s">
        <v>4449</v>
      </c>
      <c r="I1037" s="164">
        <v>45533</v>
      </c>
      <c r="J1037" s="169">
        <v>60000</v>
      </c>
      <c r="K1037" s="160" t="s">
        <v>13</v>
      </c>
    </row>
    <row r="1038" spans="1:11" x14ac:dyDescent="0.3">
      <c r="A1038" s="160">
        <v>1</v>
      </c>
      <c r="C1038" s="160" t="s">
        <v>3546</v>
      </c>
      <c r="D1038" s="160" t="s">
        <v>4404</v>
      </c>
      <c r="F1038" s="160" t="s">
        <v>4450</v>
      </c>
      <c r="G1038" s="163">
        <v>1</v>
      </c>
      <c r="H1038" s="160" t="s">
        <v>4451</v>
      </c>
      <c r="I1038" s="164">
        <v>40422</v>
      </c>
      <c r="J1038" s="166">
        <v>5000</v>
      </c>
      <c r="K1038" s="168" t="s">
        <v>13</v>
      </c>
    </row>
    <row r="1039" spans="1:11" x14ac:dyDescent="0.3">
      <c r="A1039" s="160">
        <v>1</v>
      </c>
      <c r="C1039" s="160" t="s">
        <v>3546</v>
      </c>
      <c r="D1039" s="160" t="s">
        <v>4404</v>
      </c>
      <c r="F1039" s="160" t="s">
        <v>4452</v>
      </c>
      <c r="G1039" s="163">
        <v>1</v>
      </c>
      <c r="H1039" s="160" t="s">
        <v>4453</v>
      </c>
      <c r="I1039" s="164">
        <v>40134</v>
      </c>
      <c r="J1039" s="166">
        <v>3000</v>
      </c>
      <c r="K1039" s="168" t="s">
        <v>13</v>
      </c>
    </row>
    <row r="1040" spans="1:11" x14ac:dyDescent="0.3">
      <c r="A1040" s="160">
        <v>1</v>
      </c>
      <c r="B1040" s="160" t="s">
        <v>4454</v>
      </c>
      <c r="C1040" s="160" t="s">
        <v>3546</v>
      </c>
      <c r="D1040" s="160" t="s">
        <v>4404</v>
      </c>
      <c r="E1040" s="160" t="s">
        <v>4455</v>
      </c>
      <c r="F1040" s="160" t="s">
        <v>4456</v>
      </c>
      <c r="G1040" s="163">
        <v>1</v>
      </c>
      <c r="H1040" s="160" t="s">
        <v>4457</v>
      </c>
      <c r="I1040" s="164">
        <v>41382</v>
      </c>
      <c r="J1040" s="166">
        <v>10000</v>
      </c>
      <c r="K1040" s="168" t="s">
        <v>13</v>
      </c>
    </row>
    <row r="1041" spans="1:11" x14ac:dyDescent="0.3">
      <c r="A1041" s="160">
        <v>1</v>
      </c>
      <c r="B1041" s="160" t="s">
        <v>4458</v>
      </c>
      <c r="C1041" s="160" t="s">
        <v>3546</v>
      </c>
      <c r="D1041" s="160" t="s">
        <v>4404</v>
      </c>
      <c r="E1041" s="160" t="s">
        <v>4455</v>
      </c>
      <c r="F1041" s="160" t="s">
        <v>4459</v>
      </c>
      <c r="G1041" s="163">
        <v>2</v>
      </c>
      <c r="H1041" s="160" t="s">
        <v>4457</v>
      </c>
      <c r="I1041" s="164">
        <v>41921</v>
      </c>
      <c r="J1041" s="166">
        <v>5000</v>
      </c>
      <c r="K1041" s="168" t="s">
        <v>13</v>
      </c>
    </row>
    <row r="1042" spans="1:11" x14ac:dyDescent="0.3">
      <c r="A1042" s="160">
        <v>1</v>
      </c>
      <c r="B1042" s="160" t="s">
        <v>4460</v>
      </c>
      <c r="C1042" s="160" t="s">
        <v>3546</v>
      </c>
      <c r="D1042" s="160" t="s">
        <v>4404</v>
      </c>
      <c r="E1042" s="160" t="s">
        <v>4455</v>
      </c>
      <c r="F1042" s="160" t="s">
        <v>4461</v>
      </c>
      <c r="G1042" s="163">
        <v>3</v>
      </c>
      <c r="H1042" s="160" t="s">
        <v>4457</v>
      </c>
      <c r="I1042" s="164">
        <v>42142</v>
      </c>
      <c r="J1042" s="166">
        <v>5000</v>
      </c>
      <c r="K1042" s="168" t="s">
        <v>13</v>
      </c>
    </row>
    <row r="1043" spans="1:11" x14ac:dyDescent="0.3">
      <c r="A1043" s="160">
        <v>1</v>
      </c>
      <c r="B1043" s="160" t="s">
        <v>4462</v>
      </c>
      <c r="C1043" s="160" t="s">
        <v>3546</v>
      </c>
      <c r="D1043" s="160" t="s">
        <v>4404</v>
      </c>
      <c r="E1043" s="160" t="s">
        <v>4455</v>
      </c>
      <c r="F1043" s="160" t="s">
        <v>4463</v>
      </c>
      <c r="G1043" s="163">
        <v>4</v>
      </c>
      <c r="H1043" s="160" t="s">
        <v>4457</v>
      </c>
      <c r="I1043" s="164">
        <v>42398</v>
      </c>
      <c r="J1043" s="166">
        <v>15000</v>
      </c>
      <c r="K1043" s="168" t="s">
        <v>13</v>
      </c>
    </row>
    <row r="1044" spans="1:11" x14ac:dyDescent="0.3">
      <c r="A1044" s="160">
        <v>1</v>
      </c>
      <c r="B1044" s="160">
        <v>100123</v>
      </c>
      <c r="C1044" s="160" t="s">
        <v>3546</v>
      </c>
      <c r="D1044" s="160" t="s">
        <v>4404</v>
      </c>
      <c r="E1044" s="160" t="s">
        <v>4455</v>
      </c>
      <c r="F1044" s="160" t="s">
        <v>4464</v>
      </c>
      <c r="G1044" s="163">
        <v>5</v>
      </c>
      <c r="H1044" s="160" t="s">
        <v>4457</v>
      </c>
      <c r="I1044" s="164">
        <v>44372</v>
      </c>
      <c r="J1044" s="165">
        <v>20000</v>
      </c>
      <c r="K1044" s="160" t="s">
        <v>13</v>
      </c>
    </row>
    <row r="1045" spans="1:11" x14ac:dyDescent="0.3">
      <c r="A1045" s="160">
        <v>1</v>
      </c>
      <c r="B1045" s="160">
        <v>11252220</v>
      </c>
      <c r="C1045" s="160" t="s">
        <v>3546</v>
      </c>
      <c r="D1045" s="160" t="s">
        <v>4404</v>
      </c>
      <c r="E1045" s="160" t="s">
        <v>4455</v>
      </c>
      <c r="F1045" s="160" t="s">
        <v>4465</v>
      </c>
      <c r="G1045" s="163">
        <v>6</v>
      </c>
      <c r="H1045" s="160" t="s">
        <v>4457</v>
      </c>
      <c r="I1045" s="164">
        <v>45012</v>
      </c>
      <c r="J1045" s="165">
        <v>30000</v>
      </c>
      <c r="K1045" s="160" t="s">
        <v>13</v>
      </c>
    </row>
    <row r="1046" spans="1:11" x14ac:dyDescent="0.3">
      <c r="A1046" s="160">
        <v>1</v>
      </c>
      <c r="B1046" s="160">
        <v>403820001</v>
      </c>
      <c r="C1046" s="160" t="s">
        <v>3546</v>
      </c>
      <c r="D1046" s="160" t="s">
        <v>4404</v>
      </c>
      <c r="E1046" s="160" t="s">
        <v>4455</v>
      </c>
      <c r="F1046" s="160" t="s">
        <v>4466</v>
      </c>
      <c r="G1046" s="163">
        <v>7</v>
      </c>
      <c r="H1046" s="160" t="s">
        <v>4457</v>
      </c>
      <c r="I1046" s="164">
        <v>45679</v>
      </c>
      <c r="J1046" s="165">
        <v>20000</v>
      </c>
      <c r="K1046" s="160" t="s">
        <v>13</v>
      </c>
    </row>
    <row r="1047" spans="1:11" ht="14.5" customHeight="1" x14ac:dyDescent="0.3">
      <c r="A1047" s="160">
        <v>1</v>
      </c>
      <c r="C1047" s="160" t="s">
        <v>3546</v>
      </c>
      <c r="D1047" s="160" t="s">
        <v>4404</v>
      </c>
      <c r="F1047" s="160" t="s">
        <v>4467</v>
      </c>
      <c r="G1047" s="163">
        <v>1</v>
      </c>
      <c r="H1047" s="160" t="s">
        <v>4468</v>
      </c>
      <c r="I1047" s="164">
        <v>40673</v>
      </c>
      <c r="J1047" s="166">
        <v>2000</v>
      </c>
      <c r="K1047" s="175" t="s">
        <v>55</v>
      </c>
    </row>
    <row r="1048" spans="1:11" x14ac:dyDescent="0.3">
      <c r="A1048" s="160">
        <v>1</v>
      </c>
      <c r="C1048" s="160" t="s">
        <v>3546</v>
      </c>
      <c r="D1048" s="160" t="s">
        <v>4404</v>
      </c>
      <c r="F1048" s="160" t="s">
        <v>4469</v>
      </c>
      <c r="G1048" s="163">
        <v>2</v>
      </c>
      <c r="H1048" s="160" t="s">
        <v>4468</v>
      </c>
      <c r="I1048" s="164">
        <v>41115</v>
      </c>
      <c r="J1048" s="166">
        <v>3000</v>
      </c>
      <c r="K1048" s="168" t="s">
        <v>13</v>
      </c>
    </row>
    <row r="1049" spans="1:11" ht="14.5" customHeight="1" x14ac:dyDescent="0.3">
      <c r="A1049" s="160">
        <v>1</v>
      </c>
      <c r="C1049" s="160" t="s">
        <v>3546</v>
      </c>
      <c r="D1049" s="160" t="s">
        <v>4404</v>
      </c>
      <c r="F1049" s="160" t="s">
        <v>3314</v>
      </c>
      <c r="G1049" s="163">
        <v>1</v>
      </c>
      <c r="H1049" s="160" t="s">
        <v>3315</v>
      </c>
      <c r="I1049" s="164">
        <v>40134</v>
      </c>
      <c r="J1049" s="166">
        <v>500</v>
      </c>
      <c r="K1049" s="170" t="s">
        <v>2410</v>
      </c>
    </row>
    <row r="1050" spans="1:11" ht="14.5" customHeight="1" x14ac:dyDescent="0.3">
      <c r="A1050" s="160">
        <v>1</v>
      </c>
      <c r="C1050" s="160" t="s">
        <v>3546</v>
      </c>
      <c r="D1050" s="160" t="s">
        <v>4404</v>
      </c>
      <c r="F1050" s="160" t="s">
        <v>4470</v>
      </c>
      <c r="G1050" s="163">
        <v>2</v>
      </c>
      <c r="H1050" s="160" t="s">
        <v>3315</v>
      </c>
      <c r="I1050" s="164">
        <v>40262</v>
      </c>
      <c r="J1050" s="166">
        <v>3000</v>
      </c>
      <c r="K1050" s="175" t="s">
        <v>55</v>
      </c>
    </row>
    <row r="1051" spans="1:11" x14ac:dyDescent="0.3">
      <c r="A1051" s="160">
        <v>1</v>
      </c>
      <c r="C1051" s="160" t="s">
        <v>3546</v>
      </c>
      <c r="D1051" s="160" t="s">
        <v>4404</v>
      </c>
      <c r="F1051" s="160" t="s">
        <v>4471</v>
      </c>
      <c r="G1051" s="163">
        <v>1</v>
      </c>
      <c r="H1051" s="160" t="s">
        <v>4472</v>
      </c>
      <c r="I1051" s="164">
        <v>40134</v>
      </c>
      <c r="J1051" s="166">
        <v>2000</v>
      </c>
      <c r="K1051" s="168" t="s">
        <v>13</v>
      </c>
    </row>
    <row r="1052" spans="1:11" x14ac:dyDescent="0.3">
      <c r="A1052" s="160">
        <v>1</v>
      </c>
      <c r="C1052" s="160" t="s">
        <v>3546</v>
      </c>
      <c r="D1052" s="160" t="s">
        <v>4404</v>
      </c>
      <c r="F1052" s="160" t="s">
        <v>4473</v>
      </c>
      <c r="G1052" s="163">
        <v>2</v>
      </c>
      <c r="H1052" s="160" t="s">
        <v>4472</v>
      </c>
      <c r="I1052" s="164">
        <v>41109</v>
      </c>
      <c r="J1052" s="166">
        <v>3000</v>
      </c>
      <c r="K1052" s="168" t="s">
        <v>13</v>
      </c>
    </row>
    <row r="1053" spans="1:11" x14ac:dyDescent="0.3">
      <c r="A1053" s="160">
        <v>1</v>
      </c>
      <c r="B1053" s="160" t="s">
        <v>4474</v>
      </c>
      <c r="C1053" s="160" t="s">
        <v>3546</v>
      </c>
      <c r="D1053" s="160" t="s">
        <v>4404</v>
      </c>
      <c r="E1053" s="160" t="s">
        <v>4475</v>
      </c>
      <c r="F1053" s="160" t="s">
        <v>4476</v>
      </c>
      <c r="G1053" s="163">
        <v>1</v>
      </c>
      <c r="H1053" s="160" t="s">
        <v>4477</v>
      </c>
      <c r="I1053" s="164">
        <v>41745</v>
      </c>
      <c r="J1053" s="166">
        <v>2000</v>
      </c>
      <c r="K1053" s="168" t="s">
        <v>13</v>
      </c>
    </row>
    <row r="1054" spans="1:11" ht="14.5" customHeight="1" x14ac:dyDescent="0.3">
      <c r="A1054" s="160">
        <v>1</v>
      </c>
      <c r="C1054" s="160" t="s">
        <v>3546</v>
      </c>
      <c r="D1054" s="160" t="s">
        <v>4404</v>
      </c>
      <c r="F1054" s="160" t="s">
        <v>4478</v>
      </c>
      <c r="G1054" s="163">
        <v>1</v>
      </c>
      <c r="H1054" s="160" t="s">
        <v>4479</v>
      </c>
      <c r="I1054" s="164">
        <v>40134</v>
      </c>
      <c r="J1054" s="166">
        <v>2000</v>
      </c>
      <c r="K1054" s="175" t="s">
        <v>55</v>
      </c>
    </row>
    <row r="1055" spans="1:11" ht="13" customHeight="1" x14ac:dyDescent="0.3">
      <c r="A1055" s="160">
        <v>1</v>
      </c>
      <c r="B1055" s="160" t="s">
        <v>4480</v>
      </c>
      <c r="C1055" s="160" t="s">
        <v>3546</v>
      </c>
      <c r="D1055" s="160" t="s">
        <v>4404</v>
      </c>
      <c r="E1055" s="160" t="s">
        <v>4481</v>
      </c>
      <c r="F1055" s="160" t="s">
        <v>4482</v>
      </c>
      <c r="G1055" s="163">
        <v>1</v>
      </c>
      <c r="H1055" s="160" t="s">
        <v>4483</v>
      </c>
      <c r="I1055" s="164">
        <v>41506</v>
      </c>
      <c r="J1055" s="166">
        <v>5000</v>
      </c>
      <c r="K1055" s="168" t="s">
        <v>13</v>
      </c>
    </row>
    <row r="1056" spans="1:11" ht="13" customHeight="1" x14ac:dyDescent="0.3">
      <c r="A1056" s="160">
        <v>1</v>
      </c>
      <c r="B1056" s="160" t="s">
        <v>4484</v>
      </c>
      <c r="C1056" s="160" t="s">
        <v>3546</v>
      </c>
      <c r="D1056" s="160" t="s">
        <v>4404</v>
      </c>
      <c r="E1056" s="160" t="s">
        <v>4481</v>
      </c>
      <c r="F1056" s="160" t="s">
        <v>4485</v>
      </c>
      <c r="G1056" s="163">
        <v>2</v>
      </c>
      <c r="H1056" s="160" t="s">
        <v>4483</v>
      </c>
      <c r="I1056" s="164">
        <v>41866</v>
      </c>
      <c r="J1056" s="166">
        <v>5000</v>
      </c>
      <c r="K1056" s="168" t="s">
        <v>13</v>
      </c>
    </row>
    <row r="1057" spans="1:11" ht="13" customHeight="1" x14ac:dyDescent="0.3">
      <c r="A1057" s="160">
        <v>1</v>
      </c>
      <c r="C1057" s="160" t="s">
        <v>3546</v>
      </c>
      <c r="D1057" s="160" t="s">
        <v>4404</v>
      </c>
      <c r="F1057" s="160" t="s">
        <v>4486</v>
      </c>
      <c r="G1057" s="163">
        <v>1</v>
      </c>
      <c r="H1057" s="160" t="s">
        <v>4487</v>
      </c>
      <c r="I1057" s="164">
        <v>40240</v>
      </c>
      <c r="J1057" s="166">
        <v>3000</v>
      </c>
      <c r="K1057" s="168" t="s">
        <v>13</v>
      </c>
    </row>
    <row r="1058" spans="1:11" ht="14.5" customHeight="1" x14ac:dyDescent="0.3">
      <c r="A1058" s="160">
        <v>1</v>
      </c>
      <c r="C1058" s="160" t="s">
        <v>3546</v>
      </c>
      <c r="D1058" s="160" t="s">
        <v>4404</v>
      </c>
      <c r="F1058" s="160" t="s">
        <v>4488</v>
      </c>
      <c r="G1058" s="163">
        <v>1</v>
      </c>
      <c r="H1058" s="160" t="s">
        <v>4489</v>
      </c>
      <c r="I1058" s="164">
        <v>40156</v>
      </c>
      <c r="J1058" s="166">
        <v>5000</v>
      </c>
      <c r="K1058" s="175" t="s">
        <v>55</v>
      </c>
    </row>
    <row r="1059" spans="1:11" ht="13" customHeight="1" x14ac:dyDescent="0.3">
      <c r="A1059" s="160">
        <v>1</v>
      </c>
      <c r="C1059" s="160" t="s">
        <v>3546</v>
      </c>
      <c r="D1059" s="160" t="s">
        <v>4404</v>
      </c>
      <c r="F1059" s="160" t="s">
        <v>4490</v>
      </c>
      <c r="G1059" s="163">
        <v>2</v>
      </c>
      <c r="H1059" s="160" t="s">
        <v>4489</v>
      </c>
      <c r="I1059" s="164">
        <v>40533</v>
      </c>
      <c r="J1059" s="166">
        <v>5000</v>
      </c>
      <c r="K1059" s="168" t="s">
        <v>13</v>
      </c>
    </row>
    <row r="1060" spans="1:11" ht="14.5" customHeight="1" x14ac:dyDescent="0.3">
      <c r="A1060" s="160">
        <v>1</v>
      </c>
      <c r="C1060" s="160" t="s">
        <v>3546</v>
      </c>
      <c r="D1060" s="160" t="s">
        <v>4404</v>
      </c>
      <c r="F1060" s="160" t="s">
        <v>4491</v>
      </c>
      <c r="G1060" s="163">
        <v>3</v>
      </c>
      <c r="H1060" s="160" t="s">
        <v>4489</v>
      </c>
      <c r="I1060" s="164">
        <v>41235</v>
      </c>
      <c r="J1060" s="166">
        <v>8000</v>
      </c>
      <c r="K1060" s="167" t="s">
        <v>70</v>
      </c>
    </row>
    <row r="1061" spans="1:11" ht="14.5" customHeight="1" x14ac:dyDescent="0.3">
      <c r="A1061" s="160">
        <v>1</v>
      </c>
      <c r="C1061" s="160" t="s">
        <v>3546</v>
      </c>
      <c r="D1061" s="160" t="s">
        <v>4404</v>
      </c>
      <c r="F1061" s="160" t="s">
        <v>4492</v>
      </c>
      <c r="G1061" s="163">
        <v>4</v>
      </c>
      <c r="H1061" s="160" t="s">
        <v>4489</v>
      </c>
      <c r="I1061" s="164">
        <v>41255</v>
      </c>
      <c r="J1061" s="166">
        <v>4500</v>
      </c>
      <c r="K1061" s="167" t="s">
        <v>70</v>
      </c>
    </row>
    <row r="1062" spans="1:11" x14ac:dyDescent="0.3">
      <c r="A1062" s="160">
        <v>1</v>
      </c>
      <c r="C1062" s="160" t="s">
        <v>3546</v>
      </c>
      <c r="D1062" s="160" t="s">
        <v>4404</v>
      </c>
      <c r="F1062" s="160" t="s">
        <v>4493</v>
      </c>
      <c r="G1062" s="163">
        <v>1</v>
      </c>
      <c r="H1062" s="160" t="s">
        <v>4494</v>
      </c>
      <c r="I1062" s="164">
        <v>41235</v>
      </c>
      <c r="J1062" s="166">
        <v>8000</v>
      </c>
      <c r="K1062" s="168" t="s">
        <v>13</v>
      </c>
    </row>
    <row r="1063" spans="1:11" x14ac:dyDescent="0.3">
      <c r="A1063" s="160">
        <v>1</v>
      </c>
      <c r="B1063" s="160" t="s">
        <v>4495</v>
      </c>
      <c r="C1063" s="160" t="s">
        <v>4496</v>
      </c>
      <c r="D1063" s="160" t="s">
        <v>4497</v>
      </c>
      <c r="E1063" s="160" t="s">
        <v>4498</v>
      </c>
      <c r="F1063" s="160" t="s">
        <v>4499</v>
      </c>
      <c r="G1063" s="163">
        <v>1</v>
      </c>
      <c r="H1063" s="160" t="s">
        <v>4500</v>
      </c>
      <c r="I1063" s="164">
        <v>42969</v>
      </c>
      <c r="J1063" s="169">
        <v>30000</v>
      </c>
      <c r="K1063" s="160" t="s">
        <v>13</v>
      </c>
    </row>
    <row r="1064" spans="1:11" x14ac:dyDescent="0.3">
      <c r="I1064" s="164"/>
      <c r="J1064" s="169"/>
    </row>
    <row r="1065" spans="1:11" x14ac:dyDescent="0.3">
      <c r="I1065" s="164"/>
      <c r="J1065" s="169"/>
    </row>
    <row r="1066" spans="1:11" x14ac:dyDescent="0.3">
      <c r="A1066" s="161">
        <f>SUM(A2:A1065)</f>
        <v>1062</v>
      </c>
      <c r="B1066" s="160" t="s">
        <v>4501</v>
      </c>
      <c r="J1066" s="180">
        <f>SUM(J2:J1065)</f>
        <v>56295852</v>
      </c>
      <c r="K1066" s="103" t="s">
        <v>4501</v>
      </c>
    </row>
    <row r="1067" spans="1:11" x14ac:dyDescent="0.3">
      <c r="J1067" s="180">
        <f>J1066/A1066</f>
        <v>53009.276836158191</v>
      </c>
      <c r="K1067" s="103" t="s">
        <v>4502</v>
      </c>
    </row>
    <row r="1070" spans="1:11" x14ac:dyDescent="0.3">
      <c r="G1070" s="160"/>
      <c r="J1070" s="169"/>
    </row>
    <row r="1071" spans="1:11" x14ac:dyDescent="0.3">
      <c r="G1071" s="160"/>
      <c r="J1071" s="181"/>
    </row>
    <row r="1080" spans="7:12" x14ac:dyDescent="0.3">
      <c r="G1080" s="160"/>
      <c r="I1080" s="182"/>
      <c r="J1080" s="181"/>
      <c r="K1080" s="181"/>
      <c r="L1080" s="183"/>
    </row>
    <row r="1082" spans="7:12" x14ac:dyDescent="0.3">
      <c r="G1082" s="160"/>
      <c r="J1082" s="181"/>
    </row>
  </sheetData>
  <autoFilter ref="A1:K1063" xr:uid="{6FB3DAD2-B55D-4045-A540-711039593467}">
    <sortState xmlns:xlrd2="http://schemas.microsoft.com/office/spreadsheetml/2017/richdata2" ref="A2:K1063">
      <sortCondition ref="D1:D1063"/>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6B54F-3A0B-460B-9E20-03B5CDA033E3}">
  <sheetPr codeName="Sheet6"/>
  <dimension ref="A1:T120"/>
  <sheetViews>
    <sheetView topLeftCell="A42" zoomScale="80" zoomScaleNormal="80" workbookViewId="0">
      <selection activeCell="D21" sqref="D21"/>
    </sheetView>
  </sheetViews>
  <sheetFormatPr defaultColWidth="8.7265625" defaultRowHeight="14.5" x14ac:dyDescent="0.35"/>
  <cols>
    <col min="1" max="1" width="12.7265625" customWidth="1"/>
    <col min="2" max="2" width="18.1796875" bestFit="1" customWidth="1"/>
    <col min="3" max="3" width="14.1796875" bestFit="1" customWidth="1"/>
    <col min="5" max="5" width="21.1796875" customWidth="1"/>
    <col min="7" max="7" width="48.54296875" customWidth="1"/>
    <col min="8" max="8" width="7" customWidth="1"/>
    <col min="9" max="9" width="12.1796875" bestFit="1" customWidth="1"/>
    <col min="10" max="10" width="16.54296875" style="105" bestFit="1" customWidth="1"/>
    <col min="13" max="13" width="12.7265625" bestFit="1" customWidth="1"/>
    <col min="14" max="14" width="10.26953125" bestFit="1" customWidth="1"/>
    <col min="20" max="20" width="16.1796875" bestFit="1" customWidth="1"/>
  </cols>
  <sheetData>
    <row r="1" spans="1:20" ht="15" thickBot="1" x14ac:dyDescent="0.4"/>
    <row r="2" spans="1:20" x14ac:dyDescent="0.35">
      <c r="B2" s="4" t="s">
        <v>147</v>
      </c>
    </row>
    <row r="3" spans="1:20" x14ac:dyDescent="0.35">
      <c r="A3" s="5" t="s">
        <v>0</v>
      </c>
      <c r="B3" s="5" t="s">
        <v>1</v>
      </c>
      <c r="C3" s="5" t="s">
        <v>2</v>
      </c>
      <c r="D3" s="5" t="s">
        <v>3</v>
      </c>
      <c r="E3" s="5" t="s">
        <v>4</v>
      </c>
      <c r="F3" s="5" t="s">
        <v>5</v>
      </c>
      <c r="G3" s="5" t="s">
        <v>6</v>
      </c>
      <c r="H3" s="5" t="s">
        <v>100</v>
      </c>
      <c r="I3" s="5" t="s">
        <v>7</v>
      </c>
      <c r="J3" s="107" t="s">
        <v>8</v>
      </c>
      <c r="K3" s="5" t="s">
        <v>9</v>
      </c>
      <c r="L3" s="5" t="s">
        <v>10</v>
      </c>
      <c r="M3" s="5" t="s">
        <v>11</v>
      </c>
      <c r="N3" s="5" t="s">
        <v>562</v>
      </c>
      <c r="O3" s="5" t="s">
        <v>563</v>
      </c>
      <c r="P3" s="5" t="s">
        <v>564</v>
      </c>
      <c r="Q3" s="5" t="s">
        <v>565</v>
      </c>
      <c r="R3" s="5" t="s">
        <v>566</v>
      </c>
      <c r="S3" s="5" t="s">
        <v>567</v>
      </c>
      <c r="T3" s="5" t="s">
        <v>568</v>
      </c>
    </row>
    <row r="4" spans="1:20" x14ac:dyDescent="0.35">
      <c r="A4" s="6">
        <v>4863090002</v>
      </c>
      <c r="B4" s="6" t="s">
        <v>29</v>
      </c>
      <c r="C4" s="6" t="s">
        <v>4503</v>
      </c>
      <c r="D4" s="6">
        <v>2040</v>
      </c>
      <c r="E4" s="6" t="s">
        <v>432</v>
      </c>
      <c r="F4" s="6">
        <v>486309</v>
      </c>
      <c r="G4" s="6" t="s">
        <v>217</v>
      </c>
      <c r="H4" s="6">
        <v>4</v>
      </c>
      <c r="I4" s="6">
        <v>20250129</v>
      </c>
      <c r="J4" s="106">
        <v>45715</v>
      </c>
      <c r="K4" s="6" t="s">
        <v>4504</v>
      </c>
      <c r="L4" s="6" t="s">
        <v>17</v>
      </c>
      <c r="M4" s="134">
        <v>30000</v>
      </c>
      <c r="N4" s="6">
        <v>378</v>
      </c>
      <c r="O4" s="6">
        <v>17</v>
      </c>
      <c r="P4" s="6">
        <v>200</v>
      </c>
      <c r="Q4" s="6">
        <v>15</v>
      </c>
      <c r="R4" s="6">
        <v>7</v>
      </c>
      <c r="S4" s="6">
        <v>14</v>
      </c>
      <c r="T4" s="6" t="s">
        <v>583</v>
      </c>
    </row>
    <row r="5" spans="1:20" x14ac:dyDescent="0.35">
      <c r="A5" s="6">
        <v>5523200002</v>
      </c>
      <c r="B5" s="6" t="s">
        <v>29</v>
      </c>
      <c r="C5" s="41" t="s">
        <v>4503</v>
      </c>
      <c r="D5" s="6">
        <v>2037</v>
      </c>
      <c r="E5" s="6" t="s">
        <v>432</v>
      </c>
      <c r="F5" s="6">
        <v>552320</v>
      </c>
      <c r="G5" s="6" t="s">
        <v>438</v>
      </c>
      <c r="H5" s="6">
        <v>3</v>
      </c>
      <c r="I5" s="6">
        <v>20250127</v>
      </c>
      <c r="J5" s="7">
        <v>45723</v>
      </c>
      <c r="K5" s="6" t="s">
        <v>481</v>
      </c>
      <c r="L5" s="6" t="s">
        <v>17</v>
      </c>
      <c r="M5" s="11">
        <v>60000</v>
      </c>
      <c r="N5" s="6">
        <v>150</v>
      </c>
      <c r="O5" s="6">
        <v>13</v>
      </c>
      <c r="P5" s="6">
        <v>850</v>
      </c>
      <c r="Q5" s="6">
        <v>5.2</v>
      </c>
      <c r="R5" s="6">
        <v>12</v>
      </c>
      <c r="S5" s="6">
        <v>14</v>
      </c>
      <c r="T5" s="6" t="s">
        <v>4505</v>
      </c>
    </row>
    <row r="6" spans="1:20" x14ac:dyDescent="0.35">
      <c r="A6" s="6">
        <v>4898270001</v>
      </c>
      <c r="B6" s="6" t="s">
        <v>29</v>
      </c>
      <c r="C6" s="6" t="s">
        <v>4503</v>
      </c>
      <c r="D6" s="6">
        <v>2017</v>
      </c>
      <c r="E6" s="6" t="s">
        <v>432</v>
      </c>
      <c r="F6" s="6">
        <v>489827</v>
      </c>
      <c r="G6" s="6" t="s">
        <v>263</v>
      </c>
      <c r="H6" s="6">
        <v>3</v>
      </c>
      <c r="I6" s="6">
        <v>20250129</v>
      </c>
      <c r="J6" s="106">
        <v>45730</v>
      </c>
      <c r="K6" s="6" t="s">
        <v>325</v>
      </c>
      <c r="L6" s="6" t="s">
        <v>17</v>
      </c>
      <c r="M6" s="134">
        <v>100000</v>
      </c>
      <c r="N6" s="6">
        <v>550</v>
      </c>
      <c r="O6" s="6">
        <v>14</v>
      </c>
      <c r="P6" s="6">
        <v>350</v>
      </c>
      <c r="Q6" s="6">
        <v>10</v>
      </c>
      <c r="R6" s="6">
        <v>12</v>
      </c>
      <c r="S6" s="6">
        <v>13</v>
      </c>
      <c r="T6" s="6" t="s">
        <v>583</v>
      </c>
    </row>
    <row r="7" spans="1:20" x14ac:dyDescent="0.35">
      <c r="A7" s="6">
        <v>3266940001</v>
      </c>
      <c r="B7" s="6" t="s">
        <v>44</v>
      </c>
      <c r="C7" s="6" t="s">
        <v>4503</v>
      </c>
      <c r="D7" s="6">
        <v>5010</v>
      </c>
      <c r="E7" s="6" t="s">
        <v>432</v>
      </c>
      <c r="F7" s="6">
        <v>326694</v>
      </c>
      <c r="G7" s="6" t="s">
        <v>329</v>
      </c>
      <c r="H7" s="6">
        <v>4</v>
      </c>
      <c r="I7" s="6">
        <v>20250115</v>
      </c>
      <c r="J7" s="106">
        <v>45719</v>
      </c>
      <c r="K7" s="6" t="s">
        <v>4506</v>
      </c>
      <c r="L7" s="6" t="s">
        <v>17</v>
      </c>
      <c r="M7" s="134">
        <v>100000</v>
      </c>
      <c r="N7" s="6">
        <v>368</v>
      </c>
      <c r="O7" s="6">
        <v>21</v>
      </c>
      <c r="P7" s="6">
        <v>200</v>
      </c>
      <c r="Q7" s="6">
        <v>3.5</v>
      </c>
      <c r="R7" s="6">
        <v>3</v>
      </c>
      <c r="S7" s="6">
        <v>17</v>
      </c>
      <c r="T7" s="6" t="s">
        <v>583</v>
      </c>
    </row>
    <row r="8" spans="1:20" x14ac:dyDescent="0.35">
      <c r="A8" s="6">
        <v>5016210003</v>
      </c>
      <c r="B8" s="6" t="s">
        <v>18</v>
      </c>
      <c r="C8" s="41" t="s">
        <v>4503</v>
      </c>
      <c r="D8" s="6">
        <v>41022</v>
      </c>
      <c r="E8" s="6" t="s">
        <v>432</v>
      </c>
      <c r="F8" s="6">
        <v>501621</v>
      </c>
      <c r="G8" s="6" t="s">
        <v>409</v>
      </c>
      <c r="H8" s="6">
        <v>4</v>
      </c>
      <c r="I8" s="6">
        <v>20250106</v>
      </c>
      <c r="J8" s="7">
        <v>45698</v>
      </c>
      <c r="K8" s="6" t="s">
        <v>312</v>
      </c>
      <c r="L8" s="6" t="s">
        <v>17</v>
      </c>
      <c r="M8" s="44">
        <v>70000</v>
      </c>
      <c r="N8" s="6">
        <v>617</v>
      </c>
      <c r="O8" s="6">
        <v>27</v>
      </c>
      <c r="P8" s="6">
        <v>200</v>
      </c>
      <c r="Q8" s="6">
        <v>6</v>
      </c>
      <c r="R8" s="6">
        <v>3</v>
      </c>
      <c r="S8" s="6">
        <v>13</v>
      </c>
      <c r="T8" s="6" t="s">
        <v>583</v>
      </c>
    </row>
    <row r="9" spans="1:20" x14ac:dyDescent="0.35">
      <c r="A9" s="6">
        <v>403820001</v>
      </c>
      <c r="B9" s="6" t="s">
        <v>35</v>
      </c>
      <c r="C9" s="41" t="s">
        <v>4503</v>
      </c>
      <c r="D9" s="6">
        <v>24011</v>
      </c>
      <c r="E9" s="6" t="s">
        <v>432</v>
      </c>
      <c r="F9" s="6">
        <v>40382</v>
      </c>
      <c r="G9" s="6" t="s">
        <v>4507</v>
      </c>
      <c r="H9" s="6">
        <v>7</v>
      </c>
      <c r="I9" s="6">
        <v>20250122</v>
      </c>
      <c r="J9" s="7">
        <v>45721</v>
      </c>
      <c r="K9" s="6" t="s">
        <v>4508</v>
      </c>
      <c r="L9" s="6" t="s">
        <v>17</v>
      </c>
      <c r="M9" s="11">
        <v>20000</v>
      </c>
      <c r="N9" s="6">
        <v>323</v>
      </c>
      <c r="O9" s="6">
        <v>15</v>
      </c>
      <c r="P9" s="6">
        <v>288</v>
      </c>
      <c r="Q9" s="6">
        <v>2</v>
      </c>
      <c r="R9" s="6">
        <v>2</v>
      </c>
      <c r="S9" s="6">
        <v>14</v>
      </c>
      <c r="T9" s="6" t="s">
        <v>583</v>
      </c>
    </row>
    <row r="10" spans="1:20" x14ac:dyDescent="0.35">
      <c r="M10" s="110">
        <f>SUM(M4:M9)</f>
        <v>380000</v>
      </c>
    </row>
    <row r="11" spans="1:20" x14ac:dyDescent="0.35">
      <c r="M11" s="96"/>
    </row>
    <row r="12" spans="1:20" x14ac:dyDescent="0.35">
      <c r="B12" s="114" t="s">
        <v>46</v>
      </c>
      <c r="J12"/>
    </row>
    <row r="13" spans="1:20" x14ac:dyDescent="0.35">
      <c r="A13" s="5" t="s">
        <v>0</v>
      </c>
      <c r="B13" s="5" t="s">
        <v>1</v>
      </c>
      <c r="C13" s="5" t="s">
        <v>2</v>
      </c>
      <c r="D13" s="5" t="s">
        <v>3</v>
      </c>
      <c r="E13" s="5" t="s">
        <v>4</v>
      </c>
      <c r="F13" s="5" t="s">
        <v>5</v>
      </c>
      <c r="G13" s="5" t="s">
        <v>6</v>
      </c>
      <c r="H13" s="5" t="s">
        <v>374</v>
      </c>
      <c r="I13" s="5" t="s">
        <v>7</v>
      </c>
      <c r="J13" s="5" t="s">
        <v>8</v>
      </c>
      <c r="K13" s="5" t="s">
        <v>9</v>
      </c>
      <c r="L13" s="5" t="s">
        <v>10</v>
      </c>
      <c r="M13" s="5" t="s">
        <v>11</v>
      </c>
      <c r="N13" s="5" t="s">
        <v>562</v>
      </c>
      <c r="O13" s="5" t="s">
        <v>563</v>
      </c>
      <c r="P13" s="5" t="s">
        <v>564</v>
      </c>
      <c r="Q13" s="5" t="s">
        <v>565</v>
      </c>
      <c r="R13" s="5" t="s">
        <v>566</v>
      </c>
      <c r="S13" s="5" t="s">
        <v>567</v>
      </c>
      <c r="T13" s="5" t="s">
        <v>568</v>
      </c>
    </row>
    <row r="14" spans="1:20" x14ac:dyDescent="0.35">
      <c r="A14" s="6">
        <v>4116680002</v>
      </c>
      <c r="B14" s="6" t="s">
        <v>58</v>
      </c>
      <c r="C14" s="6" t="s">
        <v>13</v>
      </c>
      <c r="D14" s="6">
        <v>30016</v>
      </c>
      <c r="E14" s="6" t="s">
        <v>432</v>
      </c>
      <c r="F14" s="6">
        <v>411668</v>
      </c>
      <c r="G14" s="6" t="s">
        <v>433</v>
      </c>
      <c r="H14" s="6">
        <v>3</v>
      </c>
      <c r="I14" s="6">
        <v>20250207</v>
      </c>
      <c r="J14" s="7">
        <v>45761</v>
      </c>
      <c r="K14" s="6" t="s">
        <v>297</v>
      </c>
      <c r="L14" s="6" t="s">
        <v>17</v>
      </c>
      <c r="M14" s="8">
        <v>400000</v>
      </c>
      <c r="N14" s="6">
        <v>625</v>
      </c>
      <c r="O14" s="6">
        <v>21</v>
      </c>
      <c r="P14" s="6">
        <v>200</v>
      </c>
      <c r="Q14" s="6">
        <v>8</v>
      </c>
      <c r="R14" s="6">
        <v>5</v>
      </c>
      <c r="S14" s="6">
        <v>20</v>
      </c>
      <c r="T14" s="6" t="s">
        <v>583</v>
      </c>
    </row>
    <row r="15" spans="1:20" x14ac:dyDescent="0.35">
      <c r="A15" s="6">
        <v>6140030004</v>
      </c>
      <c r="B15" s="6" t="s">
        <v>58</v>
      </c>
      <c r="C15" s="6" t="s">
        <v>13</v>
      </c>
      <c r="D15" s="6">
        <v>30016</v>
      </c>
      <c r="E15" s="6" t="s">
        <v>432</v>
      </c>
      <c r="F15" s="6">
        <v>614003</v>
      </c>
      <c r="G15" s="6" t="s">
        <v>528</v>
      </c>
      <c r="H15" s="6">
        <v>3</v>
      </c>
      <c r="I15" s="6">
        <v>20250227</v>
      </c>
      <c r="J15" s="7">
        <v>45793</v>
      </c>
      <c r="K15" s="6" t="s">
        <v>293</v>
      </c>
      <c r="L15" s="6" t="s">
        <v>17</v>
      </c>
      <c r="M15" s="8">
        <v>300000</v>
      </c>
      <c r="N15" s="6">
        <v>780</v>
      </c>
      <c r="O15" s="6">
        <v>26</v>
      </c>
      <c r="P15" s="6">
        <v>300</v>
      </c>
      <c r="Q15" s="6">
        <v>8</v>
      </c>
      <c r="R15" s="6">
        <v>6</v>
      </c>
      <c r="S15" s="6">
        <v>16</v>
      </c>
      <c r="T15" s="6" t="s">
        <v>583</v>
      </c>
    </row>
    <row r="16" spans="1:20" x14ac:dyDescent="0.35">
      <c r="A16" s="6">
        <v>5036510001</v>
      </c>
      <c r="B16" s="6" t="s">
        <v>58</v>
      </c>
      <c r="C16" s="6" t="s">
        <v>13</v>
      </c>
      <c r="D16" s="6">
        <v>30004</v>
      </c>
      <c r="E16" s="6" t="s">
        <v>432</v>
      </c>
      <c r="F16" s="6">
        <v>503651</v>
      </c>
      <c r="G16" s="6" t="s">
        <v>254</v>
      </c>
      <c r="H16" s="6">
        <v>3</v>
      </c>
      <c r="I16" s="6">
        <v>20250220</v>
      </c>
      <c r="J16" s="7">
        <v>45797</v>
      </c>
      <c r="K16" s="6" t="s">
        <v>4509</v>
      </c>
      <c r="L16" s="6" t="s">
        <v>17</v>
      </c>
      <c r="M16" s="8">
        <v>50000</v>
      </c>
      <c r="N16" s="6">
        <v>278</v>
      </c>
      <c r="O16" s="6">
        <v>14</v>
      </c>
      <c r="P16" s="6">
        <v>150</v>
      </c>
      <c r="Q16" s="6">
        <v>3</v>
      </c>
      <c r="R16" s="6">
        <v>2</v>
      </c>
      <c r="S16" s="6">
        <v>13</v>
      </c>
      <c r="T16" s="6" t="s">
        <v>4510</v>
      </c>
    </row>
    <row r="17" spans="1:20" x14ac:dyDescent="0.35">
      <c r="A17" s="6">
        <v>4921520002</v>
      </c>
      <c r="B17" s="6" t="s">
        <v>58</v>
      </c>
      <c r="C17" s="6" t="s">
        <v>70</v>
      </c>
      <c r="D17" s="6">
        <v>30016</v>
      </c>
      <c r="E17" s="6" t="s">
        <v>432</v>
      </c>
      <c r="F17" s="6">
        <v>492152</v>
      </c>
      <c r="G17" s="6" t="s">
        <v>203</v>
      </c>
      <c r="H17" s="6">
        <v>3</v>
      </c>
      <c r="I17" s="6">
        <v>20250213</v>
      </c>
      <c r="J17" s="7">
        <v>45793</v>
      </c>
      <c r="K17" s="6" t="s">
        <v>143</v>
      </c>
      <c r="L17" s="6" t="s">
        <v>17</v>
      </c>
      <c r="M17" s="8">
        <v>50000</v>
      </c>
      <c r="N17" s="6">
        <v>197</v>
      </c>
      <c r="O17" s="6">
        <v>8</v>
      </c>
      <c r="P17" s="6">
        <v>100</v>
      </c>
      <c r="Q17" s="6">
        <v>8</v>
      </c>
      <c r="R17" s="6">
        <v>6</v>
      </c>
      <c r="S17" s="6">
        <v>8</v>
      </c>
      <c r="T17" s="6" t="s">
        <v>586</v>
      </c>
    </row>
    <row r="18" spans="1:20" x14ac:dyDescent="0.35">
      <c r="A18" s="6">
        <v>6114740002</v>
      </c>
      <c r="B18" s="6" t="s">
        <v>58</v>
      </c>
      <c r="C18" s="6" t="s">
        <v>13</v>
      </c>
      <c r="D18" s="6">
        <v>30006</v>
      </c>
      <c r="E18" s="6" t="s">
        <v>432</v>
      </c>
      <c r="F18" s="6">
        <v>611474</v>
      </c>
      <c r="G18" s="6" t="s">
        <v>512</v>
      </c>
      <c r="H18" s="6">
        <v>2</v>
      </c>
      <c r="I18" s="6">
        <v>20250228</v>
      </c>
      <c r="J18" s="7">
        <v>45791</v>
      </c>
      <c r="K18" s="6" t="s">
        <v>4511</v>
      </c>
      <c r="L18" s="6" t="s">
        <v>17</v>
      </c>
      <c r="M18" s="8">
        <v>150000</v>
      </c>
      <c r="N18" s="6">
        <v>500</v>
      </c>
      <c r="O18" s="6">
        <v>15</v>
      </c>
      <c r="P18" s="138">
        <v>405</v>
      </c>
      <c r="Q18" s="6">
        <v>2.5</v>
      </c>
      <c r="R18" s="6">
        <v>2.5</v>
      </c>
      <c r="S18" s="6">
        <v>13</v>
      </c>
      <c r="T18" s="6" t="s">
        <v>583</v>
      </c>
    </row>
    <row r="19" spans="1:20" x14ac:dyDescent="0.35">
      <c r="A19" s="6">
        <v>5023130010</v>
      </c>
      <c r="B19" s="6" t="s">
        <v>29</v>
      </c>
      <c r="C19" s="6" t="s">
        <v>13</v>
      </c>
      <c r="D19" s="6">
        <v>38002</v>
      </c>
      <c r="E19" s="6" t="s">
        <v>432</v>
      </c>
      <c r="F19" s="6">
        <v>502313</v>
      </c>
      <c r="G19" s="6" t="s">
        <v>517</v>
      </c>
      <c r="H19" s="6">
        <v>3</v>
      </c>
      <c r="I19" s="6">
        <v>20250212</v>
      </c>
      <c r="J19" s="7">
        <v>45748</v>
      </c>
      <c r="K19" s="6" t="s">
        <v>131</v>
      </c>
      <c r="L19" s="6" t="s">
        <v>17</v>
      </c>
      <c r="M19" s="8">
        <v>200000</v>
      </c>
      <c r="N19" s="6">
        <v>982</v>
      </c>
      <c r="O19" s="6">
        <v>22</v>
      </c>
      <c r="P19" s="6">
        <v>640</v>
      </c>
      <c r="Q19" s="6">
        <v>6</v>
      </c>
      <c r="R19" s="6">
        <v>4</v>
      </c>
      <c r="S19" s="6">
        <v>28</v>
      </c>
      <c r="T19" s="6" t="s">
        <v>586</v>
      </c>
    </row>
    <row r="20" spans="1:20" x14ac:dyDescent="0.35">
      <c r="A20" s="6">
        <v>5294600004</v>
      </c>
      <c r="B20" s="6" t="s">
        <v>29</v>
      </c>
      <c r="C20" s="6" t="s">
        <v>13</v>
      </c>
      <c r="D20" s="6">
        <v>2023</v>
      </c>
      <c r="E20" s="6" t="s">
        <v>432</v>
      </c>
      <c r="F20" s="6">
        <v>529460</v>
      </c>
      <c r="G20" s="6" t="s">
        <v>356</v>
      </c>
      <c r="H20" s="6">
        <v>7</v>
      </c>
      <c r="I20" s="6">
        <v>20250228</v>
      </c>
      <c r="J20" s="7">
        <v>45775</v>
      </c>
      <c r="K20" s="6" t="s">
        <v>4512</v>
      </c>
      <c r="L20" s="6" t="s">
        <v>17</v>
      </c>
      <c r="M20" s="8">
        <v>500000</v>
      </c>
      <c r="N20" s="6">
        <v>626</v>
      </c>
      <c r="O20" s="6">
        <v>34</v>
      </c>
      <c r="P20" s="6">
        <v>1800</v>
      </c>
      <c r="Q20" s="6">
        <v>8</v>
      </c>
      <c r="R20" s="6">
        <v>8</v>
      </c>
      <c r="S20" s="6">
        <v>30</v>
      </c>
      <c r="T20" s="6" t="s">
        <v>583</v>
      </c>
    </row>
    <row r="21" spans="1:20" x14ac:dyDescent="0.35">
      <c r="A21" s="6">
        <v>3453790003</v>
      </c>
      <c r="B21" s="6" t="s">
        <v>29</v>
      </c>
      <c r="C21" s="6" t="s">
        <v>13</v>
      </c>
      <c r="D21" s="6">
        <v>2047</v>
      </c>
      <c r="E21" s="6" t="s">
        <v>432</v>
      </c>
      <c r="F21" s="6">
        <v>345379</v>
      </c>
      <c r="G21" s="6" t="s">
        <v>294</v>
      </c>
      <c r="H21" s="6">
        <v>5</v>
      </c>
      <c r="I21" s="6">
        <v>20250221</v>
      </c>
      <c r="J21" s="7">
        <v>45754</v>
      </c>
      <c r="K21" s="6" t="s">
        <v>28</v>
      </c>
      <c r="L21" s="6" t="s">
        <v>17</v>
      </c>
      <c r="M21" s="8">
        <v>50000</v>
      </c>
      <c r="N21" s="6">
        <v>245</v>
      </c>
      <c r="O21" s="6">
        <v>12</v>
      </c>
      <c r="P21" s="6">
        <v>250</v>
      </c>
      <c r="Q21" s="6">
        <v>10</v>
      </c>
      <c r="R21" s="6">
        <v>6</v>
      </c>
      <c r="S21" s="6">
        <v>10</v>
      </c>
      <c r="T21" s="6" t="s">
        <v>583</v>
      </c>
    </row>
    <row r="22" spans="1:20" x14ac:dyDescent="0.35">
      <c r="A22" s="6">
        <v>5751170002</v>
      </c>
      <c r="B22" s="6" t="s">
        <v>29</v>
      </c>
      <c r="C22" s="6" t="s">
        <v>13</v>
      </c>
      <c r="D22" s="6">
        <v>2045</v>
      </c>
      <c r="E22" s="6" t="s">
        <v>432</v>
      </c>
      <c r="F22" s="6">
        <v>575117</v>
      </c>
      <c r="G22" s="6" t="s">
        <v>507</v>
      </c>
      <c r="H22" s="6">
        <v>2</v>
      </c>
      <c r="I22" s="6">
        <v>20250220</v>
      </c>
      <c r="J22" s="7">
        <v>45735</v>
      </c>
      <c r="K22" s="6" t="s">
        <v>4513</v>
      </c>
      <c r="L22" s="6" t="s">
        <v>17</v>
      </c>
      <c r="M22" s="8">
        <v>25000</v>
      </c>
      <c r="N22" s="6">
        <v>147</v>
      </c>
      <c r="O22" s="6">
        <v>10</v>
      </c>
      <c r="P22" s="6">
        <v>300</v>
      </c>
      <c r="Q22" s="6">
        <v>6</v>
      </c>
      <c r="R22" s="6">
        <v>5</v>
      </c>
      <c r="S22" s="6">
        <v>8</v>
      </c>
      <c r="T22" s="6" t="s">
        <v>583</v>
      </c>
    </row>
    <row r="23" spans="1:20" x14ac:dyDescent="0.35">
      <c r="A23" s="6">
        <v>5446230003</v>
      </c>
      <c r="B23" s="6" t="s">
        <v>29</v>
      </c>
      <c r="C23" s="6" t="s">
        <v>70</v>
      </c>
      <c r="D23" s="6">
        <v>2037</v>
      </c>
      <c r="E23" s="6" t="s">
        <v>432</v>
      </c>
      <c r="F23" s="6">
        <v>544623</v>
      </c>
      <c r="G23" s="6" t="s">
        <v>394</v>
      </c>
      <c r="H23" s="6">
        <v>5</v>
      </c>
      <c r="I23" s="6">
        <v>20250203</v>
      </c>
      <c r="J23" s="7">
        <v>45733</v>
      </c>
      <c r="K23" s="6" t="s">
        <v>108</v>
      </c>
      <c r="L23" s="6" t="s">
        <v>17</v>
      </c>
      <c r="M23" s="8">
        <v>150000</v>
      </c>
      <c r="N23" s="6">
        <v>970</v>
      </c>
      <c r="O23" s="6">
        <v>28</v>
      </c>
      <c r="P23" s="6">
        <v>850</v>
      </c>
      <c r="Q23" s="6">
        <v>15</v>
      </c>
      <c r="R23" s="6">
        <v>0</v>
      </c>
      <c r="S23" s="6">
        <v>12</v>
      </c>
      <c r="T23" s="6" t="s">
        <v>583</v>
      </c>
    </row>
    <row r="24" spans="1:20" x14ac:dyDescent="0.35">
      <c r="A24" s="6">
        <v>4684140002</v>
      </c>
      <c r="B24" s="6" t="s">
        <v>44</v>
      </c>
      <c r="C24" s="6" t="s">
        <v>13</v>
      </c>
      <c r="D24" s="6">
        <v>5016</v>
      </c>
      <c r="E24" s="6" t="s">
        <v>432</v>
      </c>
      <c r="F24" s="6">
        <v>468414</v>
      </c>
      <c r="G24" s="6" t="s">
        <v>532</v>
      </c>
      <c r="H24" s="6">
        <v>3</v>
      </c>
      <c r="I24" s="6">
        <v>20250214</v>
      </c>
      <c r="J24" s="7">
        <v>45748</v>
      </c>
      <c r="K24" s="6" t="s">
        <v>54</v>
      </c>
      <c r="L24" s="6" t="s">
        <v>17</v>
      </c>
      <c r="M24" s="8">
        <v>130000</v>
      </c>
      <c r="N24" s="6">
        <v>271</v>
      </c>
      <c r="O24" s="6">
        <v>7</v>
      </c>
      <c r="P24" s="6">
        <v>250</v>
      </c>
      <c r="Q24" s="6">
        <v>7</v>
      </c>
      <c r="R24" s="6">
        <v>0</v>
      </c>
      <c r="S24" s="6">
        <v>13</v>
      </c>
      <c r="T24" s="6" t="s">
        <v>583</v>
      </c>
    </row>
    <row r="25" spans="1:20" x14ac:dyDescent="0.35">
      <c r="A25" s="6">
        <v>5200430003</v>
      </c>
      <c r="B25" s="6" t="s">
        <v>148</v>
      </c>
      <c r="C25" s="6" t="s">
        <v>13</v>
      </c>
      <c r="D25" s="6">
        <v>35011</v>
      </c>
      <c r="E25" s="6" t="s">
        <v>432</v>
      </c>
      <c r="F25" s="6">
        <v>520043</v>
      </c>
      <c r="G25" s="6" t="s">
        <v>161</v>
      </c>
      <c r="H25" s="6">
        <v>8</v>
      </c>
      <c r="I25" s="6">
        <v>20250227</v>
      </c>
      <c r="J25" s="7">
        <v>45789</v>
      </c>
      <c r="K25" s="6" t="s">
        <v>547</v>
      </c>
      <c r="L25" s="6" t="s">
        <v>17</v>
      </c>
      <c r="M25" s="8">
        <v>550000</v>
      </c>
      <c r="N25" s="6">
        <v>620</v>
      </c>
      <c r="O25" s="6">
        <v>14</v>
      </c>
      <c r="P25" s="6">
        <v>300</v>
      </c>
      <c r="Q25" s="6">
        <v>10</v>
      </c>
      <c r="R25" s="6">
        <v>5</v>
      </c>
      <c r="S25" s="6">
        <v>14</v>
      </c>
      <c r="T25" s="6" t="s">
        <v>4510</v>
      </c>
    </row>
    <row r="26" spans="1:20" x14ac:dyDescent="0.35">
      <c r="M26" s="39">
        <f>SUM(M14:M25)</f>
        <v>2555000</v>
      </c>
    </row>
    <row r="28" spans="1:20" x14ac:dyDescent="0.35">
      <c r="B28" s="114" t="s">
        <v>52</v>
      </c>
      <c r="J28"/>
    </row>
    <row r="29" spans="1:20" x14ac:dyDescent="0.35">
      <c r="A29" s="5" t="s">
        <v>0</v>
      </c>
      <c r="B29" s="5" t="s">
        <v>1</v>
      </c>
      <c r="C29" s="5" t="s">
        <v>2</v>
      </c>
      <c r="D29" s="5" t="s">
        <v>3</v>
      </c>
      <c r="E29" s="5" t="s">
        <v>4</v>
      </c>
      <c r="F29" s="5" t="s">
        <v>5</v>
      </c>
      <c r="G29" s="5" t="s">
        <v>6</v>
      </c>
      <c r="H29" s="5" t="s">
        <v>374</v>
      </c>
      <c r="I29" s="5" t="s">
        <v>7</v>
      </c>
      <c r="J29" s="5" t="s">
        <v>8</v>
      </c>
      <c r="K29" s="5" t="s">
        <v>9</v>
      </c>
      <c r="L29" s="5" t="s">
        <v>10</v>
      </c>
      <c r="M29" s="5" t="s">
        <v>11</v>
      </c>
      <c r="N29" s="5" t="s">
        <v>562</v>
      </c>
      <c r="O29" s="5" t="s">
        <v>563</v>
      </c>
      <c r="P29" s="5" t="s">
        <v>564</v>
      </c>
      <c r="Q29" s="5" t="s">
        <v>565</v>
      </c>
      <c r="R29" s="5" t="s">
        <v>566</v>
      </c>
      <c r="S29" s="5" t="s">
        <v>567</v>
      </c>
      <c r="T29" s="5" t="s">
        <v>568</v>
      </c>
    </row>
    <row r="30" spans="1:20" x14ac:dyDescent="0.35">
      <c r="A30" s="6">
        <v>3921010003</v>
      </c>
      <c r="B30" s="6" t="s">
        <v>58</v>
      </c>
      <c r="C30" s="6" t="s">
        <v>13</v>
      </c>
      <c r="D30" s="6">
        <v>30004</v>
      </c>
      <c r="E30" s="6" t="s">
        <v>432</v>
      </c>
      <c r="F30" s="6">
        <v>392101</v>
      </c>
      <c r="G30" s="6" t="s">
        <v>209</v>
      </c>
      <c r="H30" s="41">
        <v>4</v>
      </c>
      <c r="I30" s="6">
        <v>20250305</v>
      </c>
      <c r="J30" s="106">
        <v>45792</v>
      </c>
      <c r="K30" s="6" t="s">
        <v>60</v>
      </c>
      <c r="L30" s="6" t="s">
        <v>17</v>
      </c>
      <c r="M30" s="11">
        <v>500000</v>
      </c>
      <c r="N30" s="6">
        <v>367</v>
      </c>
      <c r="O30" s="6">
        <v>12</v>
      </c>
      <c r="P30" s="6">
        <v>100</v>
      </c>
      <c r="Q30" s="6">
        <v>5</v>
      </c>
      <c r="R30" s="6">
        <v>4</v>
      </c>
      <c r="S30" s="6">
        <v>13</v>
      </c>
      <c r="T30" s="6" t="s">
        <v>586</v>
      </c>
    </row>
    <row r="31" spans="1:20" x14ac:dyDescent="0.35">
      <c r="A31" s="6">
        <v>3820750002</v>
      </c>
      <c r="B31" s="6" t="s">
        <v>58</v>
      </c>
      <c r="C31" s="6" t="s">
        <v>13</v>
      </c>
      <c r="D31" s="6">
        <v>30016</v>
      </c>
      <c r="E31" s="6" t="s">
        <v>432</v>
      </c>
      <c r="F31" s="6">
        <v>382075</v>
      </c>
      <c r="G31" s="6" t="s">
        <v>316</v>
      </c>
      <c r="H31" s="41">
        <v>4</v>
      </c>
      <c r="I31" s="6">
        <v>20250324</v>
      </c>
      <c r="J31" s="106">
        <v>45799</v>
      </c>
      <c r="K31" s="6" t="s">
        <v>4514</v>
      </c>
      <c r="L31" s="6" t="s">
        <v>17</v>
      </c>
      <c r="M31" s="11">
        <v>60000</v>
      </c>
      <c r="N31" s="6">
        <v>845</v>
      </c>
      <c r="O31" s="6">
        <v>25</v>
      </c>
      <c r="P31" s="6">
        <v>360</v>
      </c>
      <c r="Q31" s="6">
        <v>8</v>
      </c>
      <c r="R31" s="6">
        <v>3</v>
      </c>
      <c r="S31" s="6">
        <v>24</v>
      </c>
      <c r="T31" s="6" t="s">
        <v>583</v>
      </c>
    </row>
    <row r="32" spans="1:20" x14ac:dyDescent="0.35">
      <c r="A32" s="6">
        <v>1434070002</v>
      </c>
      <c r="B32" s="6" t="s">
        <v>58</v>
      </c>
      <c r="C32" s="6" t="s">
        <v>13</v>
      </c>
      <c r="D32" s="6">
        <v>30003</v>
      </c>
      <c r="E32" s="6" t="s">
        <v>432</v>
      </c>
      <c r="F32" s="6">
        <v>143407</v>
      </c>
      <c r="G32" s="6" t="s">
        <v>135</v>
      </c>
      <c r="H32" s="41">
        <v>8</v>
      </c>
      <c r="I32" s="6">
        <v>20250326</v>
      </c>
      <c r="J32" s="106">
        <v>45810</v>
      </c>
      <c r="K32" s="6" t="s">
        <v>4515</v>
      </c>
      <c r="L32" s="6" t="s">
        <v>17</v>
      </c>
      <c r="M32" s="11">
        <v>60000</v>
      </c>
      <c r="N32" s="6">
        <v>548</v>
      </c>
      <c r="O32" s="6">
        <v>30</v>
      </c>
      <c r="P32" s="6">
        <v>30</v>
      </c>
      <c r="Q32" s="6">
        <v>7</v>
      </c>
      <c r="R32" s="6">
        <v>3</v>
      </c>
      <c r="S32" s="6">
        <v>29</v>
      </c>
      <c r="T32" s="6" t="s">
        <v>583</v>
      </c>
    </row>
    <row r="33" spans="1:20" x14ac:dyDescent="0.35">
      <c r="A33" s="6">
        <v>4462480001</v>
      </c>
      <c r="B33" s="6" t="s">
        <v>29</v>
      </c>
      <c r="C33" s="6" t="s">
        <v>70</v>
      </c>
      <c r="D33" s="6">
        <v>2046</v>
      </c>
      <c r="E33" s="6" t="s">
        <v>432</v>
      </c>
      <c r="F33" s="6">
        <v>446248</v>
      </c>
      <c r="G33" s="6" t="s">
        <v>420</v>
      </c>
      <c r="H33" s="41">
        <v>2</v>
      </c>
      <c r="I33" s="6">
        <v>20250318</v>
      </c>
      <c r="J33" s="106">
        <v>45798</v>
      </c>
      <c r="K33" s="6" t="s">
        <v>264</v>
      </c>
      <c r="L33" s="6" t="s">
        <v>17</v>
      </c>
      <c r="M33" s="11">
        <v>350000</v>
      </c>
      <c r="N33" s="6">
        <v>610</v>
      </c>
      <c r="O33" s="6">
        <v>30</v>
      </c>
      <c r="P33" s="6">
        <v>300</v>
      </c>
      <c r="Q33" s="6">
        <v>9</v>
      </c>
      <c r="R33" s="6">
        <v>4</v>
      </c>
      <c r="S33" s="6">
        <v>21</v>
      </c>
      <c r="T33" s="6" t="s">
        <v>583</v>
      </c>
    </row>
    <row r="34" spans="1:20" x14ac:dyDescent="0.35">
      <c r="A34" s="6">
        <v>143440003</v>
      </c>
      <c r="B34" s="6" t="s">
        <v>29</v>
      </c>
      <c r="C34" s="6" t="s">
        <v>13</v>
      </c>
      <c r="D34" s="6">
        <v>2040</v>
      </c>
      <c r="E34" s="6" t="s">
        <v>432</v>
      </c>
      <c r="F34" s="6">
        <v>14344</v>
      </c>
      <c r="G34" s="6" t="s">
        <v>4516</v>
      </c>
      <c r="H34" s="41">
        <v>16</v>
      </c>
      <c r="I34" s="6">
        <v>20250327</v>
      </c>
      <c r="J34" s="106">
        <v>45792</v>
      </c>
      <c r="K34" s="6" t="s">
        <v>211</v>
      </c>
      <c r="L34" s="6" t="s">
        <v>17</v>
      </c>
      <c r="M34" s="11">
        <v>150000</v>
      </c>
      <c r="N34" s="6">
        <v>597</v>
      </c>
      <c r="O34" s="6">
        <v>23</v>
      </c>
      <c r="P34" s="6">
        <v>650</v>
      </c>
      <c r="Q34" s="6">
        <v>5</v>
      </c>
      <c r="R34" s="6">
        <v>0</v>
      </c>
      <c r="S34" s="6">
        <v>23</v>
      </c>
      <c r="T34" s="6" t="s">
        <v>583</v>
      </c>
    </row>
    <row r="35" spans="1:20" x14ac:dyDescent="0.35">
      <c r="A35" s="6">
        <v>3146620002</v>
      </c>
      <c r="B35" s="6" t="s">
        <v>29</v>
      </c>
      <c r="C35" s="6" t="s">
        <v>13</v>
      </c>
      <c r="D35" s="6">
        <v>2034</v>
      </c>
      <c r="E35" s="6" t="s">
        <v>432</v>
      </c>
      <c r="F35" s="6">
        <v>314662</v>
      </c>
      <c r="G35" s="6" t="s">
        <v>190</v>
      </c>
      <c r="H35" s="41">
        <v>5</v>
      </c>
      <c r="I35" s="6">
        <v>20250324</v>
      </c>
      <c r="J35" s="106">
        <v>45810</v>
      </c>
      <c r="K35" s="6" t="s">
        <v>369</v>
      </c>
      <c r="L35" s="6" t="s">
        <v>17</v>
      </c>
      <c r="M35" s="11">
        <v>300000</v>
      </c>
      <c r="N35" s="6">
        <v>508</v>
      </c>
      <c r="O35" s="6">
        <v>25</v>
      </c>
      <c r="P35" s="6">
        <v>565</v>
      </c>
      <c r="Q35" s="6">
        <v>8</v>
      </c>
      <c r="R35" s="6">
        <v>5</v>
      </c>
      <c r="S35" s="6">
        <v>28</v>
      </c>
      <c r="T35" s="6" t="s">
        <v>583</v>
      </c>
    </row>
    <row r="36" spans="1:20" x14ac:dyDescent="0.35">
      <c r="A36" s="6">
        <v>3903410003</v>
      </c>
      <c r="B36" s="6" t="s">
        <v>29</v>
      </c>
      <c r="C36" s="6" t="s">
        <v>13</v>
      </c>
      <c r="D36" s="6">
        <v>38026</v>
      </c>
      <c r="E36" s="6" t="s">
        <v>432</v>
      </c>
      <c r="F36" s="6">
        <v>390341</v>
      </c>
      <c r="G36" s="6" t="s">
        <v>338</v>
      </c>
      <c r="H36" s="41">
        <v>5</v>
      </c>
      <c r="I36" s="6">
        <v>20250310</v>
      </c>
      <c r="J36" s="106">
        <v>45818</v>
      </c>
      <c r="K36" s="6" t="s">
        <v>4517</v>
      </c>
      <c r="L36" s="6" t="s">
        <v>17</v>
      </c>
      <c r="M36" s="11">
        <v>500000</v>
      </c>
      <c r="N36" s="6">
        <v>680</v>
      </c>
      <c r="O36" s="6">
        <v>20</v>
      </c>
      <c r="P36" s="6">
        <v>560</v>
      </c>
      <c r="Q36" s="6">
        <v>6</v>
      </c>
      <c r="R36" s="6">
        <v>0</v>
      </c>
      <c r="S36" s="6">
        <v>12</v>
      </c>
      <c r="T36" s="6" t="s">
        <v>586</v>
      </c>
    </row>
    <row r="37" spans="1:20" x14ac:dyDescent="0.35">
      <c r="A37" s="6">
        <v>4822700002</v>
      </c>
      <c r="B37" s="6" t="s">
        <v>29</v>
      </c>
      <c r="C37" s="6" t="s">
        <v>13</v>
      </c>
      <c r="D37" s="6">
        <v>2028</v>
      </c>
      <c r="E37" s="6" t="s">
        <v>432</v>
      </c>
      <c r="F37" s="6">
        <v>482270</v>
      </c>
      <c r="G37" s="6" t="s">
        <v>216</v>
      </c>
      <c r="H37" s="41">
        <v>4</v>
      </c>
      <c r="I37" s="6">
        <v>20250325</v>
      </c>
      <c r="J37" s="106">
        <v>45785</v>
      </c>
      <c r="K37" s="6" t="s">
        <v>400</v>
      </c>
      <c r="L37" s="6" t="s">
        <v>17</v>
      </c>
      <c r="M37" s="11">
        <v>300000</v>
      </c>
      <c r="N37" s="6">
        <v>215</v>
      </c>
      <c r="O37" s="6">
        <v>10</v>
      </c>
      <c r="P37" s="6">
        <v>600</v>
      </c>
      <c r="Q37" s="6">
        <v>10</v>
      </c>
      <c r="R37" s="6">
        <v>0</v>
      </c>
      <c r="S37" s="6">
        <v>10</v>
      </c>
      <c r="T37" s="6" t="s">
        <v>586</v>
      </c>
    </row>
    <row r="38" spans="1:20" x14ac:dyDescent="0.35">
      <c r="A38" s="6">
        <v>1289000004</v>
      </c>
      <c r="B38" s="6" t="s">
        <v>174</v>
      </c>
      <c r="C38" s="6" t="s">
        <v>13</v>
      </c>
      <c r="D38" s="6">
        <v>11002</v>
      </c>
      <c r="E38" s="6" t="s">
        <v>432</v>
      </c>
      <c r="F38" s="6">
        <v>128900</v>
      </c>
      <c r="G38" s="6" t="s">
        <v>4518</v>
      </c>
      <c r="H38" s="41">
        <v>3</v>
      </c>
      <c r="I38" s="6">
        <v>20250318</v>
      </c>
      <c r="J38" s="106">
        <v>45797</v>
      </c>
      <c r="K38" s="6" t="s">
        <v>242</v>
      </c>
      <c r="L38" s="6" t="s">
        <v>17</v>
      </c>
      <c r="M38" s="11">
        <v>200000</v>
      </c>
      <c r="N38" s="6">
        <v>1410</v>
      </c>
      <c r="O38" s="6">
        <v>23</v>
      </c>
      <c r="P38" s="6">
        <v>110</v>
      </c>
      <c r="Q38" s="6">
        <v>4</v>
      </c>
      <c r="R38" s="6">
        <v>0</v>
      </c>
      <c r="S38" s="6">
        <v>18</v>
      </c>
      <c r="T38" s="6" t="s">
        <v>583</v>
      </c>
    </row>
    <row r="39" spans="1:20" x14ac:dyDescent="0.35">
      <c r="A39" s="6">
        <v>5391590001</v>
      </c>
      <c r="B39" s="6" t="s">
        <v>486</v>
      </c>
      <c r="C39" s="6" t="s">
        <v>13</v>
      </c>
      <c r="D39" s="6">
        <v>26018</v>
      </c>
      <c r="E39" s="6" t="s">
        <v>432</v>
      </c>
      <c r="F39" s="6">
        <v>539159</v>
      </c>
      <c r="G39" s="6" t="s">
        <v>4519</v>
      </c>
      <c r="H39" s="62">
        <v>1</v>
      </c>
      <c r="I39" s="6">
        <v>20250314</v>
      </c>
      <c r="J39" s="106">
        <v>45779</v>
      </c>
      <c r="K39" s="6" t="s">
        <v>211</v>
      </c>
      <c r="L39" s="6" t="s">
        <v>17</v>
      </c>
      <c r="M39" s="11">
        <v>200000</v>
      </c>
      <c r="N39" s="6">
        <v>150</v>
      </c>
      <c r="O39" s="6">
        <v>10</v>
      </c>
      <c r="P39" s="6">
        <v>850</v>
      </c>
      <c r="Q39" s="6">
        <v>8</v>
      </c>
      <c r="R39" s="6">
        <v>9</v>
      </c>
      <c r="S39" s="6">
        <v>9</v>
      </c>
      <c r="T39" s="6" t="s">
        <v>586</v>
      </c>
    </row>
    <row r="40" spans="1:20" x14ac:dyDescent="0.35">
      <c r="A40" s="6">
        <v>5476050007</v>
      </c>
      <c r="B40" s="6" t="s">
        <v>486</v>
      </c>
      <c r="C40" s="6" t="s">
        <v>13</v>
      </c>
      <c r="D40" s="6">
        <v>26001</v>
      </c>
      <c r="E40" s="6" t="s">
        <v>432</v>
      </c>
      <c r="F40" s="6">
        <v>547605</v>
      </c>
      <c r="G40" s="6" t="s">
        <v>490</v>
      </c>
      <c r="H40" s="41">
        <v>5</v>
      </c>
      <c r="I40" s="6">
        <v>20250321</v>
      </c>
      <c r="J40" s="106">
        <v>45785</v>
      </c>
      <c r="K40" s="6" t="s">
        <v>4520</v>
      </c>
      <c r="L40" s="6" t="s">
        <v>17</v>
      </c>
      <c r="M40" s="11">
        <v>400000</v>
      </c>
      <c r="N40" s="6">
        <v>925</v>
      </c>
      <c r="O40" s="6">
        <v>33</v>
      </c>
      <c r="P40" s="6">
        <v>2350</v>
      </c>
      <c r="Q40" s="6">
        <v>5</v>
      </c>
      <c r="R40" s="6">
        <v>4</v>
      </c>
      <c r="S40" s="6">
        <v>32</v>
      </c>
      <c r="T40" s="6" t="s">
        <v>583</v>
      </c>
    </row>
    <row r="41" spans="1:20" x14ac:dyDescent="0.35">
      <c r="A41" s="6">
        <v>5486260004</v>
      </c>
      <c r="B41" s="6" t="s">
        <v>486</v>
      </c>
      <c r="C41" s="6" t="s">
        <v>13</v>
      </c>
      <c r="D41" s="6">
        <v>26030</v>
      </c>
      <c r="E41" s="6" t="s">
        <v>432</v>
      </c>
      <c r="F41" s="6">
        <v>548626</v>
      </c>
      <c r="G41" s="6" t="s">
        <v>439</v>
      </c>
      <c r="H41" s="41">
        <v>2</v>
      </c>
      <c r="I41" s="6">
        <v>20250318</v>
      </c>
      <c r="J41" s="106">
        <v>45779</v>
      </c>
      <c r="K41" s="6" t="s">
        <v>54</v>
      </c>
      <c r="L41" s="6" t="s">
        <v>17</v>
      </c>
      <c r="M41" s="11">
        <v>100000</v>
      </c>
      <c r="N41" s="6">
        <v>146</v>
      </c>
      <c r="O41" s="6">
        <v>9</v>
      </c>
      <c r="P41" s="6">
        <v>550</v>
      </c>
      <c r="Q41" s="6">
        <v>8</v>
      </c>
      <c r="R41" s="6">
        <v>7</v>
      </c>
      <c r="S41" s="6">
        <v>9</v>
      </c>
      <c r="T41" s="6" t="s">
        <v>586</v>
      </c>
    </row>
    <row r="42" spans="1:20" x14ac:dyDescent="0.35">
      <c r="A42" s="6">
        <v>4229570002</v>
      </c>
      <c r="B42" s="6" t="s">
        <v>132</v>
      </c>
      <c r="C42" s="6" t="s">
        <v>13</v>
      </c>
      <c r="D42" s="6">
        <v>25014</v>
      </c>
      <c r="E42" s="6" t="s">
        <v>432</v>
      </c>
      <c r="F42" s="6">
        <v>422957</v>
      </c>
      <c r="G42" s="6" t="s">
        <v>163</v>
      </c>
      <c r="H42" s="41">
        <v>4</v>
      </c>
      <c r="I42" s="6">
        <v>20250303</v>
      </c>
      <c r="J42" s="106">
        <v>45764</v>
      </c>
      <c r="K42" s="6" t="s">
        <v>108</v>
      </c>
      <c r="L42" s="6" t="s">
        <v>17</v>
      </c>
      <c r="M42" s="11">
        <v>50000</v>
      </c>
      <c r="N42" s="6">
        <v>350</v>
      </c>
      <c r="O42" s="6">
        <v>11</v>
      </c>
      <c r="P42" s="6">
        <v>80</v>
      </c>
      <c r="Q42" s="6">
        <v>5</v>
      </c>
      <c r="R42" s="6">
        <v>5</v>
      </c>
      <c r="S42" s="6">
        <v>10</v>
      </c>
      <c r="T42" s="6" t="s">
        <v>4521</v>
      </c>
    </row>
    <row r="43" spans="1:20" x14ac:dyDescent="0.35">
      <c r="A43" s="6">
        <v>4967380001</v>
      </c>
      <c r="B43" s="6" t="s">
        <v>32</v>
      </c>
      <c r="C43" s="6" t="s">
        <v>13</v>
      </c>
      <c r="D43" s="6">
        <v>20023</v>
      </c>
      <c r="E43" s="6" t="s">
        <v>432</v>
      </c>
      <c r="F43" s="6">
        <v>496738</v>
      </c>
      <c r="G43" s="6" t="s">
        <v>4522</v>
      </c>
      <c r="H43" s="62">
        <v>1</v>
      </c>
      <c r="I43" s="6">
        <v>20250320</v>
      </c>
      <c r="J43" s="106">
        <v>45793</v>
      </c>
      <c r="K43" s="6" t="s">
        <v>178</v>
      </c>
      <c r="L43" s="6" t="s">
        <v>17</v>
      </c>
      <c r="M43" s="11">
        <v>70000</v>
      </c>
      <c r="N43" s="6">
        <v>185</v>
      </c>
      <c r="O43" s="6">
        <v>12</v>
      </c>
      <c r="P43" s="6">
        <v>300</v>
      </c>
      <c r="Q43" s="6">
        <v>7</v>
      </c>
      <c r="R43" s="6">
        <v>0</v>
      </c>
      <c r="S43" s="6">
        <v>11</v>
      </c>
      <c r="T43" s="6" t="s">
        <v>586</v>
      </c>
    </row>
    <row r="44" spans="1:20" x14ac:dyDescent="0.35">
      <c r="A44" s="6">
        <v>5616950002</v>
      </c>
      <c r="B44" s="6" t="s">
        <v>18</v>
      </c>
      <c r="C44" s="6" t="s">
        <v>13</v>
      </c>
      <c r="D44" s="6">
        <v>41002</v>
      </c>
      <c r="E44" s="6" t="s">
        <v>432</v>
      </c>
      <c r="F44" s="6">
        <v>561695</v>
      </c>
      <c r="G44" s="6" t="s">
        <v>429</v>
      </c>
      <c r="H44" s="41">
        <v>3</v>
      </c>
      <c r="I44" s="6">
        <v>20250320</v>
      </c>
      <c r="J44" s="106">
        <v>45782</v>
      </c>
      <c r="K44" s="6" t="s">
        <v>471</v>
      </c>
      <c r="L44" s="6" t="s">
        <v>17</v>
      </c>
      <c r="M44" s="11">
        <v>130000</v>
      </c>
      <c r="N44" s="6">
        <v>291</v>
      </c>
      <c r="O44" s="6">
        <v>13</v>
      </c>
      <c r="P44" s="6">
        <v>220</v>
      </c>
      <c r="Q44" s="6">
        <v>6</v>
      </c>
      <c r="R44" s="6">
        <v>0</v>
      </c>
      <c r="S44" s="6">
        <v>9</v>
      </c>
      <c r="T44" s="6" t="s">
        <v>588</v>
      </c>
    </row>
    <row r="45" spans="1:20" x14ac:dyDescent="0.35">
      <c r="M45" s="135">
        <f>SUM(M30:M44)</f>
        <v>3370000</v>
      </c>
    </row>
    <row r="47" spans="1:20" x14ac:dyDescent="0.35">
      <c r="B47" s="114" t="s">
        <v>64</v>
      </c>
      <c r="J47"/>
    </row>
    <row r="48" spans="1:20" x14ac:dyDescent="0.35">
      <c r="A48" s="5" t="s">
        <v>0</v>
      </c>
      <c r="B48" s="5" t="s">
        <v>1</v>
      </c>
      <c r="C48" s="5" t="s">
        <v>2</v>
      </c>
      <c r="D48" s="5" t="s">
        <v>3</v>
      </c>
      <c r="E48" s="5" t="s">
        <v>4</v>
      </c>
      <c r="F48" s="5" t="s">
        <v>5</v>
      </c>
      <c r="G48" s="5" t="s">
        <v>6</v>
      </c>
      <c r="H48" s="5" t="s">
        <v>374</v>
      </c>
      <c r="I48" s="5" t="s">
        <v>7</v>
      </c>
      <c r="J48" s="5" t="s">
        <v>8</v>
      </c>
      <c r="K48" s="5" t="s">
        <v>9</v>
      </c>
      <c r="L48" s="5" t="s">
        <v>10</v>
      </c>
      <c r="M48" s="5" t="s">
        <v>11</v>
      </c>
      <c r="N48" s="5" t="s">
        <v>562</v>
      </c>
      <c r="O48" s="5" t="s">
        <v>563</v>
      </c>
      <c r="P48" s="5" t="s">
        <v>564</v>
      </c>
      <c r="Q48" s="5" t="s">
        <v>565</v>
      </c>
      <c r="R48" s="5" t="s">
        <v>566</v>
      </c>
      <c r="S48" s="5" t="s">
        <v>567</v>
      </c>
      <c r="T48" s="5" t="s">
        <v>568</v>
      </c>
    </row>
    <row r="49" spans="1:20" x14ac:dyDescent="0.35">
      <c r="A49" s="6">
        <v>5136190003</v>
      </c>
      <c r="B49" s="6" t="s">
        <v>29</v>
      </c>
      <c r="C49" s="6" t="s">
        <v>13</v>
      </c>
      <c r="D49" s="6">
        <v>2040</v>
      </c>
      <c r="E49" s="6" t="s">
        <v>432</v>
      </c>
      <c r="F49" s="6">
        <v>513619</v>
      </c>
      <c r="G49" s="6" t="s">
        <v>523</v>
      </c>
      <c r="H49" s="6">
        <v>3</v>
      </c>
      <c r="I49" s="6">
        <v>20250409</v>
      </c>
      <c r="J49" s="7">
        <v>45800</v>
      </c>
      <c r="K49" s="6" t="s">
        <v>108</v>
      </c>
      <c r="L49" s="6" t="s">
        <v>17</v>
      </c>
      <c r="M49" s="8">
        <v>100000</v>
      </c>
      <c r="N49" s="6">
        <v>415</v>
      </c>
      <c r="O49" s="6">
        <v>19</v>
      </c>
      <c r="P49" s="6">
        <v>350</v>
      </c>
      <c r="Q49" s="6">
        <v>6</v>
      </c>
      <c r="R49" s="6">
        <v>6</v>
      </c>
      <c r="S49" s="6">
        <v>8</v>
      </c>
      <c r="T49" s="6" t="s">
        <v>4523</v>
      </c>
    </row>
    <row r="50" spans="1:20" x14ac:dyDescent="0.35">
      <c r="A50" s="6">
        <v>3156030002</v>
      </c>
      <c r="B50" s="6" t="s">
        <v>486</v>
      </c>
      <c r="C50" s="6" t="s">
        <v>13</v>
      </c>
      <c r="D50" s="6">
        <v>38008</v>
      </c>
      <c r="E50" s="6" t="s">
        <v>432</v>
      </c>
      <c r="F50" s="6">
        <v>315603</v>
      </c>
      <c r="G50" s="6" t="s">
        <v>548</v>
      </c>
      <c r="H50" s="6">
        <v>2</v>
      </c>
      <c r="I50" s="6">
        <v>20250402</v>
      </c>
      <c r="J50" s="7">
        <v>45793</v>
      </c>
      <c r="K50" s="6" t="s">
        <v>28</v>
      </c>
      <c r="L50" s="6" t="s">
        <v>17</v>
      </c>
      <c r="M50" s="8">
        <v>100000</v>
      </c>
      <c r="N50" s="6">
        <v>415</v>
      </c>
      <c r="O50" s="6">
        <v>10</v>
      </c>
      <c r="P50" s="6">
        <v>250</v>
      </c>
      <c r="Q50" s="6">
        <v>4</v>
      </c>
      <c r="R50" s="6">
        <v>3</v>
      </c>
      <c r="S50" s="6">
        <v>10</v>
      </c>
      <c r="T50" s="6" t="s">
        <v>586</v>
      </c>
    </row>
    <row r="51" spans="1:20" ht="15" thickBot="1" x14ac:dyDescent="0.4">
      <c r="A51" s="6">
        <v>6147810003</v>
      </c>
      <c r="B51" s="6" t="s">
        <v>486</v>
      </c>
      <c r="C51" s="6" t="s">
        <v>13</v>
      </c>
      <c r="D51" s="6">
        <v>26021</v>
      </c>
      <c r="E51" s="6" t="s">
        <v>432</v>
      </c>
      <c r="F51" s="6">
        <v>614781</v>
      </c>
      <c r="G51" s="6" t="s">
        <v>519</v>
      </c>
      <c r="H51" s="6">
        <v>3</v>
      </c>
      <c r="I51" s="6">
        <v>20250404</v>
      </c>
      <c r="J51" s="7">
        <v>45826</v>
      </c>
      <c r="K51" s="6" t="s">
        <v>226</v>
      </c>
      <c r="L51" s="6" t="s">
        <v>17</v>
      </c>
      <c r="M51" s="137">
        <v>50000</v>
      </c>
      <c r="N51" s="6">
        <v>468</v>
      </c>
      <c r="O51" s="6">
        <v>20</v>
      </c>
      <c r="P51" s="138">
        <v>300</v>
      </c>
      <c r="Q51" s="6">
        <v>10</v>
      </c>
      <c r="R51" s="6">
        <v>4</v>
      </c>
      <c r="S51" s="6">
        <v>15</v>
      </c>
      <c r="T51" s="6" t="s">
        <v>588</v>
      </c>
    </row>
    <row r="52" spans="1:20" ht="15" thickBot="1" x14ac:dyDescent="0.4">
      <c r="M52" s="145">
        <f>SUM(M49:M51)</f>
        <v>250000</v>
      </c>
    </row>
    <row r="54" spans="1:20" x14ac:dyDescent="0.35">
      <c r="B54" s="114" t="s">
        <v>66</v>
      </c>
      <c r="J54"/>
    </row>
    <row r="55" spans="1:20" x14ac:dyDescent="0.35">
      <c r="A55" s="5" t="s">
        <v>0</v>
      </c>
      <c r="B55" s="5" t="s">
        <v>1</v>
      </c>
      <c r="C55" s="5" t="s">
        <v>2</v>
      </c>
      <c r="D55" s="5" t="s">
        <v>3</v>
      </c>
      <c r="E55" s="5" t="s">
        <v>4</v>
      </c>
      <c r="F55" s="5" t="s">
        <v>5</v>
      </c>
      <c r="G55" s="5" t="s">
        <v>6</v>
      </c>
      <c r="H55" s="5" t="s">
        <v>374</v>
      </c>
      <c r="I55" s="5" t="s">
        <v>7</v>
      </c>
      <c r="J55" s="5" t="s">
        <v>8</v>
      </c>
      <c r="K55" s="5" t="s">
        <v>9</v>
      </c>
      <c r="L55" s="5" t="s">
        <v>10</v>
      </c>
      <c r="M55" s="5" t="s">
        <v>11</v>
      </c>
      <c r="N55" s="5" t="s">
        <v>562</v>
      </c>
      <c r="O55" s="5" t="s">
        <v>563</v>
      </c>
      <c r="P55" s="5" t="s">
        <v>564</v>
      </c>
      <c r="Q55" s="5" t="s">
        <v>565</v>
      </c>
      <c r="R55" s="5" t="s">
        <v>566</v>
      </c>
      <c r="S55" s="5" t="s">
        <v>567</v>
      </c>
      <c r="T55" s="5" t="s">
        <v>568</v>
      </c>
    </row>
    <row r="56" spans="1:20" x14ac:dyDescent="0.35">
      <c r="A56" s="6">
        <v>6584880001</v>
      </c>
      <c r="B56" s="6" t="s">
        <v>58</v>
      </c>
      <c r="C56" s="6" t="s">
        <v>13</v>
      </c>
      <c r="D56" s="6">
        <v>30006</v>
      </c>
      <c r="E56" s="6" t="s">
        <v>432</v>
      </c>
      <c r="F56" s="6">
        <v>658488</v>
      </c>
      <c r="G56" s="6" t="s">
        <v>4524</v>
      </c>
      <c r="H56" s="58">
        <v>1</v>
      </c>
      <c r="I56" s="6">
        <v>20250523</v>
      </c>
      <c r="J56" s="106">
        <v>45870</v>
      </c>
      <c r="K56" s="6" t="s">
        <v>369</v>
      </c>
      <c r="L56" s="6" t="s">
        <v>17</v>
      </c>
      <c r="M56" s="11">
        <v>300000</v>
      </c>
      <c r="N56" s="6">
        <v>742</v>
      </c>
      <c r="O56" s="6">
        <v>22</v>
      </c>
      <c r="P56" s="6">
        <v>370</v>
      </c>
      <c r="Q56" s="6">
        <v>5</v>
      </c>
      <c r="R56" s="6">
        <v>5</v>
      </c>
      <c r="S56" s="6">
        <v>22</v>
      </c>
      <c r="T56" s="6" t="s">
        <v>4525</v>
      </c>
    </row>
    <row r="57" spans="1:20" x14ac:dyDescent="0.35">
      <c r="A57" s="6">
        <v>6440390002</v>
      </c>
      <c r="B57" s="6" t="s">
        <v>29</v>
      </c>
      <c r="C57" s="6" t="s">
        <v>13</v>
      </c>
      <c r="D57" s="6">
        <v>2046</v>
      </c>
      <c r="E57" s="6" t="s">
        <v>432</v>
      </c>
      <c r="F57" s="6">
        <v>644039</v>
      </c>
      <c r="G57" s="6" t="s">
        <v>4526</v>
      </c>
      <c r="H57" s="58">
        <v>1</v>
      </c>
      <c r="I57" s="6">
        <v>20250512</v>
      </c>
      <c r="J57" s="106">
        <v>45839</v>
      </c>
      <c r="K57" s="6" t="s">
        <v>336</v>
      </c>
      <c r="L57" s="6" t="s">
        <v>17</v>
      </c>
      <c r="M57" s="11">
        <v>300000</v>
      </c>
      <c r="N57" s="6">
        <v>321</v>
      </c>
      <c r="O57" s="6">
        <v>19</v>
      </c>
      <c r="P57" s="6">
        <v>260</v>
      </c>
      <c r="Q57" s="6">
        <v>9</v>
      </c>
      <c r="R57" s="6">
        <v>5</v>
      </c>
      <c r="S57" s="6">
        <v>17</v>
      </c>
      <c r="T57" s="6" t="s">
        <v>4525</v>
      </c>
    </row>
    <row r="58" spans="1:20" x14ac:dyDescent="0.35">
      <c r="A58" s="6">
        <v>2912550002</v>
      </c>
      <c r="B58" s="6" t="s">
        <v>29</v>
      </c>
      <c r="C58" s="6" t="s">
        <v>13</v>
      </c>
      <c r="D58" s="6">
        <v>23027</v>
      </c>
      <c r="E58" s="6" t="s">
        <v>432</v>
      </c>
      <c r="F58" s="6">
        <v>291255</v>
      </c>
      <c r="G58" s="6" t="s">
        <v>4527</v>
      </c>
      <c r="H58" s="58">
        <v>1</v>
      </c>
      <c r="I58" s="6">
        <v>20250529</v>
      </c>
      <c r="J58" s="106">
        <v>45852</v>
      </c>
      <c r="K58" s="6" t="s">
        <v>325</v>
      </c>
      <c r="L58" s="6" t="s">
        <v>17</v>
      </c>
      <c r="M58" s="11">
        <v>300000</v>
      </c>
      <c r="N58" s="6">
        <v>622</v>
      </c>
      <c r="O58" s="6">
        <v>32</v>
      </c>
      <c r="P58" s="6">
        <v>280</v>
      </c>
      <c r="Q58" s="6">
        <v>8</v>
      </c>
      <c r="R58" s="6">
        <v>0</v>
      </c>
      <c r="S58" s="6">
        <v>22</v>
      </c>
      <c r="T58" s="6" t="s">
        <v>4528</v>
      </c>
    </row>
    <row r="59" spans="1:20" x14ac:dyDescent="0.35">
      <c r="A59" s="6">
        <v>4195760002</v>
      </c>
      <c r="B59" s="6" t="s">
        <v>29</v>
      </c>
      <c r="C59" s="6" t="s">
        <v>13</v>
      </c>
      <c r="D59" s="6">
        <v>2028</v>
      </c>
      <c r="E59" s="6" t="s">
        <v>432</v>
      </c>
      <c r="F59" s="6">
        <v>419576</v>
      </c>
      <c r="G59" s="6" t="s">
        <v>154</v>
      </c>
      <c r="H59" s="6">
        <v>4</v>
      </c>
      <c r="I59" s="6">
        <v>20250516</v>
      </c>
      <c r="J59" s="106">
        <v>45839</v>
      </c>
      <c r="K59" s="6" t="s">
        <v>325</v>
      </c>
      <c r="L59" s="6" t="s">
        <v>17</v>
      </c>
      <c r="M59" s="11">
        <v>100000</v>
      </c>
      <c r="N59" s="6">
        <v>120</v>
      </c>
      <c r="O59" s="6">
        <v>10</v>
      </c>
      <c r="P59" s="6">
        <v>200</v>
      </c>
      <c r="Q59" s="6">
        <v>7</v>
      </c>
      <c r="R59" s="6">
        <v>7</v>
      </c>
      <c r="S59" s="6">
        <v>8</v>
      </c>
      <c r="T59" s="6" t="s">
        <v>4529</v>
      </c>
    </row>
    <row r="60" spans="1:20" x14ac:dyDescent="0.35">
      <c r="A60" s="6">
        <v>5071930005</v>
      </c>
      <c r="B60" s="6" t="s">
        <v>29</v>
      </c>
      <c r="C60" s="6" t="s">
        <v>13</v>
      </c>
      <c r="D60" s="6">
        <v>2037</v>
      </c>
      <c r="E60" s="6" t="s">
        <v>432</v>
      </c>
      <c r="F60" s="6">
        <v>507193</v>
      </c>
      <c r="G60" s="6" t="s">
        <v>543</v>
      </c>
      <c r="H60" s="6">
        <v>3</v>
      </c>
      <c r="I60" s="6">
        <v>20250514</v>
      </c>
      <c r="J60" s="106">
        <v>45887</v>
      </c>
      <c r="K60" s="6" t="s">
        <v>310</v>
      </c>
      <c r="L60" s="6" t="s">
        <v>17</v>
      </c>
      <c r="M60" s="11">
        <v>100000</v>
      </c>
      <c r="N60" s="6">
        <v>250</v>
      </c>
      <c r="O60" s="6">
        <v>11</v>
      </c>
      <c r="P60" s="6">
        <v>1418</v>
      </c>
      <c r="Q60" s="6">
        <v>10</v>
      </c>
      <c r="R60" s="6">
        <v>0</v>
      </c>
      <c r="S60" s="6">
        <v>8</v>
      </c>
      <c r="T60" s="6" t="s">
        <v>4529</v>
      </c>
    </row>
    <row r="61" spans="1:20" x14ac:dyDescent="0.35">
      <c r="A61" s="6">
        <v>1723900001</v>
      </c>
      <c r="B61" s="6" t="s">
        <v>29</v>
      </c>
      <c r="C61" s="6" t="s">
        <v>13</v>
      </c>
      <c r="D61" s="6">
        <v>23027</v>
      </c>
      <c r="E61" s="6" t="s">
        <v>432</v>
      </c>
      <c r="F61" s="6">
        <v>172390</v>
      </c>
      <c r="G61" s="6" t="s">
        <v>4530</v>
      </c>
      <c r="H61" s="58">
        <v>1</v>
      </c>
      <c r="I61" s="6">
        <v>20250514</v>
      </c>
      <c r="J61" s="106">
        <v>45835</v>
      </c>
      <c r="K61" s="6" t="s">
        <v>4531</v>
      </c>
      <c r="L61" s="6" t="s">
        <v>17</v>
      </c>
      <c r="M61" s="11">
        <v>40000</v>
      </c>
      <c r="N61" s="6">
        <v>700</v>
      </c>
      <c r="O61" s="6">
        <v>40</v>
      </c>
      <c r="P61" s="6">
        <v>800</v>
      </c>
      <c r="Q61" s="6"/>
      <c r="R61" s="6"/>
      <c r="S61" s="6">
        <v>40</v>
      </c>
      <c r="T61" s="6" t="s">
        <v>4528</v>
      </c>
    </row>
    <row r="62" spans="1:20" x14ac:dyDescent="0.35">
      <c r="A62" s="6">
        <v>5491750002</v>
      </c>
      <c r="B62" s="6" t="s">
        <v>486</v>
      </c>
      <c r="C62" s="6" t="s">
        <v>13</v>
      </c>
      <c r="D62" s="6">
        <v>26025</v>
      </c>
      <c r="E62" s="6" t="s">
        <v>432</v>
      </c>
      <c r="F62" s="6">
        <v>549175</v>
      </c>
      <c r="G62" s="6" t="s">
        <v>556</v>
      </c>
      <c r="H62" s="6">
        <v>2</v>
      </c>
      <c r="I62" s="6">
        <v>20250528</v>
      </c>
      <c r="J62" s="106">
        <v>45853</v>
      </c>
      <c r="K62" s="6" t="s">
        <v>525</v>
      </c>
      <c r="L62" s="6" t="s">
        <v>17</v>
      </c>
      <c r="M62" s="11">
        <v>100000</v>
      </c>
      <c r="N62" s="6">
        <v>162</v>
      </c>
      <c r="O62" s="6">
        <v>15</v>
      </c>
      <c r="P62" s="6">
        <v>550</v>
      </c>
      <c r="Q62" s="6">
        <v>10</v>
      </c>
      <c r="R62" s="6">
        <v>7</v>
      </c>
      <c r="S62" s="6">
        <v>4</v>
      </c>
      <c r="T62" s="6" t="s">
        <v>4529</v>
      </c>
    </row>
    <row r="63" spans="1:20" x14ac:dyDescent="0.35">
      <c r="A63" s="6">
        <v>2874150002</v>
      </c>
      <c r="B63" s="6" t="s">
        <v>486</v>
      </c>
      <c r="C63" s="6" t="s">
        <v>13</v>
      </c>
      <c r="D63" s="6">
        <v>38002</v>
      </c>
      <c r="E63" s="6" t="s">
        <v>432</v>
      </c>
      <c r="F63" s="6">
        <v>287415</v>
      </c>
      <c r="G63" s="6" t="s">
        <v>4532</v>
      </c>
      <c r="H63" s="58">
        <v>1</v>
      </c>
      <c r="I63" s="6">
        <v>20250529</v>
      </c>
      <c r="J63" s="106">
        <v>45852</v>
      </c>
      <c r="K63" s="6" t="s">
        <v>325</v>
      </c>
      <c r="L63" s="6" t="s">
        <v>17</v>
      </c>
      <c r="M63" s="11">
        <v>200000</v>
      </c>
      <c r="N63" s="6">
        <v>285</v>
      </c>
      <c r="O63" s="6">
        <v>11</v>
      </c>
      <c r="P63" s="6">
        <v>200</v>
      </c>
      <c r="Q63" s="6">
        <v>5</v>
      </c>
      <c r="R63" s="6">
        <v>3</v>
      </c>
      <c r="S63" s="6">
        <v>13</v>
      </c>
      <c r="T63" s="6" t="s">
        <v>4525</v>
      </c>
    </row>
    <row r="64" spans="1:20" ht="15" thickBot="1" x14ac:dyDescent="0.4">
      <c r="A64" s="6">
        <v>3477400003</v>
      </c>
      <c r="B64" s="6" t="s">
        <v>486</v>
      </c>
      <c r="C64" s="6" t="s">
        <v>13</v>
      </c>
      <c r="D64" s="6">
        <v>38003</v>
      </c>
      <c r="E64" s="6" t="s">
        <v>432</v>
      </c>
      <c r="F64" s="6">
        <v>347740</v>
      </c>
      <c r="G64" s="6" t="s">
        <v>4533</v>
      </c>
      <c r="H64" s="58">
        <v>1</v>
      </c>
      <c r="I64" s="6">
        <v>20250516</v>
      </c>
      <c r="J64" s="106">
        <v>45839</v>
      </c>
      <c r="K64" s="6" t="s">
        <v>325</v>
      </c>
      <c r="L64" s="6" t="s">
        <v>17</v>
      </c>
      <c r="M64" s="11">
        <v>200000</v>
      </c>
      <c r="N64" s="6">
        <v>250</v>
      </c>
      <c r="O64" s="6">
        <v>10</v>
      </c>
      <c r="P64" s="6">
        <v>200</v>
      </c>
      <c r="Q64" s="6">
        <v>9</v>
      </c>
      <c r="R64" s="6">
        <v>6</v>
      </c>
      <c r="S64" s="6">
        <v>10</v>
      </c>
      <c r="T64" s="6" t="s">
        <v>4529</v>
      </c>
    </row>
    <row r="65" spans="1:20" ht="15" thickBot="1" x14ac:dyDescent="0.4">
      <c r="M65" s="145">
        <f>SUM(M56:M64)</f>
        <v>1640000</v>
      </c>
    </row>
    <row r="66" spans="1:20" x14ac:dyDescent="0.35">
      <c r="B66" s="114" t="s">
        <v>79</v>
      </c>
      <c r="J66"/>
    </row>
    <row r="67" spans="1:20" x14ac:dyDescent="0.35">
      <c r="A67" s="5" t="s">
        <v>0</v>
      </c>
      <c r="B67" s="5" t="s">
        <v>1</v>
      </c>
      <c r="C67" s="5" t="s">
        <v>2</v>
      </c>
      <c r="D67" s="5" t="s">
        <v>3</v>
      </c>
      <c r="E67" s="5" t="s">
        <v>4</v>
      </c>
      <c r="F67" s="5" t="s">
        <v>5</v>
      </c>
      <c r="G67" s="5" t="s">
        <v>6</v>
      </c>
      <c r="H67" s="5" t="s">
        <v>374</v>
      </c>
      <c r="I67" s="5" t="s">
        <v>7</v>
      </c>
      <c r="J67" s="5" t="s">
        <v>8</v>
      </c>
      <c r="K67" s="5" t="s">
        <v>9</v>
      </c>
      <c r="L67" s="5" t="s">
        <v>10</v>
      </c>
      <c r="M67" s="5" t="s">
        <v>11</v>
      </c>
      <c r="N67" s="5" t="s">
        <v>562</v>
      </c>
      <c r="O67" s="5" t="s">
        <v>563</v>
      </c>
      <c r="P67" s="5" t="s">
        <v>564</v>
      </c>
      <c r="Q67" s="5" t="s">
        <v>565</v>
      </c>
      <c r="R67" s="5" t="s">
        <v>566</v>
      </c>
      <c r="S67" s="5" t="s">
        <v>567</v>
      </c>
      <c r="T67" s="5" t="s">
        <v>568</v>
      </c>
    </row>
    <row r="68" spans="1:20" x14ac:dyDescent="0.35">
      <c r="A68" s="6">
        <v>5285600002</v>
      </c>
      <c r="B68" s="6" t="s">
        <v>29</v>
      </c>
      <c r="C68" s="6" t="s">
        <v>482</v>
      </c>
      <c r="D68" s="6">
        <v>38005</v>
      </c>
      <c r="E68" s="6" t="s">
        <v>432</v>
      </c>
      <c r="F68" s="6">
        <v>528560</v>
      </c>
      <c r="G68" s="6" t="s">
        <v>612</v>
      </c>
      <c r="H68" s="6">
        <v>2</v>
      </c>
      <c r="I68" s="6">
        <v>20250604</v>
      </c>
      <c r="J68" s="7">
        <v>45855</v>
      </c>
      <c r="K68" s="6" t="s">
        <v>252</v>
      </c>
      <c r="L68" s="6" t="s">
        <v>17</v>
      </c>
      <c r="M68" s="8">
        <v>100000</v>
      </c>
      <c r="N68" s="6">
        <v>140</v>
      </c>
      <c r="O68" s="6">
        <v>5</v>
      </c>
      <c r="P68" s="138">
        <v>550</v>
      </c>
      <c r="Q68" s="6">
        <v>10</v>
      </c>
      <c r="R68" s="6">
        <v>7</v>
      </c>
      <c r="S68" s="6">
        <v>5</v>
      </c>
      <c r="T68" s="6" t="s">
        <v>586</v>
      </c>
    </row>
    <row r="69" spans="1:20" x14ac:dyDescent="0.35">
      <c r="A69" s="6">
        <v>6706210001</v>
      </c>
      <c r="B69" s="6" t="s">
        <v>486</v>
      </c>
      <c r="C69" s="6" t="s">
        <v>482</v>
      </c>
      <c r="D69" s="6">
        <v>2024</v>
      </c>
      <c r="E69" s="6" t="s">
        <v>432</v>
      </c>
      <c r="F69" s="6">
        <v>670621</v>
      </c>
      <c r="G69" s="6" t="s">
        <v>4534</v>
      </c>
      <c r="H69" s="58">
        <v>1</v>
      </c>
      <c r="I69" s="6">
        <v>20250616</v>
      </c>
      <c r="J69" s="7">
        <v>45873</v>
      </c>
      <c r="K69" s="6" t="s">
        <v>4535</v>
      </c>
      <c r="L69" s="6" t="s">
        <v>17</v>
      </c>
      <c r="M69" s="8">
        <v>40000</v>
      </c>
      <c r="N69" s="6">
        <v>51</v>
      </c>
      <c r="O69" s="6">
        <v>6</v>
      </c>
      <c r="P69" s="138">
        <v>930</v>
      </c>
      <c r="Q69" s="6">
        <v>10</v>
      </c>
      <c r="R69" s="6">
        <v>10</v>
      </c>
      <c r="S69" s="6">
        <v>6</v>
      </c>
      <c r="T69" s="6" t="s">
        <v>586</v>
      </c>
    </row>
    <row r="70" spans="1:20" x14ac:dyDescent="0.35">
      <c r="A70" s="6">
        <v>6575850001</v>
      </c>
      <c r="B70" s="6" t="s">
        <v>58</v>
      </c>
      <c r="C70" s="6" t="s">
        <v>482</v>
      </c>
      <c r="D70" s="6">
        <v>30005</v>
      </c>
      <c r="E70" s="6" t="s">
        <v>432</v>
      </c>
      <c r="F70" s="6">
        <v>657585</v>
      </c>
      <c r="G70" s="6" t="s">
        <v>4536</v>
      </c>
      <c r="H70" s="58">
        <v>1</v>
      </c>
      <c r="I70" s="6">
        <v>20250618</v>
      </c>
      <c r="J70" s="7">
        <v>45874</v>
      </c>
      <c r="K70" s="6" t="s">
        <v>408</v>
      </c>
      <c r="L70" s="6" t="s">
        <v>17</v>
      </c>
      <c r="M70" s="8">
        <v>150000</v>
      </c>
      <c r="N70" s="6">
        <v>94</v>
      </c>
      <c r="O70" s="6">
        <v>9</v>
      </c>
      <c r="P70" s="138">
        <v>800</v>
      </c>
      <c r="Q70" s="6">
        <v>10</v>
      </c>
      <c r="R70" s="6">
        <v>0</v>
      </c>
      <c r="S70" s="6">
        <v>9</v>
      </c>
      <c r="T70" s="6" t="s">
        <v>586</v>
      </c>
    </row>
    <row r="71" spans="1:20" x14ac:dyDescent="0.35">
      <c r="A71" s="6">
        <v>5168560001</v>
      </c>
      <c r="B71" s="6" t="s">
        <v>109</v>
      </c>
      <c r="C71" s="6" t="s">
        <v>482</v>
      </c>
      <c r="D71" s="6">
        <v>40002</v>
      </c>
      <c r="E71" s="6" t="s">
        <v>432</v>
      </c>
      <c r="F71" s="6">
        <v>516856</v>
      </c>
      <c r="G71" s="6" t="s">
        <v>4537</v>
      </c>
      <c r="H71" s="6">
        <v>3</v>
      </c>
      <c r="I71" s="6">
        <v>20250627</v>
      </c>
      <c r="J71" s="7">
        <v>45876</v>
      </c>
      <c r="K71" s="6" t="s">
        <v>4538</v>
      </c>
      <c r="L71" s="6" t="s">
        <v>17</v>
      </c>
      <c r="M71" s="8">
        <v>100000</v>
      </c>
      <c r="N71" s="6">
        <v>282</v>
      </c>
      <c r="O71" s="6">
        <v>16</v>
      </c>
      <c r="P71" s="6">
        <v>250</v>
      </c>
      <c r="Q71" s="6">
        <v>5</v>
      </c>
      <c r="R71" s="6">
        <v>5</v>
      </c>
      <c r="S71" s="6">
        <v>10</v>
      </c>
      <c r="T71" s="6" t="s">
        <v>583</v>
      </c>
    </row>
    <row r="72" spans="1:20" x14ac:dyDescent="0.35">
      <c r="A72" s="6">
        <v>5055540001</v>
      </c>
      <c r="B72" s="6" t="s">
        <v>109</v>
      </c>
      <c r="C72" s="6" t="s">
        <v>482</v>
      </c>
      <c r="D72" s="6">
        <v>40002</v>
      </c>
      <c r="E72" s="6" t="s">
        <v>432</v>
      </c>
      <c r="F72" s="6">
        <v>505554</v>
      </c>
      <c r="G72" s="6" t="s">
        <v>271</v>
      </c>
      <c r="H72" s="6">
        <v>4</v>
      </c>
      <c r="I72" s="6">
        <v>20250630</v>
      </c>
      <c r="J72" s="7">
        <v>45876</v>
      </c>
      <c r="K72" s="6" t="s">
        <v>472</v>
      </c>
      <c r="L72" s="6" t="s">
        <v>17</v>
      </c>
      <c r="M72" s="8">
        <v>150000</v>
      </c>
      <c r="N72" s="6">
        <v>956</v>
      </c>
      <c r="O72" s="6">
        <v>26</v>
      </c>
      <c r="P72" s="6">
        <v>310</v>
      </c>
      <c r="Q72" s="6">
        <v>8</v>
      </c>
      <c r="R72" s="6">
        <v>10</v>
      </c>
      <c r="S72" s="6">
        <v>23</v>
      </c>
      <c r="T72" s="6" t="s">
        <v>583</v>
      </c>
    </row>
    <row r="73" spans="1:20" x14ac:dyDescent="0.35">
      <c r="A73" s="6">
        <v>5476050008</v>
      </c>
      <c r="B73" s="6" t="s">
        <v>486</v>
      </c>
      <c r="C73" s="6" t="s">
        <v>482</v>
      </c>
      <c r="D73" s="6">
        <v>26001</v>
      </c>
      <c r="E73" s="6" t="s">
        <v>432</v>
      </c>
      <c r="F73" s="6">
        <v>547605</v>
      </c>
      <c r="G73" s="6" t="s">
        <v>490</v>
      </c>
      <c r="H73" s="6">
        <v>6</v>
      </c>
      <c r="I73" s="6">
        <v>20250623</v>
      </c>
      <c r="J73" s="7">
        <v>45877</v>
      </c>
      <c r="K73" s="6" t="s">
        <v>352</v>
      </c>
      <c r="L73" s="6" t="s">
        <v>17</v>
      </c>
      <c r="M73" s="8">
        <v>500000</v>
      </c>
      <c r="N73" s="6">
        <v>925</v>
      </c>
      <c r="O73" s="6">
        <v>33</v>
      </c>
      <c r="P73" s="138">
        <v>2350</v>
      </c>
      <c r="Q73" s="6">
        <v>6</v>
      </c>
      <c r="R73" s="6">
        <v>5</v>
      </c>
      <c r="S73" s="6">
        <v>32</v>
      </c>
      <c r="T73" s="6" t="s">
        <v>583</v>
      </c>
    </row>
    <row r="74" spans="1:20" x14ac:dyDescent="0.35">
      <c r="A74" s="6">
        <v>3235340002</v>
      </c>
      <c r="B74" s="6" t="s">
        <v>29</v>
      </c>
      <c r="C74" s="6" t="s">
        <v>482</v>
      </c>
      <c r="D74" s="6">
        <v>2035</v>
      </c>
      <c r="E74" s="6" t="s">
        <v>432</v>
      </c>
      <c r="F74" s="6">
        <v>323534</v>
      </c>
      <c r="G74" s="6" t="s">
        <v>587</v>
      </c>
      <c r="H74" s="6">
        <v>5</v>
      </c>
      <c r="I74" s="6">
        <v>20250625</v>
      </c>
      <c r="J74" s="7">
        <v>45881</v>
      </c>
      <c r="K74" s="6" t="s">
        <v>408</v>
      </c>
      <c r="L74" s="6" t="s">
        <v>17</v>
      </c>
      <c r="M74" s="8">
        <v>30000</v>
      </c>
      <c r="N74" s="6">
        <v>416</v>
      </c>
      <c r="O74" s="6">
        <v>20</v>
      </c>
      <c r="P74" s="6">
        <v>650</v>
      </c>
      <c r="Q74" s="6">
        <v>9.5</v>
      </c>
      <c r="R74" s="6">
        <v>5</v>
      </c>
      <c r="S74" s="6">
        <v>13</v>
      </c>
      <c r="T74" s="6" t="s">
        <v>4539</v>
      </c>
    </row>
    <row r="75" spans="1:20" x14ac:dyDescent="0.35">
      <c r="A75" s="6">
        <v>4784460002</v>
      </c>
      <c r="B75" s="6" t="s">
        <v>174</v>
      </c>
      <c r="C75" s="6" t="s">
        <v>482</v>
      </c>
      <c r="D75" s="6">
        <v>11002</v>
      </c>
      <c r="E75" s="6" t="s">
        <v>432</v>
      </c>
      <c r="F75" s="6">
        <v>478446</v>
      </c>
      <c r="G75" s="6" t="s">
        <v>589</v>
      </c>
      <c r="H75" s="6">
        <v>3</v>
      </c>
      <c r="I75" s="6">
        <v>20250630</v>
      </c>
      <c r="J75" s="7">
        <v>45881</v>
      </c>
      <c r="K75" s="6" t="s">
        <v>527</v>
      </c>
      <c r="L75" s="6" t="s">
        <v>17</v>
      </c>
      <c r="M75" s="8">
        <v>300000</v>
      </c>
      <c r="N75" s="6">
        <v>175</v>
      </c>
      <c r="O75" s="6">
        <v>8</v>
      </c>
      <c r="P75" s="6">
        <v>100</v>
      </c>
      <c r="Q75" s="6">
        <v>5</v>
      </c>
      <c r="R75" s="6">
        <v>0</v>
      </c>
      <c r="S75" s="6">
        <v>8</v>
      </c>
      <c r="T75" s="6" t="s">
        <v>4521</v>
      </c>
    </row>
    <row r="76" spans="1:20" x14ac:dyDescent="0.35">
      <c r="A76" s="6">
        <v>6260400001</v>
      </c>
      <c r="B76" s="6" t="s">
        <v>486</v>
      </c>
      <c r="C76" s="6" t="s">
        <v>482</v>
      </c>
      <c r="D76" s="6">
        <v>2041</v>
      </c>
      <c r="E76" s="6" t="s">
        <v>432</v>
      </c>
      <c r="F76" s="6">
        <v>626040</v>
      </c>
      <c r="G76" s="6" t="s">
        <v>4540</v>
      </c>
      <c r="H76" s="58">
        <v>1</v>
      </c>
      <c r="I76" s="6">
        <v>20250630</v>
      </c>
      <c r="J76" s="7">
        <v>45912</v>
      </c>
      <c r="K76" s="6" t="s">
        <v>128</v>
      </c>
      <c r="L76" s="6" t="s">
        <v>17</v>
      </c>
      <c r="M76" s="8">
        <v>100000</v>
      </c>
      <c r="N76" s="6">
        <v>193</v>
      </c>
      <c r="O76" s="6">
        <v>15</v>
      </c>
      <c r="P76" s="6">
        <v>700</v>
      </c>
      <c r="Q76" s="6">
        <v>10</v>
      </c>
      <c r="R76" s="6">
        <v>0</v>
      </c>
      <c r="S76" s="6">
        <v>13</v>
      </c>
      <c r="T76" s="6" t="s">
        <v>586</v>
      </c>
    </row>
    <row r="77" spans="1:20" ht="15" thickBot="1" x14ac:dyDescent="0.4">
      <c r="A77" s="6">
        <v>5096370004</v>
      </c>
      <c r="B77" s="6" t="s">
        <v>58</v>
      </c>
      <c r="C77" s="6" t="s">
        <v>482</v>
      </c>
      <c r="D77" s="6">
        <v>30006</v>
      </c>
      <c r="E77" s="6" t="s">
        <v>432</v>
      </c>
      <c r="F77" s="6">
        <v>509637</v>
      </c>
      <c r="G77" s="6" t="s">
        <v>350</v>
      </c>
      <c r="H77" s="6">
        <v>3</v>
      </c>
      <c r="I77" s="6">
        <v>20250625</v>
      </c>
      <c r="J77" s="7">
        <v>45918</v>
      </c>
      <c r="K77" s="6" t="s">
        <v>69</v>
      </c>
      <c r="L77" s="6" t="s">
        <v>17</v>
      </c>
      <c r="M77" s="8">
        <v>100000</v>
      </c>
      <c r="N77" s="6">
        <v>265</v>
      </c>
      <c r="O77" s="6">
        <v>12</v>
      </c>
      <c r="P77" s="138">
        <v>445</v>
      </c>
      <c r="Q77" s="6">
        <v>6</v>
      </c>
      <c r="R77" s="6">
        <v>4</v>
      </c>
      <c r="S77" s="6">
        <v>12</v>
      </c>
      <c r="T77" s="6" t="s">
        <v>586</v>
      </c>
    </row>
    <row r="78" spans="1:20" ht="15" thickBot="1" x14ac:dyDescent="0.4">
      <c r="M78" s="145">
        <f>SUM(M68:M77)</f>
        <v>1570000</v>
      </c>
    </row>
    <row r="79" spans="1:20" x14ac:dyDescent="0.35">
      <c r="B79" s="114" t="s">
        <v>81</v>
      </c>
      <c r="J79"/>
    </row>
    <row r="80" spans="1:20" x14ac:dyDescent="0.35">
      <c r="A80" s="5" t="s">
        <v>0</v>
      </c>
      <c r="B80" s="5" t="s">
        <v>1</v>
      </c>
      <c r="C80" s="5" t="s">
        <v>2</v>
      </c>
      <c r="D80" s="5" t="s">
        <v>3</v>
      </c>
      <c r="E80" s="5" t="s">
        <v>4</v>
      </c>
      <c r="F80" s="5" t="s">
        <v>5</v>
      </c>
      <c r="G80" s="5" t="s">
        <v>6</v>
      </c>
      <c r="H80" s="5" t="s">
        <v>374</v>
      </c>
      <c r="I80" s="5" t="s">
        <v>7</v>
      </c>
      <c r="J80" s="5" t="s">
        <v>8</v>
      </c>
      <c r="K80" s="5" t="s">
        <v>9</v>
      </c>
      <c r="L80" s="5" t="s">
        <v>10</v>
      </c>
      <c r="M80" s="5" t="s">
        <v>11</v>
      </c>
      <c r="N80" s="5" t="s">
        <v>562</v>
      </c>
      <c r="O80" s="5" t="s">
        <v>563</v>
      </c>
      <c r="P80" s="5" t="s">
        <v>564</v>
      </c>
      <c r="Q80" s="5" t="s">
        <v>565</v>
      </c>
      <c r="R80" s="5" t="s">
        <v>566</v>
      </c>
      <c r="S80" s="5" t="s">
        <v>567</v>
      </c>
      <c r="T80" s="5" t="s">
        <v>568</v>
      </c>
    </row>
    <row r="81" spans="1:20" x14ac:dyDescent="0.35">
      <c r="A81" s="6">
        <v>4270780002</v>
      </c>
      <c r="B81" s="6" t="s">
        <v>58</v>
      </c>
      <c r="C81" s="6" t="s">
        <v>482</v>
      </c>
      <c r="D81" s="6">
        <v>30005</v>
      </c>
      <c r="E81" s="6" t="s">
        <v>432</v>
      </c>
      <c r="F81" s="6">
        <v>427078</v>
      </c>
      <c r="G81" s="6" t="s">
        <v>348</v>
      </c>
      <c r="H81" s="6">
        <v>4</v>
      </c>
      <c r="I81" s="6">
        <v>20250721</v>
      </c>
      <c r="J81" s="7">
        <v>45901</v>
      </c>
      <c r="K81" s="6" t="s">
        <v>481</v>
      </c>
      <c r="L81" s="6" t="s">
        <v>17</v>
      </c>
      <c r="M81" s="8">
        <v>300000</v>
      </c>
      <c r="N81" s="6">
        <v>420</v>
      </c>
      <c r="O81" s="6">
        <v>10</v>
      </c>
      <c r="P81" s="138">
        <v>450</v>
      </c>
      <c r="Q81" s="6">
        <v>12</v>
      </c>
      <c r="R81" s="6">
        <v>6</v>
      </c>
      <c r="S81" s="6">
        <v>6</v>
      </c>
      <c r="T81" s="6" t="s">
        <v>601</v>
      </c>
    </row>
    <row r="82" spans="1:20" x14ac:dyDescent="0.35">
      <c r="A82" s="6">
        <v>5514390001</v>
      </c>
      <c r="B82" s="6" t="s">
        <v>29</v>
      </c>
      <c r="C82" s="6" t="s">
        <v>482</v>
      </c>
      <c r="D82" s="6">
        <v>2045</v>
      </c>
      <c r="E82" s="6" t="s">
        <v>432</v>
      </c>
      <c r="F82" s="6">
        <v>551439</v>
      </c>
      <c r="G82" s="6" t="s">
        <v>384</v>
      </c>
      <c r="H82" s="6">
        <v>3</v>
      </c>
      <c r="I82" s="6">
        <v>20250730</v>
      </c>
      <c r="J82" s="7">
        <v>45915</v>
      </c>
      <c r="K82" s="6" t="s">
        <v>213</v>
      </c>
      <c r="L82" s="6" t="s">
        <v>17</v>
      </c>
      <c r="M82" s="8">
        <v>100000</v>
      </c>
      <c r="N82" s="6">
        <v>1520</v>
      </c>
      <c r="O82" s="6">
        <v>87</v>
      </c>
      <c r="P82" s="6">
        <v>600</v>
      </c>
      <c r="Q82" s="6">
        <v>6</v>
      </c>
      <c r="R82" s="6">
        <v>0</v>
      </c>
      <c r="S82" s="6">
        <v>75</v>
      </c>
      <c r="T82" s="6" t="s">
        <v>583</v>
      </c>
    </row>
    <row r="83" spans="1:20" x14ac:dyDescent="0.35">
      <c r="A83" s="6">
        <v>6469720002</v>
      </c>
      <c r="B83" s="6" t="s">
        <v>109</v>
      </c>
      <c r="C83" s="6" t="s">
        <v>482</v>
      </c>
      <c r="D83" s="6">
        <v>40002</v>
      </c>
      <c r="E83" s="6" t="s">
        <v>432</v>
      </c>
      <c r="F83" s="6">
        <v>646972</v>
      </c>
      <c r="G83" s="6" t="s">
        <v>590</v>
      </c>
      <c r="H83" s="6">
        <v>3</v>
      </c>
      <c r="I83" s="6">
        <v>20250729</v>
      </c>
      <c r="J83" s="7">
        <v>45909</v>
      </c>
      <c r="K83" s="6" t="s">
        <v>481</v>
      </c>
      <c r="L83" s="6" t="s">
        <v>17</v>
      </c>
      <c r="M83" s="8">
        <v>200000</v>
      </c>
      <c r="N83" s="6">
        <v>513</v>
      </c>
      <c r="O83" s="6">
        <v>14</v>
      </c>
      <c r="P83" s="6">
        <v>300</v>
      </c>
      <c r="Q83" s="6">
        <v>7</v>
      </c>
      <c r="R83" s="6">
        <v>7</v>
      </c>
      <c r="S83" s="6">
        <v>14</v>
      </c>
      <c r="T83" s="6" t="s">
        <v>4539</v>
      </c>
    </row>
    <row r="84" spans="1:20" x14ac:dyDescent="0.35">
      <c r="A84" s="6">
        <v>3614790001</v>
      </c>
      <c r="B84" s="6" t="s">
        <v>486</v>
      </c>
      <c r="C84" s="6" t="s">
        <v>482</v>
      </c>
      <c r="D84" s="6">
        <v>26025</v>
      </c>
      <c r="E84" s="6" t="s">
        <v>432</v>
      </c>
      <c r="F84" s="6">
        <v>361479</v>
      </c>
      <c r="G84" s="6" t="s">
        <v>4541</v>
      </c>
      <c r="H84" s="58">
        <v>1</v>
      </c>
      <c r="I84" s="6">
        <v>20250722</v>
      </c>
      <c r="J84" s="7">
        <v>45904</v>
      </c>
      <c r="K84" s="6" t="s">
        <v>252</v>
      </c>
      <c r="L84" s="6" t="s">
        <v>17</v>
      </c>
      <c r="M84" s="8">
        <v>50000</v>
      </c>
      <c r="N84" s="6">
        <v>250</v>
      </c>
      <c r="O84" s="6">
        <v>12</v>
      </c>
      <c r="P84" s="6">
        <v>2000</v>
      </c>
      <c r="Q84" s="6">
        <v>8</v>
      </c>
      <c r="R84" s="6">
        <v>6</v>
      </c>
      <c r="S84" s="6">
        <v>22</v>
      </c>
      <c r="T84" s="6" t="s">
        <v>583</v>
      </c>
    </row>
    <row r="85" spans="1:20" x14ac:dyDescent="0.35">
      <c r="A85" s="6">
        <v>5082900002</v>
      </c>
      <c r="B85" s="6" t="s">
        <v>32</v>
      </c>
      <c r="C85" s="6" t="s">
        <v>482</v>
      </c>
      <c r="D85" s="6">
        <v>20023</v>
      </c>
      <c r="E85" s="6" t="s">
        <v>432</v>
      </c>
      <c r="F85" s="6">
        <v>508290</v>
      </c>
      <c r="G85" s="6" t="s">
        <v>450</v>
      </c>
      <c r="H85" s="6">
        <v>4</v>
      </c>
      <c r="I85" s="6">
        <v>20250728</v>
      </c>
      <c r="J85" s="7">
        <v>45922</v>
      </c>
      <c r="K85" s="6" t="s">
        <v>606</v>
      </c>
      <c r="L85" s="6" t="s">
        <v>17</v>
      </c>
      <c r="M85" s="8">
        <v>100000</v>
      </c>
      <c r="N85" s="6">
        <v>563</v>
      </c>
      <c r="O85" s="6">
        <v>24</v>
      </c>
      <c r="P85" s="6">
        <v>110</v>
      </c>
      <c r="Q85" s="6">
        <v>3</v>
      </c>
      <c r="R85" s="6">
        <v>0</v>
      </c>
      <c r="S85" s="6">
        <v>10</v>
      </c>
      <c r="T85" s="6" t="s">
        <v>583</v>
      </c>
    </row>
    <row r="86" spans="1:20" ht="15" thickBot="1" x14ac:dyDescent="0.4">
      <c r="A86" s="6">
        <v>1933500002</v>
      </c>
      <c r="B86" s="6" t="s">
        <v>12</v>
      </c>
      <c r="C86" s="6" t="s">
        <v>482</v>
      </c>
      <c r="D86" s="6">
        <v>8018</v>
      </c>
      <c r="E86" s="6" t="s">
        <v>432</v>
      </c>
      <c r="F86" s="6">
        <v>193350</v>
      </c>
      <c r="G86" s="6" t="s">
        <v>214</v>
      </c>
      <c r="H86" s="6">
        <v>7</v>
      </c>
      <c r="I86" s="6">
        <v>20250723</v>
      </c>
      <c r="J86" s="7">
        <v>45923</v>
      </c>
      <c r="K86" s="6" t="s">
        <v>467</v>
      </c>
      <c r="L86" s="6" t="s">
        <v>17</v>
      </c>
      <c r="M86" s="137">
        <v>100000</v>
      </c>
      <c r="N86" s="6">
        <v>925</v>
      </c>
      <c r="O86" s="6">
        <v>24</v>
      </c>
      <c r="P86" s="6">
        <v>520</v>
      </c>
      <c r="Q86" s="6">
        <v>10</v>
      </c>
      <c r="R86" s="6">
        <v>3</v>
      </c>
      <c r="S86" s="6">
        <v>24</v>
      </c>
      <c r="T86" s="6" t="s">
        <v>4539</v>
      </c>
    </row>
    <row r="87" spans="1:20" ht="15" thickBot="1" x14ac:dyDescent="0.4">
      <c r="M87" s="145">
        <f>SUM(M81:M86)</f>
        <v>850000</v>
      </c>
    </row>
    <row r="88" spans="1:20" x14ac:dyDescent="0.35">
      <c r="B88" s="114" t="s">
        <v>90</v>
      </c>
      <c r="J88"/>
    </row>
    <row r="89" spans="1:20" x14ac:dyDescent="0.35">
      <c r="A89" s="5" t="s">
        <v>0</v>
      </c>
      <c r="B89" s="5" t="s">
        <v>1</v>
      </c>
      <c r="C89" s="5" t="s">
        <v>2</v>
      </c>
      <c r="D89" s="5" t="s">
        <v>3</v>
      </c>
      <c r="E89" s="5" t="s">
        <v>4</v>
      </c>
      <c r="F89" s="5" t="s">
        <v>5</v>
      </c>
      <c r="G89" s="5" t="s">
        <v>6</v>
      </c>
      <c r="H89" s="5" t="s">
        <v>374</v>
      </c>
      <c r="I89" s="5" t="s">
        <v>7</v>
      </c>
      <c r="J89" s="5" t="s">
        <v>8</v>
      </c>
      <c r="K89" s="5" t="s">
        <v>9</v>
      </c>
      <c r="L89" s="5" t="s">
        <v>10</v>
      </c>
      <c r="M89" s="5" t="s">
        <v>11</v>
      </c>
      <c r="N89" s="5" t="s">
        <v>562</v>
      </c>
      <c r="O89" s="5" t="s">
        <v>563</v>
      </c>
      <c r="P89" s="5" t="s">
        <v>564</v>
      </c>
      <c r="Q89" s="5" t="s">
        <v>565</v>
      </c>
      <c r="R89" s="5" t="s">
        <v>566</v>
      </c>
      <c r="S89" s="5" t="s">
        <v>567</v>
      </c>
      <c r="T89" s="5" t="s">
        <v>568</v>
      </c>
    </row>
    <row r="90" spans="1:20" x14ac:dyDescent="0.35">
      <c r="A90" s="6">
        <v>6398880002</v>
      </c>
      <c r="B90" s="6" t="s">
        <v>486</v>
      </c>
      <c r="C90" s="6" t="s">
        <v>13</v>
      </c>
      <c r="D90" s="6">
        <v>38005</v>
      </c>
      <c r="E90" s="6" t="s">
        <v>432</v>
      </c>
      <c r="F90" s="6">
        <v>639888</v>
      </c>
      <c r="G90" s="6" t="s">
        <v>4542</v>
      </c>
      <c r="H90" s="58">
        <v>1</v>
      </c>
      <c r="I90" s="6">
        <v>20250806</v>
      </c>
      <c r="J90" s="7">
        <v>45908</v>
      </c>
      <c r="K90" s="6" t="s">
        <v>4543</v>
      </c>
      <c r="L90" s="6" t="s">
        <v>17</v>
      </c>
      <c r="M90" s="8">
        <v>100000</v>
      </c>
      <c r="N90" s="6">
        <v>200</v>
      </c>
      <c r="O90" s="6">
        <v>8</v>
      </c>
      <c r="P90" s="6">
        <v>200</v>
      </c>
      <c r="Q90" s="6">
        <v>7</v>
      </c>
      <c r="R90" s="6">
        <v>5</v>
      </c>
      <c r="S90" s="6">
        <v>5</v>
      </c>
      <c r="T90" s="6" t="s">
        <v>586</v>
      </c>
    </row>
    <row r="91" spans="1:20" x14ac:dyDescent="0.35">
      <c r="A91" s="6">
        <v>6581890002</v>
      </c>
      <c r="B91" s="6" t="s">
        <v>58</v>
      </c>
      <c r="C91" s="6" t="s">
        <v>55</v>
      </c>
      <c r="D91" s="6">
        <v>30017</v>
      </c>
      <c r="E91" s="6" t="s">
        <v>432</v>
      </c>
      <c r="F91" s="6">
        <v>658189</v>
      </c>
      <c r="G91" s="6" t="s">
        <v>602</v>
      </c>
      <c r="H91" s="6">
        <v>2</v>
      </c>
      <c r="I91" s="6">
        <v>20250808</v>
      </c>
      <c r="J91" s="7">
        <v>45911</v>
      </c>
      <c r="K91" s="6" t="s">
        <v>4544</v>
      </c>
      <c r="L91" s="6" t="s">
        <v>17</v>
      </c>
      <c r="M91" s="8">
        <v>300000</v>
      </c>
      <c r="N91" s="6">
        <v>50</v>
      </c>
      <c r="O91" s="6">
        <v>4</v>
      </c>
      <c r="P91" s="6">
        <v>400</v>
      </c>
      <c r="Q91" s="6">
        <v>15</v>
      </c>
      <c r="R91" s="6">
        <v>17</v>
      </c>
      <c r="S91" s="6">
        <v>5</v>
      </c>
      <c r="T91" s="6" t="s">
        <v>586</v>
      </c>
    </row>
    <row r="92" spans="1:20" x14ac:dyDescent="0.35">
      <c r="A92" s="6">
        <v>6141910003</v>
      </c>
      <c r="B92" s="6" t="s">
        <v>29</v>
      </c>
      <c r="C92" s="6" t="s">
        <v>13</v>
      </c>
      <c r="D92" s="6">
        <v>2008</v>
      </c>
      <c r="E92" s="6" t="s">
        <v>432</v>
      </c>
      <c r="F92" s="6">
        <v>614191</v>
      </c>
      <c r="G92" s="6" t="s">
        <v>514</v>
      </c>
      <c r="H92" s="6">
        <v>3</v>
      </c>
      <c r="I92" s="6">
        <v>20250822</v>
      </c>
      <c r="J92" s="7">
        <v>45937</v>
      </c>
      <c r="K92" s="6" t="s">
        <v>325</v>
      </c>
      <c r="L92" s="6" t="s">
        <v>17</v>
      </c>
      <c r="M92" s="8">
        <v>350000</v>
      </c>
      <c r="N92" s="6">
        <v>516</v>
      </c>
      <c r="O92" s="6">
        <v>18</v>
      </c>
      <c r="P92" s="6">
        <v>450</v>
      </c>
      <c r="Q92" s="6">
        <v>7</v>
      </c>
      <c r="R92" s="6">
        <v>11</v>
      </c>
      <c r="S92" s="6">
        <v>15</v>
      </c>
      <c r="T92" s="6" t="s">
        <v>583</v>
      </c>
    </row>
    <row r="93" spans="1:20" x14ac:dyDescent="0.35">
      <c r="A93" s="6">
        <v>4389140002</v>
      </c>
      <c r="B93" s="6" t="s">
        <v>29</v>
      </c>
      <c r="C93" s="6" t="s">
        <v>13</v>
      </c>
      <c r="D93" s="6">
        <v>2018</v>
      </c>
      <c r="E93" s="6" t="s">
        <v>432</v>
      </c>
      <c r="F93" s="6">
        <v>438914</v>
      </c>
      <c r="G93" s="6" t="s">
        <v>258</v>
      </c>
      <c r="H93" s="6">
        <v>3</v>
      </c>
      <c r="I93" s="6">
        <v>20250827</v>
      </c>
      <c r="J93" s="7">
        <v>45938</v>
      </c>
      <c r="K93" s="6" t="s">
        <v>545</v>
      </c>
      <c r="L93" s="6" t="s">
        <v>17</v>
      </c>
      <c r="M93" s="8">
        <v>200000</v>
      </c>
      <c r="N93" s="6">
        <v>470</v>
      </c>
      <c r="O93" s="6">
        <v>22</v>
      </c>
      <c r="P93" s="6">
        <v>400</v>
      </c>
      <c r="Q93" s="6">
        <v>5</v>
      </c>
      <c r="R93" s="6">
        <v>4</v>
      </c>
      <c r="S93" s="6">
        <v>27</v>
      </c>
      <c r="T93" s="6" t="s">
        <v>583</v>
      </c>
    </row>
    <row r="94" spans="1:20" x14ac:dyDescent="0.35">
      <c r="A94" s="6">
        <v>5109140001</v>
      </c>
      <c r="B94" s="6" t="s">
        <v>109</v>
      </c>
      <c r="C94" s="6" t="s">
        <v>13</v>
      </c>
      <c r="D94" s="6">
        <v>40002</v>
      </c>
      <c r="E94" s="6" t="s">
        <v>432</v>
      </c>
      <c r="F94" s="6">
        <v>510914</v>
      </c>
      <c r="G94" s="6" t="s">
        <v>282</v>
      </c>
      <c r="H94" s="6">
        <v>3</v>
      </c>
      <c r="I94" s="6">
        <v>20250804</v>
      </c>
      <c r="J94" s="7">
        <v>45918</v>
      </c>
      <c r="K94" s="6" t="s">
        <v>108</v>
      </c>
      <c r="L94" s="6" t="s">
        <v>17</v>
      </c>
      <c r="M94" s="8">
        <v>40000</v>
      </c>
      <c r="N94" s="6">
        <v>150</v>
      </c>
      <c r="O94" s="6">
        <v>14</v>
      </c>
      <c r="P94" s="6">
        <v>840</v>
      </c>
      <c r="Q94" s="6">
        <v>7</v>
      </c>
      <c r="R94" s="6">
        <v>4</v>
      </c>
      <c r="S94" s="6">
        <v>14</v>
      </c>
      <c r="T94" s="6" t="s">
        <v>583</v>
      </c>
    </row>
    <row r="95" spans="1:20" x14ac:dyDescent="0.35">
      <c r="A95" s="6">
        <v>5569200002</v>
      </c>
      <c r="B95" s="6" t="s">
        <v>18</v>
      </c>
      <c r="C95" s="6" t="s">
        <v>13</v>
      </c>
      <c r="D95" s="6">
        <v>41022</v>
      </c>
      <c r="E95" s="6" t="s">
        <v>432</v>
      </c>
      <c r="F95" s="6">
        <v>556920</v>
      </c>
      <c r="G95" s="6" t="s">
        <v>446</v>
      </c>
      <c r="H95" s="6">
        <v>3</v>
      </c>
      <c r="I95" s="6">
        <v>20250820</v>
      </c>
      <c r="J95" s="7">
        <v>45919</v>
      </c>
      <c r="K95" s="6" t="s">
        <v>511</v>
      </c>
      <c r="L95" s="6" t="s">
        <v>17</v>
      </c>
      <c r="M95" s="8">
        <v>100000</v>
      </c>
      <c r="N95" s="6">
        <v>510</v>
      </c>
      <c r="O95" s="6">
        <v>25</v>
      </c>
      <c r="P95" s="6">
        <v>250</v>
      </c>
      <c r="Q95" s="6">
        <v>8</v>
      </c>
      <c r="R95" s="6">
        <v>0</v>
      </c>
      <c r="S95" s="6">
        <v>12</v>
      </c>
      <c r="T95" s="6" t="s">
        <v>583</v>
      </c>
    </row>
    <row r="96" spans="1:20" x14ac:dyDescent="0.35">
      <c r="A96" s="6">
        <v>4248070001</v>
      </c>
      <c r="B96" s="6" t="s">
        <v>132</v>
      </c>
      <c r="C96" s="6" t="s">
        <v>70</v>
      </c>
      <c r="D96" s="6">
        <v>25014</v>
      </c>
      <c r="E96" s="6" t="s">
        <v>432</v>
      </c>
      <c r="F96" s="6">
        <v>424807</v>
      </c>
      <c r="G96" s="6" t="s">
        <v>345</v>
      </c>
      <c r="H96" s="6">
        <v>3</v>
      </c>
      <c r="I96" s="6">
        <v>20250814</v>
      </c>
      <c r="J96" s="7">
        <v>45950</v>
      </c>
      <c r="K96" s="6" t="s">
        <v>4545</v>
      </c>
      <c r="L96" s="6" t="s">
        <v>17</v>
      </c>
      <c r="M96" s="8">
        <v>320000</v>
      </c>
      <c r="N96" s="6">
        <v>350</v>
      </c>
      <c r="O96" s="6">
        <v>17</v>
      </c>
      <c r="P96" s="6">
        <v>90</v>
      </c>
      <c r="Q96" s="6">
        <v>6</v>
      </c>
      <c r="R96" s="6">
        <v>4</v>
      </c>
      <c r="S96" s="6">
        <v>27</v>
      </c>
      <c r="T96" s="6" t="s">
        <v>583</v>
      </c>
    </row>
    <row r="97" spans="1:20" x14ac:dyDescent="0.35">
      <c r="A97" s="6">
        <v>5136190004</v>
      </c>
      <c r="B97" s="6" t="s">
        <v>29</v>
      </c>
      <c r="C97" s="6" t="s">
        <v>13</v>
      </c>
      <c r="D97" s="6">
        <v>2040</v>
      </c>
      <c r="E97" s="6" t="s">
        <v>432</v>
      </c>
      <c r="F97" s="6">
        <v>513619</v>
      </c>
      <c r="G97" s="6" t="s">
        <v>523</v>
      </c>
      <c r="H97" s="6">
        <v>4</v>
      </c>
      <c r="I97" s="6">
        <v>20250820</v>
      </c>
      <c r="J97" s="7">
        <v>45932</v>
      </c>
      <c r="K97" s="6" t="s">
        <v>252</v>
      </c>
      <c r="L97" s="6" t="s">
        <v>17</v>
      </c>
      <c r="M97" s="8">
        <v>100000</v>
      </c>
      <c r="N97" s="6">
        <v>415</v>
      </c>
      <c r="O97" s="6">
        <v>19</v>
      </c>
      <c r="P97" s="6">
        <v>350</v>
      </c>
      <c r="Q97" s="6">
        <v>10</v>
      </c>
      <c r="R97" s="6">
        <v>10</v>
      </c>
      <c r="S97" s="6">
        <v>16</v>
      </c>
      <c r="T97" s="6" t="s">
        <v>4523</v>
      </c>
    </row>
    <row r="98" spans="1:20" x14ac:dyDescent="0.35">
      <c r="A98" s="6">
        <v>5301740002</v>
      </c>
      <c r="B98" s="6" t="s">
        <v>29</v>
      </c>
      <c r="C98" s="6" t="s">
        <v>13</v>
      </c>
      <c r="D98" s="6">
        <v>2047</v>
      </c>
      <c r="E98" s="6" t="s">
        <v>432</v>
      </c>
      <c r="F98" s="6">
        <v>530174</v>
      </c>
      <c r="G98" s="6" t="s">
        <v>355</v>
      </c>
      <c r="H98" s="6">
        <v>4</v>
      </c>
      <c r="I98" s="6">
        <v>20250811</v>
      </c>
      <c r="J98" s="7">
        <v>45931</v>
      </c>
      <c r="K98" s="6" t="s">
        <v>4546</v>
      </c>
      <c r="L98" s="6" t="s">
        <v>17</v>
      </c>
      <c r="M98" s="8">
        <v>200000</v>
      </c>
      <c r="N98" s="6">
        <v>580</v>
      </c>
      <c r="O98" s="6">
        <v>17</v>
      </c>
      <c r="P98" s="6">
        <v>1800</v>
      </c>
      <c r="Q98" s="6">
        <v>15</v>
      </c>
      <c r="R98" s="6">
        <v>5</v>
      </c>
      <c r="S98" s="6">
        <v>16</v>
      </c>
      <c r="T98" s="6" t="s">
        <v>4523</v>
      </c>
    </row>
    <row r="99" spans="1:20" x14ac:dyDescent="0.35">
      <c r="A99" s="6">
        <v>3202470001</v>
      </c>
      <c r="B99" s="6" t="s">
        <v>18</v>
      </c>
      <c r="C99" s="6" t="s">
        <v>13</v>
      </c>
      <c r="D99" s="6">
        <v>41002</v>
      </c>
      <c r="E99" s="6" t="s">
        <v>432</v>
      </c>
      <c r="F99" s="6">
        <v>320247</v>
      </c>
      <c r="G99" s="6" t="s">
        <v>371</v>
      </c>
      <c r="H99" s="6">
        <v>4</v>
      </c>
      <c r="I99" s="6">
        <v>20250813</v>
      </c>
      <c r="J99" s="7">
        <v>45919</v>
      </c>
      <c r="K99" s="6" t="s">
        <v>4547</v>
      </c>
      <c r="L99" s="6" t="s">
        <v>17</v>
      </c>
      <c r="M99" s="8">
        <v>40000</v>
      </c>
      <c r="N99" s="6">
        <v>305</v>
      </c>
      <c r="O99" s="6">
        <v>30</v>
      </c>
      <c r="P99" s="6">
        <v>880</v>
      </c>
      <c r="Q99" s="6">
        <v>4</v>
      </c>
      <c r="R99" s="6">
        <v>4</v>
      </c>
      <c r="S99" s="6">
        <v>28</v>
      </c>
      <c r="T99" s="6" t="s">
        <v>583</v>
      </c>
    </row>
    <row r="100" spans="1:20" x14ac:dyDescent="0.35">
      <c r="A100" s="6">
        <v>5041410001</v>
      </c>
      <c r="B100" s="6" t="s">
        <v>58</v>
      </c>
      <c r="C100" s="6" t="s">
        <v>70</v>
      </c>
      <c r="D100" s="6">
        <v>30004</v>
      </c>
      <c r="E100" s="6" t="s">
        <v>432</v>
      </c>
      <c r="F100" s="6">
        <v>504141</v>
      </c>
      <c r="G100" s="6" t="s">
        <v>256</v>
      </c>
      <c r="H100" s="6">
        <v>4</v>
      </c>
      <c r="I100" s="6">
        <v>20250827</v>
      </c>
      <c r="J100" s="7">
        <v>45975</v>
      </c>
      <c r="K100" s="6" t="s">
        <v>330</v>
      </c>
      <c r="L100" s="6" t="s">
        <v>17</v>
      </c>
      <c r="M100" s="8">
        <v>400000</v>
      </c>
      <c r="N100" s="6">
        <v>400</v>
      </c>
      <c r="O100" s="6">
        <v>12</v>
      </c>
      <c r="P100" s="6">
        <v>200</v>
      </c>
      <c r="Q100" s="6">
        <v>10</v>
      </c>
      <c r="R100" s="6">
        <v>5</v>
      </c>
      <c r="S100" s="6">
        <v>13</v>
      </c>
      <c r="T100" s="6" t="s">
        <v>583</v>
      </c>
    </row>
    <row r="101" spans="1:20" x14ac:dyDescent="0.35">
      <c r="A101" s="6">
        <v>4863090003</v>
      </c>
      <c r="B101" s="6" t="s">
        <v>29</v>
      </c>
      <c r="C101" s="6" t="s">
        <v>13</v>
      </c>
      <c r="D101" s="6">
        <v>2041</v>
      </c>
      <c r="E101" s="6" t="s">
        <v>432</v>
      </c>
      <c r="F101" s="6">
        <v>486309</v>
      </c>
      <c r="G101" s="6" t="s">
        <v>217</v>
      </c>
      <c r="H101" s="6">
        <v>5</v>
      </c>
      <c r="I101" s="6">
        <v>20250811</v>
      </c>
      <c r="J101" s="7">
        <v>45918</v>
      </c>
      <c r="K101" s="6" t="s">
        <v>472</v>
      </c>
      <c r="L101" s="6" t="s">
        <v>17</v>
      </c>
      <c r="M101" s="8">
        <v>30000</v>
      </c>
      <c r="N101" s="6">
        <v>378</v>
      </c>
      <c r="O101" s="6">
        <v>7</v>
      </c>
      <c r="P101" s="6">
        <v>200</v>
      </c>
      <c r="Q101" s="6">
        <v>20</v>
      </c>
      <c r="R101" s="6">
        <v>10</v>
      </c>
      <c r="S101" s="6">
        <v>14</v>
      </c>
      <c r="T101" s="6" t="s">
        <v>583</v>
      </c>
    </row>
    <row r="102" spans="1:20" x14ac:dyDescent="0.35">
      <c r="A102" s="6">
        <v>5071440002</v>
      </c>
      <c r="B102" s="6" t="s">
        <v>109</v>
      </c>
      <c r="C102" s="6" t="s">
        <v>13</v>
      </c>
      <c r="D102" s="6">
        <v>40002</v>
      </c>
      <c r="E102" s="6" t="s">
        <v>432</v>
      </c>
      <c r="F102" s="6">
        <v>507144</v>
      </c>
      <c r="G102" s="6" t="s">
        <v>267</v>
      </c>
      <c r="H102" s="6">
        <v>5</v>
      </c>
      <c r="I102" s="6">
        <v>20250820</v>
      </c>
      <c r="J102" s="7">
        <v>45931</v>
      </c>
      <c r="K102" s="6" t="s">
        <v>545</v>
      </c>
      <c r="L102" s="6" t="s">
        <v>17</v>
      </c>
      <c r="M102" s="8">
        <v>200000</v>
      </c>
      <c r="N102" s="6">
        <v>413</v>
      </c>
      <c r="O102" s="6">
        <v>19</v>
      </c>
      <c r="P102" s="6">
        <v>300</v>
      </c>
      <c r="Q102" s="6">
        <v>5</v>
      </c>
      <c r="R102" s="6">
        <v>5</v>
      </c>
      <c r="S102" s="6">
        <v>14</v>
      </c>
      <c r="T102" s="6" t="s">
        <v>588</v>
      </c>
    </row>
    <row r="103" spans="1:20" x14ac:dyDescent="0.35">
      <c r="A103" s="6">
        <v>2827100003</v>
      </c>
      <c r="B103" s="6" t="s">
        <v>29</v>
      </c>
      <c r="C103" s="6" t="s">
        <v>13</v>
      </c>
      <c r="D103" s="6">
        <v>2018</v>
      </c>
      <c r="E103" s="6" t="s">
        <v>432</v>
      </c>
      <c r="F103" s="6">
        <v>282710</v>
      </c>
      <c r="G103" s="6" t="s">
        <v>84</v>
      </c>
      <c r="H103" s="6">
        <v>6</v>
      </c>
      <c r="I103" s="6">
        <v>20250821</v>
      </c>
      <c r="J103" s="7">
        <v>45932</v>
      </c>
      <c r="K103" s="6" t="s">
        <v>20</v>
      </c>
      <c r="L103" s="6" t="s">
        <v>17</v>
      </c>
      <c r="M103" s="8">
        <v>50000</v>
      </c>
      <c r="N103" s="6">
        <v>425</v>
      </c>
      <c r="O103" s="6">
        <v>17</v>
      </c>
      <c r="P103" s="6">
        <v>300</v>
      </c>
      <c r="Q103" s="6">
        <v>3</v>
      </c>
      <c r="R103" s="6">
        <v>5</v>
      </c>
      <c r="S103" s="6">
        <v>28</v>
      </c>
      <c r="T103" s="6" t="s">
        <v>588</v>
      </c>
    </row>
    <row r="104" spans="1:20" x14ac:dyDescent="0.35">
      <c r="A104" s="6">
        <v>2371680001</v>
      </c>
      <c r="B104" s="6" t="s">
        <v>18</v>
      </c>
      <c r="C104" s="6" t="s">
        <v>13</v>
      </c>
      <c r="D104" s="6">
        <v>41002</v>
      </c>
      <c r="E104" s="6" t="s">
        <v>432</v>
      </c>
      <c r="F104" s="6">
        <v>237168</v>
      </c>
      <c r="G104" s="6" t="s">
        <v>357</v>
      </c>
      <c r="H104" s="6">
        <v>6</v>
      </c>
      <c r="I104" s="6">
        <v>20250806</v>
      </c>
      <c r="J104" s="7">
        <v>45917</v>
      </c>
      <c r="K104" s="6" t="s">
        <v>445</v>
      </c>
      <c r="L104" s="6" t="s">
        <v>17</v>
      </c>
      <c r="M104" s="8">
        <v>60000</v>
      </c>
      <c r="N104" s="6">
        <v>500</v>
      </c>
      <c r="O104" s="6">
        <v>15</v>
      </c>
      <c r="P104" s="6">
        <v>400</v>
      </c>
      <c r="Q104" s="6">
        <v>7</v>
      </c>
      <c r="R104" s="6">
        <v>7</v>
      </c>
      <c r="S104" s="6">
        <v>20</v>
      </c>
      <c r="T104" s="6" t="s">
        <v>583</v>
      </c>
    </row>
    <row r="105" spans="1:20" x14ac:dyDescent="0.35">
      <c r="A105" s="6">
        <v>4117260003</v>
      </c>
      <c r="B105" s="6" t="s">
        <v>29</v>
      </c>
      <c r="C105" s="6" t="s">
        <v>13</v>
      </c>
      <c r="D105" s="6">
        <v>2017</v>
      </c>
      <c r="E105" s="6" t="s">
        <v>432</v>
      </c>
      <c r="F105" s="6">
        <v>411726</v>
      </c>
      <c r="G105" s="6" t="s">
        <v>234</v>
      </c>
      <c r="H105" s="6">
        <v>8</v>
      </c>
      <c r="I105" s="6">
        <v>20250822</v>
      </c>
      <c r="J105" s="7">
        <v>45936</v>
      </c>
      <c r="K105" s="6" t="s">
        <v>54</v>
      </c>
      <c r="L105" s="6" t="s">
        <v>17</v>
      </c>
      <c r="M105" s="8">
        <v>80000</v>
      </c>
      <c r="N105" s="6">
        <v>280</v>
      </c>
      <c r="O105" s="6">
        <v>8</v>
      </c>
      <c r="P105" s="6">
        <v>520</v>
      </c>
      <c r="Q105" s="6">
        <v>7</v>
      </c>
      <c r="R105" s="6">
        <v>5</v>
      </c>
      <c r="S105" s="6">
        <v>8</v>
      </c>
      <c r="T105" s="6" t="s">
        <v>586</v>
      </c>
    </row>
    <row r="106" spans="1:20" ht="15" thickBot="1" x14ac:dyDescent="0.4">
      <c r="A106" s="6">
        <v>5729950003</v>
      </c>
      <c r="B106" s="6" t="s">
        <v>44</v>
      </c>
      <c r="C106" s="6" t="s">
        <v>13</v>
      </c>
      <c r="D106" s="6">
        <v>5010</v>
      </c>
      <c r="E106" s="6" t="s">
        <v>432</v>
      </c>
      <c r="F106" s="6">
        <v>572995</v>
      </c>
      <c r="G106" s="6" t="s">
        <v>448</v>
      </c>
      <c r="H106" s="6">
        <v>8</v>
      </c>
      <c r="I106" s="6">
        <v>20250827</v>
      </c>
      <c r="J106" s="7">
        <v>45945</v>
      </c>
      <c r="K106" s="6" t="s">
        <v>376</v>
      </c>
      <c r="L106" s="6" t="s">
        <v>17</v>
      </c>
      <c r="M106" s="137">
        <v>12000</v>
      </c>
      <c r="N106" s="6">
        <v>220</v>
      </c>
      <c r="O106" s="6">
        <v>13</v>
      </c>
      <c r="P106" s="6">
        <v>170</v>
      </c>
      <c r="Q106" s="6">
        <v>2</v>
      </c>
      <c r="R106" s="6">
        <v>2</v>
      </c>
      <c r="S106" s="6">
        <v>13</v>
      </c>
      <c r="T106" s="6" t="s">
        <v>586</v>
      </c>
    </row>
    <row r="107" spans="1:20" ht="15" thickBot="1" x14ac:dyDescent="0.4">
      <c r="M107" s="145">
        <f>SUM(M90:M106)</f>
        <v>2582000</v>
      </c>
    </row>
    <row r="108" spans="1:20" x14ac:dyDescent="0.35">
      <c r="B108" s="114" t="s">
        <v>99</v>
      </c>
      <c r="J108"/>
    </row>
    <row r="109" spans="1:20" x14ac:dyDescent="0.35">
      <c r="A109" s="5" t="s">
        <v>0</v>
      </c>
      <c r="B109" s="5" t="s">
        <v>1</v>
      </c>
      <c r="C109" s="5" t="s">
        <v>2</v>
      </c>
      <c r="D109" s="5" t="s">
        <v>3</v>
      </c>
      <c r="E109" s="5" t="s">
        <v>4</v>
      </c>
      <c r="F109" s="5" t="s">
        <v>5</v>
      </c>
      <c r="G109" s="5" t="s">
        <v>6</v>
      </c>
      <c r="H109" s="5" t="s">
        <v>374</v>
      </c>
      <c r="I109" s="5" t="s">
        <v>7</v>
      </c>
      <c r="J109" s="5" t="s">
        <v>8</v>
      </c>
      <c r="K109" s="5" t="s">
        <v>9</v>
      </c>
      <c r="L109" s="5" t="s">
        <v>10</v>
      </c>
      <c r="M109" s="5" t="s">
        <v>11</v>
      </c>
      <c r="N109" s="5" t="s">
        <v>562</v>
      </c>
      <c r="O109" s="5" t="s">
        <v>563</v>
      </c>
      <c r="P109" s="5" t="s">
        <v>564</v>
      </c>
      <c r="Q109" s="5" t="s">
        <v>565</v>
      </c>
      <c r="R109" s="5" t="s">
        <v>566</v>
      </c>
      <c r="S109" s="5" t="s">
        <v>567</v>
      </c>
      <c r="T109" s="5" t="s">
        <v>568</v>
      </c>
    </row>
    <row r="110" spans="1:20" x14ac:dyDescent="0.35">
      <c r="A110" s="6">
        <v>3820750003</v>
      </c>
      <c r="B110" s="6" t="s">
        <v>58</v>
      </c>
      <c r="C110" s="6" t="s">
        <v>13</v>
      </c>
      <c r="D110" s="6">
        <v>30006</v>
      </c>
      <c r="E110" s="6" t="s">
        <v>432</v>
      </c>
      <c r="F110" s="6">
        <v>382075</v>
      </c>
      <c r="G110" t="s">
        <v>316</v>
      </c>
      <c r="H110" s="6">
        <v>5</v>
      </c>
      <c r="I110" s="6">
        <v>20250924</v>
      </c>
      <c r="J110" s="7">
        <v>45980</v>
      </c>
      <c r="K110" s="6" t="s">
        <v>4548</v>
      </c>
      <c r="L110" s="6" t="s">
        <v>17</v>
      </c>
      <c r="M110" s="8">
        <v>150000</v>
      </c>
      <c r="N110" s="6">
        <v>905</v>
      </c>
      <c r="O110" s="6">
        <v>25</v>
      </c>
      <c r="P110" s="6">
        <v>150</v>
      </c>
      <c r="Q110" s="6">
        <v>5</v>
      </c>
      <c r="R110" s="6">
        <v>2</v>
      </c>
      <c r="S110" s="6">
        <v>24</v>
      </c>
      <c r="T110" s="6" t="s">
        <v>583</v>
      </c>
    </row>
    <row r="111" spans="1:20" x14ac:dyDescent="0.35">
      <c r="A111" s="6">
        <v>4243180003</v>
      </c>
      <c r="B111" s="6" t="s">
        <v>29</v>
      </c>
      <c r="C111" s="6" t="s">
        <v>13</v>
      </c>
      <c r="D111" s="6">
        <v>38006</v>
      </c>
      <c r="E111" s="6" t="s">
        <v>432</v>
      </c>
      <c r="F111" s="6">
        <v>424318</v>
      </c>
      <c r="G111" s="6" t="s">
        <v>505</v>
      </c>
      <c r="H111" s="6">
        <v>3</v>
      </c>
      <c r="I111" s="6">
        <v>20250905</v>
      </c>
      <c r="J111" s="7">
        <v>45945</v>
      </c>
      <c r="K111" s="6" t="s">
        <v>509</v>
      </c>
      <c r="L111" s="6" t="s">
        <v>17</v>
      </c>
      <c r="M111" s="8">
        <v>100000</v>
      </c>
      <c r="N111" s="6">
        <v>365</v>
      </c>
      <c r="O111" s="6">
        <v>19</v>
      </c>
      <c r="P111" s="6">
        <v>400</v>
      </c>
      <c r="Q111" s="6">
        <v>7</v>
      </c>
      <c r="R111" s="6">
        <v>5</v>
      </c>
      <c r="S111" s="6">
        <v>20</v>
      </c>
      <c r="T111" s="6" t="s">
        <v>583</v>
      </c>
    </row>
    <row r="112" spans="1:20" x14ac:dyDescent="0.35">
      <c r="A112" s="6">
        <v>5644600003</v>
      </c>
      <c r="B112" s="6" t="s">
        <v>29</v>
      </c>
      <c r="C112" s="6" t="s">
        <v>13</v>
      </c>
      <c r="D112" s="6">
        <v>2028</v>
      </c>
      <c r="E112" s="6" t="s">
        <v>432</v>
      </c>
      <c r="F112" s="6">
        <v>564460</v>
      </c>
      <c r="G112" s="6" t="s">
        <v>468</v>
      </c>
      <c r="H112" s="6">
        <v>3</v>
      </c>
      <c r="I112" s="6">
        <v>20250923</v>
      </c>
      <c r="J112" s="7">
        <v>45965</v>
      </c>
      <c r="K112" s="6" t="s">
        <v>4549</v>
      </c>
      <c r="L112" s="6" t="s">
        <v>17</v>
      </c>
      <c r="M112" s="8">
        <v>100000</v>
      </c>
      <c r="N112" s="6">
        <v>273</v>
      </c>
      <c r="O112" s="6">
        <v>15</v>
      </c>
      <c r="P112" s="6">
        <v>500</v>
      </c>
      <c r="Q112" s="6">
        <v>8</v>
      </c>
      <c r="R112" s="6">
        <v>9</v>
      </c>
      <c r="S112" s="6">
        <v>10</v>
      </c>
      <c r="T112" s="6" t="s">
        <v>586</v>
      </c>
    </row>
    <row r="113" spans="1:20" x14ac:dyDescent="0.35">
      <c r="A113" s="6">
        <v>6455410003</v>
      </c>
      <c r="B113" s="6" t="s">
        <v>29</v>
      </c>
      <c r="C113" s="6" t="s">
        <v>13</v>
      </c>
      <c r="D113" s="6">
        <v>38003</v>
      </c>
      <c r="E113" s="6" t="s">
        <v>432</v>
      </c>
      <c r="F113" s="6">
        <v>645541</v>
      </c>
      <c r="G113" s="6" t="s">
        <v>572</v>
      </c>
      <c r="H113" s="6">
        <v>2</v>
      </c>
      <c r="I113" s="6">
        <v>20250924</v>
      </c>
      <c r="J113" s="7">
        <v>45966</v>
      </c>
      <c r="K113" s="6" t="s">
        <v>4549</v>
      </c>
      <c r="L113" s="6" t="s">
        <v>17</v>
      </c>
      <c r="M113" s="8">
        <v>150000</v>
      </c>
      <c r="N113" s="6">
        <v>171</v>
      </c>
      <c r="O113" s="6">
        <v>10</v>
      </c>
      <c r="P113" s="6">
        <v>120</v>
      </c>
      <c r="Q113" s="6">
        <v>9</v>
      </c>
      <c r="R113" s="6">
        <v>0</v>
      </c>
      <c r="S113" s="6">
        <v>10</v>
      </c>
      <c r="T113" s="6" t="s">
        <v>4505</v>
      </c>
    </row>
    <row r="114" spans="1:20" x14ac:dyDescent="0.35">
      <c r="A114" s="6">
        <v>5528720001</v>
      </c>
      <c r="B114" s="6" t="s">
        <v>29</v>
      </c>
      <c r="C114" s="6" t="s">
        <v>13</v>
      </c>
      <c r="D114">
        <v>2048</v>
      </c>
      <c r="E114" s="6" t="s">
        <v>432</v>
      </c>
      <c r="F114" s="6">
        <v>552872</v>
      </c>
      <c r="G114" s="6" t="s">
        <v>413</v>
      </c>
      <c r="H114" s="6">
        <v>2</v>
      </c>
      <c r="I114" s="6">
        <v>20250911</v>
      </c>
      <c r="J114" s="7">
        <v>45964</v>
      </c>
      <c r="K114" s="6" t="s">
        <v>4550</v>
      </c>
      <c r="L114" s="6" t="s">
        <v>17</v>
      </c>
      <c r="M114" s="8">
        <v>500000</v>
      </c>
      <c r="N114" s="6">
        <v>492</v>
      </c>
      <c r="O114" s="6">
        <v>18</v>
      </c>
      <c r="P114" s="6">
        <v>450</v>
      </c>
      <c r="Q114" s="6">
        <v>10</v>
      </c>
      <c r="R114" s="6">
        <v>7</v>
      </c>
      <c r="S114" s="6">
        <v>20</v>
      </c>
      <c r="T114" s="6" t="s">
        <v>588</v>
      </c>
    </row>
    <row r="115" spans="1:20" x14ac:dyDescent="0.35">
      <c r="A115" s="6">
        <v>5523200003</v>
      </c>
      <c r="B115" s="6" t="s">
        <v>29</v>
      </c>
      <c r="C115" s="6" t="s">
        <v>13</v>
      </c>
      <c r="D115" s="6">
        <v>2017</v>
      </c>
      <c r="E115" s="6" t="s">
        <v>432</v>
      </c>
      <c r="F115" s="6">
        <v>552320</v>
      </c>
      <c r="G115" s="6" t="s">
        <v>438</v>
      </c>
      <c r="H115" s="6">
        <v>4</v>
      </c>
      <c r="I115" s="6">
        <v>20250903</v>
      </c>
      <c r="J115" s="7">
        <v>45945</v>
      </c>
      <c r="K115" s="6" t="s">
        <v>527</v>
      </c>
      <c r="L115" s="6" t="s">
        <v>17</v>
      </c>
      <c r="M115" s="8">
        <v>100000</v>
      </c>
      <c r="N115" s="6">
        <v>190</v>
      </c>
      <c r="O115" s="6">
        <v>13</v>
      </c>
      <c r="P115" s="6">
        <v>420</v>
      </c>
      <c r="Q115" s="6">
        <v>9</v>
      </c>
      <c r="R115" s="6">
        <v>12</v>
      </c>
      <c r="S115" s="6">
        <v>14</v>
      </c>
      <c r="T115" s="6" t="s">
        <v>586</v>
      </c>
    </row>
    <row r="116" spans="1:20" x14ac:dyDescent="0.35">
      <c r="A116" s="6">
        <v>6510180002</v>
      </c>
      <c r="B116" s="6" t="s">
        <v>486</v>
      </c>
      <c r="C116" s="6" t="s">
        <v>13</v>
      </c>
      <c r="D116" s="6">
        <v>38011</v>
      </c>
      <c r="E116" s="6" t="s">
        <v>432</v>
      </c>
      <c r="F116" s="6">
        <v>651018</v>
      </c>
      <c r="G116" s="6" t="s">
        <v>4551</v>
      </c>
      <c r="H116" s="58">
        <v>1</v>
      </c>
      <c r="I116" s="6">
        <v>20250923</v>
      </c>
      <c r="J116" s="7">
        <v>45965</v>
      </c>
      <c r="K116" s="6" t="s">
        <v>421</v>
      </c>
      <c r="L116" s="6" t="s">
        <v>17</v>
      </c>
      <c r="M116" s="8">
        <v>65000</v>
      </c>
      <c r="N116" s="6">
        <v>230</v>
      </c>
      <c r="O116" s="6">
        <v>11</v>
      </c>
      <c r="P116" s="6">
        <v>150</v>
      </c>
      <c r="Q116" s="6">
        <v>10</v>
      </c>
      <c r="R116" s="6">
        <v>5</v>
      </c>
      <c r="S116" s="6">
        <v>8</v>
      </c>
      <c r="T116" s="6" t="s">
        <v>586</v>
      </c>
    </row>
    <row r="117" spans="1:20" x14ac:dyDescent="0.35">
      <c r="A117" s="6">
        <v>5951270003</v>
      </c>
      <c r="B117" s="6" t="s">
        <v>486</v>
      </c>
      <c r="C117" s="6" t="s">
        <v>70</v>
      </c>
      <c r="D117" s="6">
        <v>26030</v>
      </c>
      <c r="E117" s="6" t="s">
        <v>432</v>
      </c>
      <c r="F117" s="6">
        <v>595127</v>
      </c>
      <c r="G117" s="6" t="s">
        <v>489</v>
      </c>
      <c r="H117" s="6">
        <v>3</v>
      </c>
      <c r="I117" s="6">
        <v>20250916</v>
      </c>
      <c r="J117" s="7">
        <v>45954</v>
      </c>
      <c r="K117" s="6" t="s">
        <v>392</v>
      </c>
      <c r="L117" s="6" t="s">
        <v>17</v>
      </c>
      <c r="M117" s="8">
        <v>50000</v>
      </c>
      <c r="N117" s="6">
        <v>276</v>
      </c>
      <c r="O117" s="6">
        <v>15</v>
      </c>
      <c r="P117" s="6">
        <v>300</v>
      </c>
      <c r="Q117" s="6">
        <v>10</v>
      </c>
      <c r="R117" s="6">
        <v>0</v>
      </c>
      <c r="S117" s="6">
        <v>10</v>
      </c>
      <c r="T117" s="6" t="s">
        <v>586</v>
      </c>
    </row>
    <row r="118" spans="1:20" x14ac:dyDescent="0.35">
      <c r="A118" s="6">
        <v>4302970001</v>
      </c>
      <c r="B118" s="6" t="s">
        <v>132</v>
      </c>
      <c r="C118" s="6" t="s">
        <v>13</v>
      </c>
      <c r="D118" s="6">
        <v>25016</v>
      </c>
      <c r="E118" s="6" t="s">
        <v>432</v>
      </c>
      <c r="F118" s="6">
        <v>430297</v>
      </c>
      <c r="G118" s="6" t="s">
        <v>4552</v>
      </c>
      <c r="H118" s="58">
        <v>1</v>
      </c>
      <c r="I118" s="6">
        <v>20250922</v>
      </c>
      <c r="J118" s="7">
        <v>45979</v>
      </c>
      <c r="K118" s="6" t="s">
        <v>240</v>
      </c>
      <c r="L118" s="6" t="s">
        <v>17</v>
      </c>
      <c r="M118" s="8">
        <v>100000</v>
      </c>
      <c r="N118" s="6">
        <v>350</v>
      </c>
      <c r="O118" s="6">
        <v>14</v>
      </c>
      <c r="P118" s="6">
        <v>90</v>
      </c>
      <c r="Q118" s="6">
        <v>6</v>
      </c>
      <c r="R118" s="6">
        <v>0</v>
      </c>
      <c r="S118" s="6">
        <v>17</v>
      </c>
      <c r="T118" s="6" t="s">
        <v>583</v>
      </c>
    </row>
    <row r="119" spans="1:20" ht="15" thickBot="1" x14ac:dyDescent="0.4">
      <c r="A119" s="6">
        <v>5693000002</v>
      </c>
      <c r="B119" s="6" t="s">
        <v>277</v>
      </c>
      <c r="C119" s="6" t="s">
        <v>13</v>
      </c>
      <c r="D119" s="6">
        <v>29005</v>
      </c>
      <c r="E119" s="6" t="s">
        <v>432</v>
      </c>
      <c r="F119" s="6">
        <v>569300</v>
      </c>
      <c r="G119" s="6" t="s">
        <v>526</v>
      </c>
      <c r="H119" s="6">
        <v>2</v>
      </c>
      <c r="I119" s="6">
        <v>20250905</v>
      </c>
      <c r="J119" s="7">
        <v>45964</v>
      </c>
      <c r="K119" s="6" t="s">
        <v>474</v>
      </c>
      <c r="L119" s="6" t="s">
        <v>17</v>
      </c>
      <c r="M119" s="137">
        <v>280000</v>
      </c>
      <c r="N119" s="6">
        <v>540</v>
      </c>
      <c r="O119" s="6">
        <v>13</v>
      </c>
      <c r="P119" s="6">
        <v>680</v>
      </c>
      <c r="Q119" s="6">
        <v>20</v>
      </c>
      <c r="R119" s="6">
        <v>10</v>
      </c>
      <c r="S119" s="6">
        <v>13</v>
      </c>
      <c r="T119" s="6" t="s">
        <v>586</v>
      </c>
    </row>
    <row r="120" spans="1:20" ht="15" thickBot="1" x14ac:dyDescent="0.4">
      <c r="M120" s="145">
        <f>SUM(M110:M119)</f>
        <v>1595000</v>
      </c>
    </row>
  </sheetData>
  <autoFilter ref="A109:T109" xr:uid="{CA66B54F-3A0B-460B-9E20-03B5CDA033E3}">
    <sortState xmlns:xlrd2="http://schemas.microsoft.com/office/spreadsheetml/2017/richdata2" ref="A110:T120">
      <sortCondition ref="B109"/>
    </sortState>
  </autoFilter>
  <pageMargins left="0.7" right="0.7" top="0.75" bottom="0.75" header="0.3" footer="0.3"/>
  <pageSetup paperSize="9"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B2:R113"/>
  <sheetViews>
    <sheetView zoomScale="90" zoomScaleNormal="90" workbookViewId="0">
      <pane xSplit="8" ySplit="4" topLeftCell="L103" activePane="bottomRight" state="frozen"/>
      <selection pane="topRight" activeCell="I1" sqref="I1"/>
      <selection pane="bottomLeft" activeCell="A5" sqref="A5"/>
      <selection pane="bottomRight" activeCell="L106" sqref="L106"/>
    </sheetView>
  </sheetViews>
  <sheetFormatPr defaultRowHeight="14.5" x14ac:dyDescent="0.35"/>
  <cols>
    <col min="2" max="2" width="10.453125" bestFit="1" customWidth="1"/>
    <col min="4" max="4" width="13.7265625" customWidth="1"/>
    <col min="6" max="6" width="12.54296875" customWidth="1"/>
    <col min="8" max="8" width="16.26953125" customWidth="1"/>
    <col min="9" max="10" width="11.1796875" bestFit="1" customWidth="1"/>
    <col min="11" max="11" width="13.26953125" customWidth="1"/>
    <col min="12" max="13" width="9.453125" customWidth="1"/>
    <col min="14" max="14" width="13.54296875" bestFit="1" customWidth="1"/>
    <col min="15" max="16" width="9.453125" customWidth="1"/>
    <col min="17" max="17" width="18.54296875" customWidth="1"/>
    <col min="18" max="18" width="9.453125" customWidth="1"/>
  </cols>
  <sheetData>
    <row r="2" spans="2:11" x14ac:dyDescent="0.35">
      <c r="B2" s="188" t="s">
        <v>4553</v>
      </c>
      <c r="C2" s="188"/>
      <c r="D2" s="188"/>
      <c r="E2" s="188"/>
      <c r="F2" s="188"/>
      <c r="G2" s="188"/>
      <c r="H2" s="188"/>
    </row>
    <row r="3" spans="2:11" x14ac:dyDescent="0.35">
      <c r="B3" s="5"/>
      <c r="C3" s="186" t="s">
        <v>4554</v>
      </c>
      <c r="D3" s="187"/>
      <c r="E3" s="188" t="s">
        <v>4555</v>
      </c>
      <c r="F3" s="188"/>
      <c r="G3" s="186" t="s">
        <v>633</v>
      </c>
      <c r="H3" s="189"/>
      <c r="I3" s="189"/>
      <c r="J3" s="184" t="s">
        <v>4556</v>
      </c>
      <c r="K3" s="185"/>
    </row>
    <row r="4" spans="2:11" x14ac:dyDescent="0.35">
      <c r="B4" s="6"/>
      <c r="C4" s="10" t="s">
        <v>4557</v>
      </c>
      <c r="D4" s="10" t="s">
        <v>4558</v>
      </c>
      <c r="E4" s="10" t="s">
        <v>4557</v>
      </c>
      <c r="F4" s="10" t="s">
        <v>4558</v>
      </c>
      <c r="G4" s="10" t="s">
        <v>4557</v>
      </c>
      <c r="H4" s="10" t="s">
        <v>4559</v>
      </c>
      <c r="I4" s="10" t="s">
        <v>4560</v>
      </c>
      <c r="J4" s="143" t="s">
        <v>17</v>
      </c>
      <c r="K4" s="143" t="s">
        <v>4561</v>
      </c>
    </row>
    <row r="5" spans="2:11" x14ac:dyDescent="0.35">
      <c r="B5" s="5">
        <v>2018</v>
      </c>
      <c r="C5" s="10"/>
      <c r="D5" s="10"/>
      <c r="E5" s="10"/>
      <c r="F5" s="10"/>
      <c r="G5" s="10"/>
      <c r="H5" s="10"/>
    </row>
    <row r="6" spans="2:11" x14ac:dyDescent="0.35">
      <c r="B6" s="6" t="s">
        <v>4562</v>
      </c>
      <c r="C6" s="6">
        <v>2</v>
      </c>
      <c r="D6" s="11">
        <v>120000</v>
      </c>
      <c r="E6" s="6">
        <v>2</v>
      </c>
      <c r="F6" s="11">
        <v>15000</v>
      </c>
      <c r="G6" s="6">
        <f>E6+C6</f>
        <v>4</v>
      </c>
      <c r="H6" s="11">
        <f>F6+D6</f>
        <v>135000</v>
      </c>
    </row>
    <row r="7" spans="2:11" x14ac:dyDescent="0.35">
      <c r="B7" s="6" t="s">
        <v>4563</v>
      </c>
      <c r="C7" s="6">
        <v>4</v>
      </c>
      <c r="D7" s="11">
        <v>185000</v>
      </c>
      <c r="E7" s="6">
        <v>3</v>
      </c>
      <c r="F7" s="11">
        <v>21500</v>
      </c>
      <c r="G7" s="6">
        <f>E7+C7</f>
        <v>7</v>
      </c>
      <c r="H7" s="11">
        <f>F7+D7</f>
        <v>206500</v>
      </c>
    </row>
    <row r="8" spans="2:11" x14ac:dyDescent="0.35">
      <c r="B8" s="5">
        <v>2019</v>
      </c>
      <c r="C8" s="6"/>
      <c r="D8" s="11"/>
      <c r="E8" s="6"/>
      <c r="F8" s="11"/>
      <c r="G8" s="6"/>
      <c r="H8" s="11"/>
    </row>
    <row r="9" spans="2:11" x14ac:dyDescent="0.35">
      <c r="B9" s="6" t="s">
        <v>4564</v>
      </c>
      <c r="C9" s="6">
        <v>0</v>
      </c>
      <c r="D9" s="11">
        <v>0</v>
      </c>
      <c r="E9" s="6">
        <v>1</v>
      </c>
      <c r="F9" s="11">
        <v>9000</v>
      </c>
      <c r="G9" s="6">
        <f t="shared" ref="G9:H12" si="0">E9+C9</f>
        <v>1</v>
      </c>
      <c r="H9" s="11">
        <f t="shared" si="0"/>
        <v>9000</v>
      </c>
    </row>
    <row r="10" spans="2:11" x14ac:dyDescent="0.35">
      <c r="B10" s="6" t="s">
        <v>4565</v>
      </c>
      <c r="C10" s="6">
        <v>1</v>
      </c>
      <c r="D10" s="11">
        <v>60000</v>
      </c>
      <c r="E10" s="6">
        <v>1</v>
      </c>
      <c r="F10" s="11">
        <v>5000</v>
      </c>
      <c r="G10" s="6">
        <f t="shared" si="0"/>
        <v>2</v>
      </c>
      <c r="H10" s="11">
        <f t="shared" si="0"/>
        <v>65000</v>
      </c>
    </row>
    <row r="11" spans="2:11" x14ac:dyDescent="0.35">
      <c r="B11" s="6" t="s">
        <v>4566</v>
      </c>
      <c r="C11" s="6">
        <v>4</v>
      </c>
      <c r="D11" s="11">
        <v>220000</v>
      </c>
      <c r="E11" s="6">
        <v>1</v>
      </c>
      <c r="F11" s="11">
        <v>3000</v>
      </c>
      <c r="G11" s="6">
        <f t="shared" si="0"/>
        <v>5</v>
      </c>
      <c r="H11" s="11">
        <f t="shared" si="0"/>
        <v>223000</v>
      </c>
    </row>
    <row r="12" spans="2:11" x14ac:dyDescent="0.35">
      <c r="B12" s="59" t="s">
        <v>4567</v>
      </c>
      <c r="C12" s="6">
        <v>0</v>
      </c>
      <c r="D12" s="44">
        <v>0</v>
      </c>
      <c r="E12" s="6">
        <v>0</v>
      </c>
      <c r="F12" s="44">
        <v>0</v>
      </c>
      <c r="G12" s="6">
        <f t="shared" si="0"/>
        <v>0</v>
      </c>
      <c r="H12" s="44">
        <f t="shared" si="0"/>
        <v>0</v>
      </c>
    </row>
    <row r="13" spans="2:11" x14ac:dyDescent="0.35">
      <c r="B13" s="6" t="s">
        <v>4568</v>
      </c>
      <c r="C13" s="6">
        <v>6</v>
      </c>
      <c r="D13" s="11">
        <v>135000</v>
      </c>
      <c r="E13" s="6">
        <v>0</v>
      </c>
      <c r="F13" s="11">
        <v>0</v>
      </c>
      <c r="G13" s="6">
        <f t="shared" ref="G13:H20" si="1">E13+C13</f>
        <v>6</v>
      </c>
      <c r="H13" s="11">
        <f t="shared" si="1"/>
        <v>135000</v>
      </c>
    </row>
    <row r="14" spans="2:11" x14ac:dyDescent="0.35">
      <c r="B14" s="6" t="s">
        <v>4569</v>
      </c>
      <c r="C14" s="6">
        <v>1</v>
      </c>
      <c r="D14" s="44">
        <v>80000</v>
      </c>
      <c r="E14" s="6">
        <v>0</v>
      </c>
      <c r="F14" s="44">
        <v>0</v>
      </c>
      <c r="G14" s="6">
        <f t="shared" si="1"/>
        <v>1</v>
      </c>
      <c r="H14" s="44">
        <f t="shared" si="1"/>
        <v>80000</v>
      </c>
    </row>
    <row r="15" spans="2:11" x14ac:dyDescent="0.35">
      <c r="B15" s="6" t="s">
        <v>4570</v>
      </c>
      <c r="C15" s="6">
        <v>4</v>
      </c>
      <c r="D15" s="44">
        <v>63000</v>
      </c>
      <c r="E15" s="6">
        <v>0</v>
      </c>
      <c r="F15" s="44">
        <v>0</v>
      </c>
      <c r="G15" s="6">
        <f t="shared" si="1"/>
        <v>4</v>
      </c>
      <c r="H15" s="44">
        <f t="shared" si="1"/>
        <v>63000</v>
      </c>
    </row>
    <row r="16" spans="2:11" x14ac:dyDescent="0.35">
      <c r="B16" s="6" t="s">
        <v>4571</v>
      </c>
      <c r="C16" s="6">
        <v>3</v>
      </c>
      <c r="D16" s="44">
        <v>100000</v>
      </c>
      <c r="E16" s="6">
        <v>1</v>
      </c>
      <c r="F16" s="44">
        <v>6000</v>
      </c>
      <c r="G16" s="6">
        <f t="shared" si="1"/>
        <v>4</v>
      </c>
      <c r="H16" s="44">
        <f t="shared" si="1"/>
        <v>106000</v>
      </c>
    </row>
    <row r="17" spans="2:11" x14ac:dyDescent="0.35">
      <c r="B17" s="6" t="s">
        <v>4572</v>
      </c>
      <c r="C17" s="6">
        <v>8</v>
      </c>
      <c r="D17" s="44">
        <v>219000</v>
      </c>
      <c r="E17" s="6">
        <v>1</v>
      </c>
      <c r="F17" s="44">
        <v>6000</v>
      </c>
      <c r="G17" s="6">
        <f t="shared" si="1"/>
        <v>9</v>
      </c>
      <c r="H17" s="44">
        <f t="shared" si="1"/>
        <v>225000</v>
      </c>
    </row>
    <row r="18" spans="2:11" x14ac:dyDescent="0.35">
      <c r="B18" s="6" t="s">
        <v>4573</v>
      </c>
      <c r="C18" s="6">
        <v>5</v>
      </c>
      <c r="D18" s="44">
        <v>225000</v>
      </c>
      <c r="E18" s="6">
        <v>0</v>
      </c>
      <c r="F18" s="44">
        <v>0</v>
      </c>
      <c r="G18" s="6">
        <f t="shared" si="1"/>
        <v>5</v>
      </c>
      <c r="H18" s="44">
        <f t="shared" si="1"/>
        <v>225000</v>
      </c>
    </row>
    <row r="19" spans="2:11" x14ac:dyDescent="0.35">
      <c r="B19" s="6" t="s">
        <v>4562</v>
      </c>
      <c r="C19" s="6">
        <v>3</v>
      </c>
      <c r="D19" s="44">
        <v>105000</v>
      </c>
      <c r="E19" s="6">
        <v>1</v>
      </c>
      <c r="F19" s="44">
        <v>4000</v>
      </c>
      <c r="G19" s="6">
        <f t="shared" si="1"/>
        <v>4</v>
      </c>
      <c r="H19" s="44">
        <f t="shared" si="1"/>
        <v>109000</v>
      </c>
    </row>
    <row r="20" spans="2:11" x14ac:dyDescent="0.35">
      <c r="B20" s="6" t="s">
        <v>4563</v>
      </c>
      <c r="C20" s="6">
        <v>4</v>
      </c>
      <c r="D20" s="11">
        <v>165000</v>
      </c>
      <c r="E20" s="6">
        <v>0</v>
      </c>
      <c r="F20" s="6">
        <v>0</v>
      </c>
      <c r="G20" s="6">
        <f t="shared" si="1"/>
        <v>4</v>
      </c>
      <c r="H20" s="11">
        <f t="shared" si="1"/>
        <v>165000</v>
      </c>
    </row>
    <row r="21" spans="2:11" x14ac:dyDescent="0.35">
      <c r="F21" s="49" t="s">
        <v>4574</v>
      </c>
      <c r="G21" s="50">
        <f>SUM(G9:G20)</f>
        <v>45</v>
      </c>
      <c r="H21" s="57">
        <f>SUM(H9:H20)</f>
        <v>1405000</v>
      </c>
      <c r="J21" s="95"/>
      <c r="K21" s="95"/>
    </row>
    <row r="22" spans="2:11" x14ac:dyDescent="0.35">
      <c r="F22" s="144" t="s">
        <v>4575</v>
      </c>
      <c r="G22" s="5">
        <f>G21/12</f>
        <v>3.75</v>
      </c>
      <c r="H22" s="110">
        <f>H21/G21</f>
        <v>31222.222222222223</v>
      </c>
      <c r="I22" s="96"/>
      <c r="J22" s="95"/>
      <c r="K22" s="95"/>
    </row>
    <row r="23" spans="2:11" x14ac:dyDescent="0.35">
      <c r="B23" s="3">
        <v>2020</v>
      </c>
    </row>
    <row r="24" spans="2:11" x14ac:dyDescent="0.35">
      <c r="B24" s="6" t="s">
        <v>4564</v>
      </c>
      <c r="C24" s="6">
        <v>5</v>
      </c>
      <c r="D24" s="11">
        <v>158000</v>
      </c>
      <c r="E24" s="6">
        <v>0</v>
      </c>
      <c r="F24" s="11">
        <v>0</v>
      </c>
      <c r="G24" s="6">
        <f t="shared" ref="G24:G35" si="2">E24+C24</f>
        <v>5</v>
      </c>
      <c r="H24" s="11">
        <f t="shared" ref="H24:H35" si="3">F24+D24</f>
        <v>158000</v>
      </c>
    </row>
    <row r="25" spans="2:11" x14ac:dyDescent="0.35">
      <c r="B25" s="6" t="s">
        <v>4565</v>
      </c>
      <c r="C25" s="6">
        <v>8</v>
      </c>
      <c r="D25" s="11">
        <v>153000</v>
      </c>
      <c r="E25" s="6">
        <v>1</v>
      </c>
      <c r="F25" s="11">
        <v>6000</v>
      </c>
      <c r="G25" s="6">
        <f t="shared" si="2"/>
        <v>9</v>
      </c>
      <c r="H25" s="11">
        <f t="shared" si="3"/>
        <v>159000</v>
      </c>
    </row>
    <row r="26" spans="2:11" x14ac:dyDescent="0.35">
      <c r="B26" s="6" t="s">
        <v>4566</v>
      </c>
      <c r="C26" s="6">
        <v>4</v>
      </c>
      <c r="D26" s="11">
        <v>150000</v>
      </c>
      <c r="E26" s="6">
        <v>0</v>
      </c>
      <c r="F26" s="11">
        <v>0</v>
      </c>
      <c r="G26" s="6">
        <f t="shared" si="2"/>
        <v>4</v>
      </c>
      <c r="H26" s="11">
        <f t="shared" si="3"/>
        <v>150000</v>
      </c>
    </row>
    <row r="27" spans="2:11" x14ac:dyDescent="0.35">
      <c r="B27" s="6" t="s">
        <v>4567</v>
      </c>
      <c r="C27" s="6">
        <v>0</v>
      </c>
      <c r="D27" s="11">
        <v>0</v>
      </c>
      <c r="E27" s="6">
        <v>0</v>
      </c>
      <c r="F27" s="11">
        <v>0</v>
      </c>
      <c r="G27" s="6">
        <f t="shared" si="2"/>
        <v>0</v>
      </c>
      <c r="H27" s="11">
        <f t="shared" si="3"/>
        <v>0</v>
      </c>
    </row>
    <row r="28" spans="2:11" x14ac:dyDescent="0.35">
      <c r="B28" s="6" t="s">
        <v>4568</v>
      </c>
      <c r="C28" s="6">
        <v>1</v>
      </c>
      <c r="D28" s="11">
        <v>40000</v>
      </c>
      <c r="E28" s="6">
        <v>0</v>
      </c>
      <c r="F28" s="11">
        <v>0</v>
      </c>
      <c r="G28" s="6">
        <f t="shared" si="2"/>
        <v>1</v>
      </c>
      <c r="H28" s="11">
        <f t="shared" si="3"/>
        <v>40000</v>
      </c>
    </row>
    <row r="29" spans="2:11" x14ac:dyDescent="0.35">
      <c r="B29" s="6" t="s">
        <v>4569</v>
      </c>
      <c r="C29" s="6">
        <v>1</v>
      </c>
      <c r="D29" s="44">
        <v>50000</v>
      </c>
      <c r="E29" s="6">
        <v>0</v>
      </c>
      <c r="F29" s="44">
        <v>0</v>
      </c>
      <c r="G29" s="6">
        <f t="shared" si="2"/>
        <v>1</v>
      </c>
      <c r="H29" s="44">
        <f t="shared" si="3"/>
        <v>50000</v>
      </c>
    </row>
    <row r="30" spans="2:11" x14ac:dyDescent="0.35">
      <c r="B30" s="6" t="s">
        <v>4570</v>
      </c>
      <c r="C30" s="6">
        <v>0</v>
      </c>
      <c r="D30" s="44">
        <v>0</v>
      </c>
      <c r="E30" s="6">
        <v>0</v>
      </c>
      <c r="F30" s="44">
        <v>0</v>
      </c>
      <c r="G30" s="6">
        <f t="shared" si="2"/>
        <v>0</v>
      </c>
      <c r="H30" s="44">
        <f t="shared" si="3"/>
        <v>0</v>
      </c>
    </row>
    <row r="31" spans="2:11" x14ac:dyDescent="0.35">
      <c r="B31" s="6" t="s">
        <v>4571</v>
      </c>
      <c r="C31" s="6">
        <v>0</v>
      </c>
      <c r="D31" s="44">
        <v>0</v>
      </c>
      <c r="E31" s="6">
        <v>0</v>
      </c>
      <c r="F31" s="44">
        <v>0</v>
      </c>
      <c r="G31" s="6">
        <f>E31+C31</f>
        <v>0</v>
      </c>
      <c r="H31" s="44">
        <f t="shared" si="3"/>
        <v>0</v>
      </c>
    </row>
    <row r="32" spans="2:11" x14ac:dyDescent="0.35">
      <c r="B32" s="6" t="s">
        <v>4572</v>
      </c>
      <c r="C32" s="6">
        <v>0</v>
      </c>
      <c r="D32" s="44">
        <v>0</v>
      </c>
      <c r="E32" s="6">
        <v>0</v>
      </c>
      <c r="F32" s="44">
        <v>0</v>
      </c>
      <c r="G32" s="6">
        <f t="shared" si="2"/>
        <v>0</v>
      </c>
      <c r="H32" s="44">
        <f t="shared" si="3"/>
        <v>0</v>
      </c>
    </row>
    <row r="33" spans="2:12" x14ac:dyDescent="0.35">
      <c r="B33" s="6" t="s">
        <v>4573</v>
      </c>
      <c r="C33" s="6">
        <v>0</v>
      </c>
      <c r="D33" s="44">
        <v>0</v>
      </c>
      <c r="E33" s="6">
        <v>1</v>
      </c>
      <c r="F33" s="44">
        <v>5000</v>
      </c>
      <c r="G33" s="6">
        <f t="shared" si="2"/>
        <v>1</v>
      </c>
      <c r="H33" s="44">
        <f t="shared" si="3"/>
        <v>5000</v>
      </c>
    </row>
    <row r="34" spans="2:12" x14ac:dyDescent="0.35">
      <c r="B34" s="6" t="s">
        <v>4562</v>
      </c>
      <c r="C34" s="6">
        <v>0</v>
      </c>
      <c r="D34" s="44">
        <v>0</v>
      </c>
      <c r="E34" s="6">
        <v>0</v>
      </c>
      <c r="F34" s="44">
        <v>0</v>
      </c>
      <c r="G34" s="6">
        <f t="shared" si="2"/>
        <v>0</v>
      </c>
      <c r="H34" s="44">
        <f t="shared" si="3"/>
        <v>0</v>
      </c>
    </row>
    <row r="35" spans="2:12" x14ac:dyDescent="0.35">
      <c r="B35" s="6" t="s">
        <v>4563</v>
      </c>
      <c r="C35" s="6">
        <v>0</v>
      </c>
      <c r="D35" s="11">
        <v>0</v>
      </c>
      <c r="E35" s="6">
        <v>0</v>
      </c>
      <c r="F35" s="6">
        <v>0</v>
      </c>
      <c r="G35" s="6">
        <f t="shared" si="2"/>
        <v>0</v>
      </c>
      <c r="H35" s="11">
        <f t="shared" si="3"/>
        <v>0</v>
      </c>
    </row>
    <row r="36" spans="2:12" x14ac:dyDescent="0.35">
      <c r="F36" s="49" t="s">
        <v>4576</v>
      </c>
      <c r="G36" s="50">
        <f>SUM(G24:G35)</f>
        <v>21</v>
      </c>
      <c r="H36" s="57">
        <f>SUM(H24:H35)</f>
        <v>562000</v>
      </c>
      <c r="K36" s="95"/>
    </row>
    <row r="37" spans="2:12" x14ac:dyDescent="0.35">
      <c r="F37" s="144" t="s">
        <v>4575</v>
      </c>
      <c r="G37" s="5">
        <f>G36/12</f>
        <v>1.75</v>
      </c>
      <c r="H37" s="110">
        <f>H36/G36</f>
        <v>26761.904761904763</v>
      </c>
      <c r="K37" s="95"/>
    </row>
    <row r="38" spans="2:12" x14ac:dyDescent="0.35">
      <c r="B38" s="3">
        <v>2021</v>
      </c>
    </row>
    <row r="39" spans="2:12" x14ac:dyDescent="0.35">
      <c r="B39" s="6" t="s">
        <v>4564</v>
      </c>
      <c r="C39" s="6">
        <v>1</v>
      </c>
      <c r="D39" s="11">
        <v>30000</v>
      </c>
      <c r="E39" s="6">
        <v>1</v>
      </c>
      <c r="F39" s="11">
        <v>5000</v>
      </c>
      <c r="G39" s="6">
        <f t="shared" ref="G39:G50" si="4">E39+C39</f>
        <v>2</v>
      </c>
      <c r="H39" s="11">
        <f t="shared" ref="H39:H50" si="5">F39+D39</f>
        <v>35000</v>
      </c>
    </row>
    <row r="40" spans="2:12" x14ac:dyDescent="0.35">
      <c r="B40" s="6" t="s">
        <v>4565</v>
      </c>
      <c r="C40" s="6">
        <v>0</v>
      </c>
      <c r="D40" s="11">
        <v>0</v>
      </c>
      <c r="E40" s="6">
        <v>1</v>
      </c>
      <c r="F40" s="11">
        <v>5000</v>
      </c>
      <c r="G40" s="6">
        <f t="shared" si="4"/>
        <v>1</v>
      </c>
      <c r="H40" s="11">
        <f t="shared" si="5"/>
        <v>5000</v>
      </c>
    </row>
    <row r="41" spans="2:12" x14ac:dyDescent="0.35">
      <c r="B41" s="6" t="s">
        <v>4566</v>
      </c>
      <c r="C41" s="6">
        <v>3</v>
      </c>
      <c r="D41" s="11">
        <v>230000</v>
      </c>
      <c r="E41" s="6">
        <v>0</v>
      </c>
      <c r="F41" s="11">
        <v>0</v>
      </c>
      <c r="G41" s="6">
        <f t="shared" si="4"/>
        <v>3</v>
      </c>
      <c r="H41" s="11">
        <f t="shared" si="5"/>
        <v>230000</v>
      </c>
    </row>
    <row r="42" spans="2:12" x14ac:dyDescent="0.35">
      <c r="B42" s="6" t="s">
        <v>4567</v>
      </c>
      <c r="C42" s="6">
        <v>2</v>
      </c>
      <c r="D42" s="11">
        <v>215000</v>
      </c>
      <c r="E42" s="6">
        <v>0</v>
      </c>
      <c r="F42" s="11">
        <v>0</v>
      </c>
      <c r="G42" s="6">
        <f t="shared" si="4"/>
        <v>2</v>
      </c>
      <c r="H42" s="11">
        <f t="shared" si="5"/>
        <v>215000</v>
      </c>
    </row>
    <row r="43" spans="2:12" x14ac:dyDescent="0.35">
      <c r="B43" s="6" t="s">
        <v>4568</v>
      </c>
      <c r="C43" s="6">
        <v>7</v>
      </c>
      <c r="D43" s="11">
        <v>310000</v>
      </c>
      <c r="E43" s="6">
        <v>0</v>
      </c>
      <c r="F43" s="11">
        <v>0</v>
      </c>
      <c r="G43" s="6">
        <f t="shared" si="4"/>
        <v>7</v>
      </c>
      <c r="H43" s="11">
        <f t="shared" si="5"/>
        <v>310000</v>
      </c>
      <c r="L43" s="3"/>
    </row>
    <row r="44" spans="2:12" x14ac:dyDescent="0.35">
      <c r="B44" s="6" t="s">
        <v>4569</v>
      </c>
      <c r="C44" s="6">
        <v>7</v>
      </c>
      <c r="D44" s="44">
        <v>370000</v>
      </c>
      <c r="E44" s="6">
        <v>1</v>
      </c>
      <c r="F44" s="44">
        <v>6000</v>
      </c>
      <c r="G44" s="6">
        <f t="shared" si="4"/>
        <v>8</v>
      </c>
      <c r="H44" s="44">
        <f t="shared" si="5"/>
        <v>376000</v>
      </c>
    </row>
    <row r="45" spans="2:12" x14ac:dyDescent="0.35">
      <c r="B45" s="6" t="s">
        <v>4570</v>
      </c>
      <c r="C45" s="6">
        <v>10</v>
      </c>
      <c r="D45" s="44">
        <v>505000</v>
      </c>
      <c r="E45" s="6">
        <v>0</v>
      </c>
      <c r="F45" s="44">
        <v>0</v>
      </c>
      <c r="G45" s="6">
        <f t="shared" si="4"/>
        <v>10</v>
      </c>
      <c r="H45" s="44">
        <f t="shared" si="5"/>
        <v>505000</v>
      </c>
    </row>
    <row r="46" spans="2:12" x14ac:dyDescent="0.35">
      <c r="B46" s="6" t="s">
        <v>4571</v>
      </c>
      <c r="C46" s="6">
        <v>9</v>
      </c>
      <c r="D46" s="44">
        <v>655000</v>
      </c>
      <c r="E46" s="6">
        <v>2</v>
      </c>
      <c r="F46" s="44">
        <v>9000</v>
      </c>
      <c r="G46" s="6">
        <f t="shared" si="4"/>
        <v>11</v>
      </c>
      <c r="H46" s="44">
        <f t="shared" si="5"/>
        <v>664000</v>
      </c>
    </row>
    <row r="47" spans="2:12" x14ac:dyDescent="0.35">
      <c r="B47" s="6" t="s">
        <v>4572</v>
      </c>
      <c r="C47" s="6">
        <v>19</v>
      </c>
      <c r="D47" s="44">
        <v>972000</v>
      </c>
      <c r="E47" s="6">
        <v>0</v>
      </c>
      <c r="F47" s="44">
        <v>0</v>
      </c>
      <c r="G47" s="6">
        <f t="shared" si="4"/>
        <v>19</v>
      </c>
      <c r="H47" s="44">
        <f t="shared" si="5"/>
        <v>972000</v>
      </c>
    </row>
    <row r="48" spans="2:12" x14ac:dyDescent="0.35">
      <c r="B48" s="6" t="s">
        <v>4573</v>
      </c>
      <c r="C48" s="6">
        <v>6</v>
      </c>
      <c r="D48" s="44">
        <v>370000</v>
      </c>
      <c r="E48" s="6">
        <v>0</v>
      </c>
      <c r="F48" s="44">
        <v>0</v>
      </c>
      <c r="G48" s="6">
        <f t="shared" si="4"/>
        <v>6</v>
      </c>
      <c r="H48" s="44">
        <f t="shared" si="5"/>
        <v>370000</v>
      </c>
    </row>
    <row r="49" spans="2:11" x14ac:dyDescent="0.35">
      <c r="B49" s="6" t="s">
        <v>4562</v>
      </c>
      <c r="C49" s="6">
        <v>9</v>
      </c>
      <c r="D49" s="44">
        <v>590000</v>
      </c>
      <c r="E49" s="6">
        <v>0</v>
      </c>
      <c r="F49" s="44">
        <v>0</v>
      </c>
      <c r="G49" s="6">
        <f t="shared" si="4"/>
        <v>9</v>
      </c>
      <c r="H49" s="44">
        <f t="shared" si="5"/>
        <v>590000</v>
      </c>
    </row>
    <row r="50" spans="2:11" x14ac:dyDescent="0.35">
      <c r="B50" s="6" t="s">
        <v>4563</v>
      </c>
      <c r="C50" s="6">
        <v>9</v>
      </c>
      <c r="D50" s="11">
        <v>375000</v>
      </c>
      <c r="E50" s="6">
        <v>0</v>
      </c>
      <c r="F50" s="6">
        <v>0</v>
      </c>
      <c r="G50" s="6">
        <f t="shared" si="4"/>
        <v>9</v>
      </c>
      <c r="H50" s="11">
        <f t="shared" si="5"/>
        <v>375000</v>
      </c>
    </row>
    <row r="51" spans="2:11" x14ac:dyDescent="0.35">
      <c r="F51" s="49" t="s">
        <v>4577</v>
      </c>
      <c r="G51" s="50">
        <f>SUM(G39:G50)</f>
        <v>87</v>
      </c>
      <c r="H51" s="57">
        <f>SUM(H39:H50)</f>
        <v>4647000</v>
      </c>
      <c r="K51" s="95"/>
    </row>
    <row r="52" spans="2:11" x14ac:dyDescent="0.35">
      <c r="F52" s="144" t="s">
        <v>4575</v>
      </c>
      <c r="G52" s="5">
        <f>G51/12</f>
        <v>7.25</v>
      </c>
      <c r="H52" s="110">
        <f>H51/G51</f>
        <v>53413.793103448275</v>
      </c>
      <c r="K52" s="95"/>
    </row>
    <row r="53" spans="2:11" x14ac:dyDescent="0.35">
      <c r="B53" s="3">
        <v>2022</v>
      </c>
    </row>
    <row r="54" spans="2:11" x14ac:dyDescent="0.35">
      <c r="B54" s="6" t="s">
        <v>4564</v>
      </c>
      <c r="C54" s="6">
        <v>4</v>
      </c>
      <c r="D54" s="11">
        <v>270000</v>
      </c>
      <c r="E54" s="6">
        <v>1</v>
      </c>
      <c r="F54" s="11">
        <v>10000</v>
      </c>
      <c r="G54" s="6">
        <f t="shared" ref="G54:G65" si="6">E54+C54</f>
        <v>5</v>
      </c>
      <c r="H54" s="11">
        <f t="shared" ref="H54:H65" si="7">F54+D54</f>
        <v>280000</v>
      </c>
    </row>
    <row r="55" spans="2:11" x14ac:dyDescent="0.35">
      <c r="B55" s="6" t="s">
        <v>4565</v>
      </c>
      <c r="C55" s="6">
        <v>4</v>
      </c>
      <c r="D55" s="11">
        <v>170000</v>
      </c>
      <c r="E55" s="6">
        <v>0</v>
      </c>
      <c r="F55" s="11">
        <v>0</v>
      </c>
      <c r="G55" s="6">
        <f t="shared" si="6"/>
        <v>4</v>
      </c>
      <c r="H55" s="11">
        <f t="shared" si="7"/>
        <v>170000</v>
      </c>
    </row>
    <row r="56" spans="2:11" x14ac:dyDescent="0.35">
      <c r="B56" s="6" t="s">
        <v>4566</v>
      </c>
      <c r="C56" s="6">
        <v>8</v>
      </c>
      <c r="D56" s="11">
        <v>410000</v>
      </c>
      <c r="E56" s="6">
        <v>0</v>
      </c>
      <c r="F56" s="11">
        <v>0</v>
      </c>
      <c r="G56" s="6">
        <f t="shared" si="6"/>
        <v>8</v>
      </c>
      <c r="H56" s="11">
        <f t="shared" si="7"/>
        <v>410000</v>
      </c>
    </row>
    <row r="57" spans="2:11" x14ac:dyDescent="0.35">
      <c r="B57" s="6" t="s">
        <v>4567</v>
      </c>
      <c r="C57" s="6">
        <v>6</v>
      </c>
      <c r="D57" s="11">
        <v>426000</v>
      </c>
      <c r="E57" s="6">
        <v>2</v>
      </c>
      <c r="F57" s="11">
        <v>15000</v>
      </c>
      <c r="G57" s="6">
        <f t="shared" si="6"/>
        <v>8</v>
      </c>
      <c r="H57" s="11">
        <f t="shared" si="7"/>
        <v>441000</v>
      </c>
    </row>
    <row r="58" spans="2:11" x14ac:dyDescent="0.35">
      <c r="B58" s="6" t="s">
        <v>4568</v>
      </c>
      <c r="C58" s="6">
        <v>12</v>
      </c>
      <c r="D58" s="11">
        <v>750000</v>
      </c>
      <c r="E58" s="6">
        <v>1</v>
      </c>
      <c r="F58" s="11">
        <v>3000</v>
      </c>
      <c r="G58" s="6">
        <f t="shared" si="6"/>
        <v>13</v>
      </c>
      <c r="H58" s="11">
        <f t="shared" si="7"/>
        <v>753000</v>
      </c>
    </row>
    <row r="59" spans="2:11" x14ac:dyDescent="0.35">
      <c r="B59" s="6" t="s">
        <v>4569</v>
      </c>
      <c r="C59" s="6">
        <v>8</v>
      </c>
      <c r="D59" s="44">
        <v>535000</v>
      </c>
      <c r="E59" s="6">
        <v>1</v>
      </c>
      <c r="F59" s="44">
        <v>35000</v>
      </c>
      <c r="G59" s="6">
        <f t="shared" si="6"/>
        <v>9</v>
      </c>
      <c r="H59" s="44">
        <f t="shared" si="7"/>
        <v>570000</v>
      </c>
    </row>
    <row r="60" spans="2:11" x14ac:dyDescent="0.35">
      <c r="B60" s="6" t="s">
        <v>4570</v>
      </c>
      <c r="C60" s="6">
        <v>7</v>
      </c>
      <c r="D60" s="44">
        <v>275000</v>
      </c>
      <c r="E60" s="6">
        <v>0</v>
      </c>
      <c r="F60" s="44">
        <v>0</v>
      </c>
      <c r="G60" s="6">
        <f t="shared" si="6"/>
        <v>7</v>
      </c>
      <c r="H60" s="44">
        <f t="shared" si="7"/>
        <v>275000</v>
      </c>
    </row>
    <row r="61" spans="2:11" x14ac:dyDescent="0.35">
      <c r="B61" s="6" t="s">
        <v>4571</v>
      </c>
      <c r="C61" s="6">
        <v>15</v>
      </c>
      <c r="D61" s="44">
        <v>933000</v>
      </c>
      <c r="E61" s="6">
        <v>0</v>
      </c>
      <c r="F61" s="44">
        <v>0</v>
      </c>
      <c r="G61" s="6">
        <f t="shared" si="6"/>
        <v>15</v>
      </c>
      <c r="H61" s="44">
        <f t="shared" si="7"/>
        <v>933000</v>
      </c>
    </row>
    <row r="62" spans="2:11" x14ac:dyDescent="0.35">
      <c r="B62" s="6" t="s">
        <v>4572</v>
      </c>
      <c r="C62" s="6">
        <v>15</v>
      </c>
      <c r="D62" s="44">
        <v>729000</v>
      </c>
      <c r="E62" s="6">
        <v>0</v>
      </c>
      <c r="F62" s="44">
        <v>0</v>
      </c>
      <c r="G62" s="6">
        <f t="shared" si="6"/>
        <v>15</v>
      </c>
      <c r="H62" s="44">
        <f t="shared" si="7"/>
        <v>729000</v>
      </c>
    </row>
    <row r="63" spans="2:11" x14ac:dyDescent="0.35">
      <c r="B63" s="6" t="s">
        <v>4573</v>
      </c>
      <c r="C63" s="6">
        <v>3</v>
      </c>
      <c r="D63" s="44">
        <v>235000</v>
      </c>
      <c r="E63" s="6">
        <v>0</v>
      </c>
      <c r="F63" s="44">
        <v>0</v>
      </c>
      <c r="G63" s="6">
        <f t="shared" si="6"/>
        <v>3</v>
      </c>
      <c r="H63" s="44">
        <f t="shared" si="7"/>
        <v>235000</v>
      </c>
    </row>
    <row r="64" spans="2:11" x14ac:dyDescent="0.35">
      <c r="B64" s="6" t="s">
        <v>4562</v>
      </c>
      <c r="C64" s="6">
        <v>11</v>
      </c>
      <c r="D64" s="44">
        <v>884000</v>
      </c>
      <c r="E64" s="6">
        <v>1</v>
      </c>
      <c r="F64" s="44">
        <v>10000</v>
      </c>
      <c r="G64" s="6">
        <f t="shared" si="6"/>
        <v>12</v>
      </c>
      <c r="H64" s="44">
        <f t="shared" si="7"/>
        <v>894000</v>
      </c>
    </row>
    <row r="65" spans="2:11" x14ac:dyDescent="0.35">
      <c r="B65" s="6" t="s">
        <v>4563</v>
      </c>
      <c r="C65" s="6">
        <v>11</v>
      </c>
      <c r="D65" s="11">
        <v>850000</v>
      </c>
      <c r="E65" s="6">
        <v>0</v>
      </c>
      <c r="F65" s="6">
        <v>0</v>
      </c>
      <c r="G65" s="6">
        <f t="shared" si="6"/>
        <v>11</v>
      </c>
      <c r="H65" s="11">
        <f t="shared" si="7"/>
        <v>850000</v>
      </c>
    </row>
    <row r="66" spans="2:11" x14ac:dyDescent="0.35">
      <c r="F66" s="49" t="s">
        <v>4578</v>
      </c>
      <c r="G66" s="50">
        <f>SUM(G54:G65)</f>
        <v>110</v>
      </c>
      <c r="H66" s="57">
        <f>SUM(H54:H65)</f>
        <v>6540000</v>
      </c>
      <c r="K66" s="95"/>
    </row>
    <row r="67" spans="2:11" x14ac:dyDescent="0.35">
      <c r="F67" s="144" t="s">
        <v>4575</v>
      </c>
      <c r="G67" s="5">
        <f>G66/12</f>
        <v>9.1666666666666661</v>
      </c>
      <c r="H67" s="110">
        <f>H66/G66</f>
        <v>59454.545454545456</v>
      </c>
      <c r="I67" s="96"/>
      <c r="J67" s="95"/>
      <c r="K67" s="95"/>
    </row>
    <row r="68" spans="2:11" x14ac:dyDescent="0.35">
      <c r="B68" s="3">
        <v>2023</v>
      </c>
    </row>
    <row r="69" spans="2:11" x14ac:dyDescent="0.35">
      <c r="B69" s="6" t="s">
        <v>4564</v>
      </c>
      <c r="C69" s="6">
        <v>6</v>
      </c>
      <c r="D69" s="11">
        <v>375000</v>
      </c>
      <c r="E69" s="6">
        <v>0</v>
      </c>
      <c r="F69" s="11">
        <v>0</v>
      </c>
      <c r="G69" s="6">
        <f t="shared" ref="G69:G80" si="8">E69+C69</f>
        <v>6</v>
      </c>
      <c r="H69" s="11">
        <f t="shared" ref="H69:H80" si="9">F69+D69</f>
        <v>375000</v>
      </c>
    </row>
    <row r="70" spans="2:11" x14ac:dyDescent="0.35">
      <c r="B70" s="6" t="s">
        <v>4565</v>
      </c>
      <c r="C70" s="6">
        <v>2</v>
      </c>
      <c r="D70" s="11">
        <v>55000</v>
      </c>
      <c r="E70" s="6">
        <v>1</v>
      </c>
      <c r="F70" s="11">
        <v>15000</v>
      </c>
      <c r="G70" s="6">
        <f t="shared" si="8"/>
        <v>3</v>
      </c>
      <c r="H70" s="11">
        <f t="shared" si="9"/>
        <v>70000</v>
      </c>
    </row>
    <row r="71" spans="2:11" x14ac:dyDescent="0.35">
      <c r="B71" s="6" t="s">
        <v>4566</v>
      </c>
      <c r="C71" s="6">
        <v>5</v>
      </c>
      <c r="D71" s="11">
        <v>370000</v>
      </c>
      <c r="E71" s="6">
        <v>0</v>
      </c>
      <c r="F71" s="11">
        <v>0</v>
      </c>
      <c r="G71" s="6">
        <f t="shared" si="8"/>
        <v>5</v>
      </c>
      <c r="H71" s="11">
        <f t="shared" si="9"/>
        <v>370000</v>
      </c>
    </row>
    <row r="72" spans="2:11" x14ac:dyDescent="0.35">
      <c r="B72" s="6" t="s">
        <v>4567</v>
      </c>
      <c r="C72" s="6">
        <v>3</v>
      </c>
      <c r="D72" s="11">
        <v>650000</v>
      </c>
      <c r="E72" s="6">
        <v>0</v>
      </c>
      <c r="F72" s="11">
        <v>0</v>
      </c>
      <c r="G72" s="6">
        <f t="shared" si="8"/>
        <v>3</v>
      </c>
      <c r="H72" s="11">
        <f t="shared" si="9"/>
        <v>650000</v>
      </c>
    </row>
    <row r="73" spans="2:11" x14ac:dyDescent="0.35">
      <c r="B73" s="6" t="s">
        <v>4568</v>
      </c>
      <c r="C73" s="6">
        <v>4</v>
      </c>
      <c r="D73" s="11">
        <v>290000</v>
      </c>
      <c r="E73" s="6">
        <v>1</v>
      </c>
      <c r="F73" s="11">
        <v>25000</v>
      </c>
      <c r="G73" s="6">
        <f t="shared" si="8"/>
        <v>5</v>
      </c>
      <c r="H73" s="11">
        <f t="shared" si="9"/>
        <v>315000</v>
      </c>
    </row>
    <row r="74" spans="2:11" x14ac:dyDescent="0.35">
      <c r="B74" s="6" t="s">
        <v>4569</v>
      </c>
      <c r="C74" s="6">
        <v>13</v>
      </c>
      <c r="D74" s="44">
        <v>771000</v>
      </c>
      <c r="E74" s="6">
        <v>0</v>
      </c>
      <c r="F74" s="44">
        <v>0</v>
      </c>
      <c r="G74" s="6">
        <f t="shared" si="8"/>
        <v>13</v>
      </c>
      <c r="H74" s="44">
        <f t="shared" si="9"/>
        <v>771000</v>
      </c>
    </row>
    <row r="75" spans="2:11" x14ac:dyDescent="0.35">
      <c r="B75" s="6" t="s">
        <v>4570</v>
      </c>
      <c r="C75" s="6">
        <v>6</v>
      </c>
      <c r="D75" s="44">
        <v>400000</v>
      </c>
      <c r="E75" s="6">
        <v>1</v>
      </c>
      <c r="F75" s="44">
        <v>10000</v>
      </c>
      <c r="G75" s="6">
        <f t="shared" si="8"/>
        <v>7</v>
      </c>
      <c r="H75" s="44">
        <f t="shared" si="9"/>
        <v>410000</v>
      </c>
    </row>
    <row r="76" spans="2:11" x14ac:dyDescent="0.35">
      <c r="B76" s="6" t="s">
        <v>4571</v>
      </c>
      <c r="C76" s="6">
        <v>6</v>
      </c>
      <c r="D76" s="44">
        <v>338000</v>
      </c>
      <c r="E76" s="6">
        <v>0</v>
      </c>
      <c r="F76" s="44">
        <v>0</v>
      </c>
      <c r="G76" s="6">
        <f t="shared" si="8"/>
        <v>6</v>
      </c>
      <c r="H76" s="44">
        <f t="shared" si="9"/>
        <v>338000</v>
      </c>
    </row>
    <row r="77" spans="2:11" x14ac:dyDescent="0.35">
      <c r="B77" s="6" t="s">
        <v>4572</v>
      </c>
      <c r="C77" s="6">
        <v>9</v>
      </c>
      <c r="D77" s="44">
        <v>620000</v>
      </c>
      <c r="E77" s="6">
        <v>0</v>
      </c>
      <c r="F77" s="44">
        <v>0</v>
      </c>
      <c r="G77" s="6">
        <f t="shared" si="8"/>
        <v>9</v>
      </c>
      <c r="H77" s="44">
        <f t="shared" si="9"/>
        <v>620000</v>
      </c>
    </row>
    <row r="78" spans="2:11" x14ac:dyDescent="0.35">
      <c r="B78" s="6" t="s">
        <v>4573</v>
      </c>
      <c r="C78" s="6">
        <v>12</v>
      </c>
      <c r="D78" s="44">
        <v>702000</v>
      </c>
      <c r="E78" s="6">
        <v>0</v>
      </c>
      <c r="F78" s="44">
        <v>0</v>
      </c>
      <c r="G78" s="6">
        <f t="shared" si="8"/>
        <v>12</v>
      </c>
      <c r="H78" s="44">
        <f t="shared" si="9"/>
        <v>702000</v>
      </c>
    </row>
    <row r="79" spans="2:11" x14ac:dyDescent="0.35">
      <c r="B79" s="6" t="s">
        <v>4562</v>
      </c>
      <c r="C79" s="6">
        <v>11</v>
      </c>
      <c r="D79" s="44">
        <v>1640000</v>
      </c>
      <c r="E79" s="6">
        <v>1</v>
      </c>
      <c r="F79" s="44">
        <v>11000</v>
      </c>
      <c r="G79" s="6">
        <f t="shared" si="8"/>
        <v>12</v>
      </c>
      <c r="H79" s="44">
        <f t="shared" si="9"/>
        <v>1651000</v>
      </c>
    </row>
    <row r="80" spans="2:11" x14ac:dyDescent="0.35">
      <c r="B80" s="6" t="s">
        <v>4563</v>
      </c>
      <c r="C80" s="6">
        <v>9</v>
      </c>
      <c r="D80" s="11">
        <v>800000</v>
      </c>
      <c r="E80" s="6">
        <v>0</v>
      </c>
      <c r="F80" s="6">
        <v>0</v>
      </c>
      <c r="G80" s="6">
        <f t="shared" si="8"/>
        <v>9</v>
      </c>
      <c r="H80" s="11">
        <f t="shared" si="9"/>
        <v>800000</v>
      </c>
    </row>
    <row r="81" spans="2:11" x14ac:dyDescent="0.35">
      <c r="F81" s="49" t="s">
        <v>4579</v>
      </c>
      <c r="G81" s="50">
        <f>SUM(G69:G80)</f>
        <v>90</v>
      </c>
      <c r="H81" s="57">
        <f>SUM(H69:H80)</f>
        <v>7072000</v>
      </c>
      <c r="K81" s="95"/>
    </row>
    <row r="82" spans="2:11" x14ac:dyDescent="0.35">
      <c r="F82" s="144" t="s">
        <v>4575</v>
      </c>
      <c r="G82" s="5">
        <f>G81/12</f>
        <v>7.5</v>
      </c>
      <c r="H82" s="110">
        <f>H81/G81</f>
        <v>78577.777777777781</v>
      </c>
      <c r="K82" s="95"/>
    </row>
    <row r="83" spans="2:11" x14ac:dyDescent="0.35">
      <c r="B83" s="3">
        <v>2024</v>
      </c>
    </row>
    <row r="84" spans="2:11" x14ac:dyDescent="0.35">
      <c r="B84" s="6" t="s">
        <v>4564</v>
      </c>
      <c r="C84" s="6">
        <v>10</v>
      </c>
      <c r="D84" s="11">
        <v>711000</v>
      </c>
      <c r="E84" s="6">
        <v>0</v>
      </c>
      <c r="F84" s="11">
        <v>0</v>
      </c>
      <c r="G84" s="6">
        <f t="shared" ref="G84:G95" si="10">E84+C84</f>
        <v>10</v>
      </c>
      <c r="H84" s="11">
        <f t="shared" ref="H84:H95" si="11">F84+D84</f>
        <v>711000</v>
      </c>
    </row>
    <row r="85" spans="2:11" x14ac:dyDescent="0.35">
      <c r="B85" s="6" t="s">
        <v>4565</v>
      </c>
      <c r="C85" s="6">
        <v>5</v>
      </c>
      <c r="D85" s="11">
        <v>338000</v>
      </c>
      <c r="E85" s="6">
        <v>0</v>
      </c>
      <c r="F85" s="11">
        <v>0</v>
      </c>
      <c r="G85" s="6">
        <f t="shared" si="10"/>
        <v>5</v>
      </c>
      <c r="H85" s="11">
        <f t="shared" si="11"/>
        <v>338000</v>
      </c>
    </row>
    <row r="86" spans="2:11" x14ac:dyDescent="0.35">
      <c r="B86" s="6" t="s">
        <v>4566</v>
      </c>
      <c r="C86" s="6">
        <v>13</v>
      </c>
      <c r="D86" s="11">
        <v>1980000</v>
      </c>
      <c r="E86" s="6">
        <v>0</v>
      </c>
      <c r="F86" s="11">
        <v>0</v>
      </c>
      <c r="G86" s="6">
        <f t="shared" si="10"/>
        <v>13</v>
      </c>
      <c r="H86" s="11">
        <f t="shared" si="11"/>
        <v>1980000</v>
      </c>
    </row>
    <row r="87" spans="2:11" x14ac:dyDescent="0.35">
      <c r="B87" s="6" t="s">
        <v>4567</v>
      </c>
      <c r="C87" s="6">
        <v>8</v>
      </c>
      <c r="D87" s="11">
        <v>1095000</v>
      </c>
      <c r="E87" s="6">
        <v>0</v>
      </c>
      <c r="F87" s="11">
        <v>0</v>
      </c>
      <c r="G87" s="6">
        <f t="shared" si="10"/>
        <v>8</v>
      </c>
      <c r="H87" s="11">
        <f t="shared" si="11"/>
        <v>1095000</v>
      </c>
    </row>
    <row r="88" spans="2:11" x14ac:dyDescent="0.35">
      <c r="B88" s="6" t="s">
        <v>4568</v>
      </c>
      <c r="C88" s="6">
        <v>7</v>
      </c>
      <c r="D88" s="11">
        <v>825000</v>
      </c>
      <c r="E88" s="6">
        <v>0</v>
      </c>
      <c r="F88" s="11">
        <v>0</v>
      </c>
      <c r="G88" s="6">
        <f t="shared" si="10"/>
        <v>7</v>
      </c>
      <c r="H88" s="11">
        <f t="shared" si="11"/>
        <v>825000</v>
      </c>
    </row>
    <row r="89" spans="2:11" x14ac:dyDescent="0.35">
      <c r="B89" s="6" t="s">
        <v>4569</v>
      </c>
      <c r="C89" s="6">
        <v>7</v>
      </c>
      <c r="D89" s="44">
        <v>950000</v>
      </c>
      <c r="E89" s="6">
        <v>0</v>
      </c>
      <c r="F89" s="44">
        <v>0</v>
      </c>
      <c r="G89" s="6">
        <f t="shared" si="10"/>
        <v>7</v>
      </c>
      <c r="H89" s="44">
        <f t="shared" si="11"/>
        <v>950000</v>
      </c>
    </row>
    <row r="90" spans="2:11" x14ac:dyDescent="0.35">
      <c r="B90" s="6" t="s">
        <v>4570</v>
      </c>
      <c r="C90" s="6">
        <v>11</v>
      </c>
      <c r="D90" s="44">
        <v>1410000</v>
      </c>
      <c r="E90" s="6">
        <v>1</v>
      </c>
      <c r="F90" s="44">
        <v>15000</v>
      </c>
      <c r="G90" s="6">
        <f t="shared" si="10"/>
        <v>12</v>
      </c>
      <c r="H90" s="44">
        <f t="shared" si="11"/>
        <v>1425000</v>
      </c>
    </row>
    <row r="91" spans="2:11" x14ac:dyDescent="0.35">
      <c r="B91" s="6" t="s">
        <v>4571</v>
      </c>
      <c r="C91" s="6">
        <v>15</v>
      </c>
      <c r="D91" s="44">
        <v>1570000</v>
      </c>
      <c r="E91" s="6">
        <v>0</v>
      </c>
      <c r="F91" s="44">
        <v>0</v>
      </c>
      <c r="G91" s="6">
        <f t="shared" si="10"/>
        <v>15</v>
      </c>
      <c r="H91" s="44">
        <f t="shared" si="11"/>
        <v>1570000</v>
      </c>
    </row>
    <row r="92" spans="2:11" x14ac:dyDescent="0.35">
      <c r="B92" s="6" t="s">
        <v>4572</v>
      </c>
      <c r="C92" s="6">
        <v>6</v>
      </c>
      <c r="D92" s="44">
        <v>1362000</v>
      </c>
      <c r="E92" s="6">
        <v>0</v>
      </c>
      <c r="F92" s="44">
        <v>0</v>
      </c>
      <c r="G92" s="6">
        <f t="shared" si="10"/>
        <v>6</v>
      </c>
      <c r="H92" s="44">
        <f t="shared" si="11"/>
        <v>1362000</v>
      </c>
    </row>
    <row r="93" spans="2:11" x14ac:dyDescent="0.35">
      <c r="B93" s="6" t="s">
        <v>4573</v>
      </c>
      <c r="C93" s="6">
        <v>5</v>
      </c>
      <c r="D93" s="44">
        <v>362000</v>
      </c>
      <c r="E93" s="6">
        <v>0</v>
      </c>
      <c r="F93" s="44">
        <v>0</v>
      </c>
      <c r="G93" s="6">
        <f t="shared" si="10"/>
        <v>5</v>
      </c>
      <c r="H93" s="44">
        <f t="shared" si="11"/>
        <v>362000</v>
      </c>
    </row>
    <row r="94" spans="2:11" x14ac:dyDescent="0.35">
      <c r="B94" s="6" t="s">
        <v>4562</v>
      </c>
      <c r="C94" s="6">
        <v>5</v>
      </c>
      <c r="D94" s="44">
        <v>270000</v>
      </c>
      <c r="E94" s="6">
        <v>0</v>
      </c>
      <c r="F94" s="44">
        <v>0</v>
      </c>
      <c r="G94" s="6">
        <f t="shared" si="10"/>
        <v>5</v>
      </c>
      <c r="H94" s="44">
        <f t="shared" si="11"/>
        <v>270000</v>
      </c>
    </row>
    <row r="95" spans="2:11" x14ac:dyDescent="0.35">
      <c r="B95" s="6" t="s">
        <v>4563</v>
      </c>
      <c r="C95" s="6">
        <v>8</v>
      </c>
      <c r="D95" s="11">
        <v>1372000</v>
      </c>
      <c r="E95" s="6">
        <v>0</v>
      </c>
      <c r="F95" s="6">
        <v>0</v>
      </c>
      <c r="G95" s="6">
        <f t="shared" si="10"/>
        <v>8</v>
      </c>
      <c r="H95" s="11">
        <f t="shared" si="11"/>
        <v>1372000</v>
      </c>
    </row>
    <row r="96" spans="2:11" x14ac:dyDescent="0.35">
      <c r="F96" s="49" t="s">
        <v>4580</v>
      </c>
      <c r="G96" s="50">
        <f>SUM(G84:G95)</f>
        <v>101</v>
      </c>
      <c r="H96" s="57">
        <f>SUM(H84:H95)</f>
        <v>12260000</v>
      </c>
      <c r="K96" s="95"/>
    </row>
    <row r="97" spans="2:18" x14ac:dyDescent="0.35">
      <c r="F97" s="144" t="s">
        <v>4575</v>
      </c>
      <c r="G97" s="5">
        <f>G96/12</f>
        <v>8.4166666666666661</v>
      </c>
      <c r="H97" s="110">
        <f>H96/G96</f>
        <v>121386.13861386139</v>
      </c>
      <c r="I97" s="96"/>
      <c r="J97" s="95"/>
      <c r="K97" s="95"/>
    </row>
    <row r="98" spans="2:18" x14ac:dyDescent="0.35">
      <c r="B98" s="3">
        <v>2025</v>
      </c>
    </row>
    <row r="99" spans="2:18" x14ac:dyDescent="0.35">
      <c r="B99" s="6" t="s">
        <v>4564</v>
      </c>
      <c r="C99" s="6">
        <v>6</v>
      </c>
      <c r="D99" s="11">
        <v>380000</v>
      </c>
      <c r="E99" s="6">
        <v>0</v>
      </c>
      <c r="F99" s="11">
        <v>0</v>
      </c>
      <c r="G99" s="6">
        <f t="shared" ref="G99:G110" si="12">E99+C99</f>
        <v>6</v>
      </c>
      <c r="H99" s="139">
        <f t="shared" ref="H99:H110" si="13">F99+D99</f>
        <v>380000</v>
      </c>
      <c r="I99" s="147">
        <f>H99/14.25</f>
        <v>26666.666666666668</v>
      </c>
      <c r="J99" s="147">
        <f>H99/G99</f>
        <v>63333.333333333336</v>
      </c>
      <c r="K99" s="134">
        <f>J99/14.25</f>
        <v>4444.4444444444443</v>
      </c>
    </row>
    <row r="100" spans="2:18" x14ac:dyDescent="0.35">
      <c r="B100" s="6" t="s">
        <v>4565</v>
      </c>
      <c r="C100" s="6">
        <v>12</v>
      </c>
      <c r="D100" s="11">
        <v>2555000</v>
      </c>
      <c r="E100" s="6">
        <v>0</v>
      </c>
      <c r="F100" s="11">
        <v>0</v>
      </c>
      <c r="G100" s="6">
        <f t="shared" si="12"/>
        <v>12</v>
      </c>
      <c r="H100" s="139">
        <f t="shared" si="13"/>
        <v>2555000</v>
      </c>
      <c r="I100" s="148">
        <f>H100/14.25</f>
        <v>179298.24561403508</v>
      </c>
      <c r="J100" s="147">
        <f t="shared" ref="J100:J101" si="14">H100/G100</f>
        <v>212916.66666666666</v>
      </c>
      <c r="K100" s="134">
        <f t="shared" ref="K100:K101" si="15">J100/14.25</f>
        <v>14941.520467836257</v>
      </c>
    </row>
    <row r="101" spans="2:18" x14ac:dyDescent="0.35">
      <c r="B101" s="6" t="s">
        <v>4566</v>
      </c>
      <c r="C101" s="6">
        <v>15</v>
      </c>
      <c r="D101" s="11">
        <v>3370000</v>
      </c>
      <c r="E101" s="6">
        <v>0</v>
      </c>
      <c r="F101" s="11">
        <v>0</v>
      </c>
      <c r="G101" s="6">
        <f t="shared" si="12"/>
        <v>15</v>
      </c>
      <c r="H101" s="139">
        <f t="shared" si="13"/>
        <v>3370000</v>
      </c>
      <c r="I101" s="147">
        <f>H101/14.25</f>
        <v>236491.22807017545</v>
      </c>
      <c r="J101" s="147">
        <f t="shared" si="14"/>
        <v>224666.66666666666</v>
      </c>
      <c r="K101" s="134">
        <f t="shared" si="15"/>
        <v>15766.081871345028</v>
      </c>
      <c r="P101" s="98" t="s">
        <v>4581</v>
      </c>
      <c r="Q101" s="40">
        <f>500000*5.0854</f>
        <v>2542700</v>
      </c>
      <c r="R101" s="95" t="s">
        <v>4582</v>
      </c>
    </row>
    <row r="102" spans="2:18" x14ac:dyDescent="0.35">
      <c r="B102" s="6" t="s">
        <v>4567</v>
      </c>
      <c r="C102" s="6">
        <v>3</v>
      </c>
      <c r="D102" s="11">
        <v>250000</v>
      </c>
      <c r="E102" s="6">
        <v>0</v>
      </c>
      <c r="F102" s="11">
        <v>0</v>
      </c>
      <c r="G102" s="6">
        <f t="shared" si="12"/>
        <v>3</v>
      </c>
      <c r="H102" s="139">
        <f t="shared" si="13"/>
        <v>250000</v>
      </c>
      <c r="I102" s="147">
        <f>H102/14.15</f>
        <v>17667.844522968197</v>
      </c>
      <c r="J102" s="147">
        <f t="shared" ref="J102:J104" si="16">H102/G102</f>
        <v>83333.333333333328</v>
      </c>
      <c r="K102" s="134">
        <f>J102/14.15</f>
        <v>5889.2815076560655</v>
      </c>
      <c r="P102" s="98" t="s">
        <v>4583</v>
      </c>
      <c r="Q102" s="40">
        <f>500000*5.93188</f>
        <v>2965940</v>
      </c>
      <c r="R102" s="95" t="s">
        <v>4582</v>
      </c>
    </row>
    <row r="103" spans="2:18" ht="16" x14ac:dyDescent="0.5">
      <c r="B103" s="6" t="s">
        <v>4568</v>
      </c>
      <c r="C103" s="6">
        <v>9</v>
      </c>
      <c r="D103" s="11">
        <v>1640000</v>
      </c>
      <c r="E103" s="6">
        <v>0</v>
      </c>
      <c r="F103" s="11">
        <v>0</v>
      </c>
      <c r="G103" s="6">
        <f t="shared" si="12"/>
        <v>9</v>
      </c>
      <c r="H103" s="139">
        <f t="shared" si="13"/>
        <v>1640000</v>
      </c>
      <c r="I103" s="147">
        <f>H103/10.28</f>
        <v>159533.0739299611</v>
      </c>
      <c r="J103" s="147">
        <f t="shared" si="16"/>
        <v>182222.22222222222</v>
      </c>
      <c r="K103" s="134">
        <f>J103/10.28</f>
        <v>17725.897103329011</v>
      </c>
      <c r="P103" s="98" t="s">
        <v>4584</v>
      </c>
      <c r="Q103" s="108">
        <v>3039939.2</v>
      </c>
      <c r="R103" s="95" t="s">
        <v>4582</v>
      </c>
    </row>
    <row r="104" spans="2:18" x14ac:dyDescent="0.35">
      <c r="B104" s="6" t="s">
        <v>4569</v>
      </c>
      <c r="C104" s="6">
        <v>10</v>
      </c>
      <c r="D104" s="44">
        <v>1570000</v>
      </c>
      <c r="E104" s="6">
        <v>0</v>
      </c>
      <c r="F104" s="44">
        <v>0</v>
      </c>
      <c r="G104" s="6">
        <f t="shared" si="12"/>
        <v>10</v>
      </c>
      <c r="H104" s="146">
        <f t="shared" si="13"/>
        <v>1570000</v>
      </c>
      <c r="I104" s="147">
        <f>H104/10.31</f>
        <v>152279.34044616876</v>
      </c>
      <c r="J104" s="147">
        <f t="shared" si="16"/>
        <v>157000</v>
      </c>
      <c r="K104" s="134">
        <f>J104/10.31</f>
        <v>15227.934044616875</v>
      </c>
      <c r="P104" s="109" t="s">
        <v>4585</v>
      </c>
      <c r="Q104" s="96">
        <f>SUM(Q101:Q103)</f>
        <v>8548579.1999999993</v>
      </c>
      <c r="R104" s="95" t="s">
        <v>4582</v>
      </c>
    </row>
    <row r="105" spans="2:18" ht="16" x14ac:dyDescent="0.5">
      <c r="B105" s="6" t="s">
        <v>4570</v>
      </c>
      <c r="C105" s="6">
        <v>6</v>
      </c>
      <c r="D105" s="44">
        <v>850000</v>
      </c>
      <c r="E105" s="6">
        <v>0</v>
      </c>
      <c r="F105" s="44">
        <v>0</v>
      </c>
      <c r="G105" s="6">
        <f t="shared" si="12"/>
        <v>6</v>
      </c>
      <c r="H105" s="146">
        <f t="shared" si="13"/>
        <v>850000</v>
      </c>
      <c r="I105" s="147">
        <f>H105/10.5</f>
        <v>80952.380952380947</v>
      </c>
      <c r="J105" s="147">
        <f t="shared" ref="J105" si="17">H105/G105</f>
        <v>141666.66666666666</v>
      </c>
      <c r="K105" s="134">
        <f>J105/10.5</f>
        <v>13492.063492063491</v>
      </c>
      <c r="P105" s="98" t="s">
        <v>4586</v>
      </c>
      <c r="Q105" s="108">
        <f>(H21+H36+H51+H66+H81+H96+H111)</f>
        <v>47278000</v>
      </c>
      <c r="R105" s="95" t="s">
        <v>4582</v>
      </c>
    </row>
    <row r="106" spans="2:18" x14ac:dyDescent="0.35">
      <c r="B106" s="6" t="s">
        <v>4571</v>
      </c>
      <c r="C106" s="6">
        <v>17</v>
      </c>
      <c r="D106" s="44">
        <v>2582000</v>
      </c>
      <c r="E106" s="6">
        <v>0</v>
      </c>
      <c r="F106" s="44">
        <v>0</v>
      </c>
      <c r="G106" s="6">
        <f t="shared" si="12"/>
        <v>17</v>
      </c>
      <c r="H106" s="146">
        <f t="shared" si="13"/>
        <v>2582000</v>
      </c>
      <c r="I106" s="147">
        <f>H106/11.4</f>
        <v>226491.22807017542</v>
      </c>
      <c r="J106" s="147">
        <f t="shared" ref="J106" si="18">H106/G106</f>
        <v>151882.35294117648</v>
      </c>
      <c r="K106" s="134">
        <f>J106/11.4</f>
        <v>13323.013415892672</v>
      </c>
      <c r="P106" s="98" t="s">
        <v>4587</v>
      </c>
      <c r="Q106" s="96">
        <f>Q105-Q104</f>
        <v>38729420.799999997</v>
      </c>
      <c r="R106" s="95" t="s">
        <v>4582</v>
      </c>
    </row>
    <row r="107" spans="2:18" x14ac:dyDescent="0.35">
      <c r="B107" s="6" t="s">
        <v>4572</v>
      </c>
      <c r="C107" s="6">
        <v>10</v>
      </c>
      <c r="D107" s="44">
        <v>1595000</v>
      </c>
      <c r="E107" s="6">
        <v>0</v>
      </c>
      <c r="F107" s="44">
        <v>0</v>
      </c>
      <c r="G107" s="6">
        <f t="shared" si="12"/>
        <v>10</v>
      </c>
      <c r="H107" s="146">
        <f t="shared" si="13"/>
        <v>1595000</v>
      </c>
      <c r="I107" s="147">
        <f>H107/12.42</f>
        <v>128421.9001610306</v>
      </c>
      <c r="J107" s="147">
        <f t="shared" ref="J107" si="19">H107/G107</f>
        <v>159500</v>
      </c>
      <c r="K107" s="134">
        <f>J107/12.42</f>
        <v>12842.190016103059</v>
      </c>
      <c r="P107" s="98" t="s">
        <v>4588</v>
      </c>
      <c r="Q107" s="99">
        <f>Q106/14.25</f>
        <v>2717854.0912280697</v>
      </c>
      <c r="R107" s="95" t="s">
        <v>4589</v>
      </c>
    </row>
    <row r="108" spans="2:18" x14ac:dyDescent="0.35">
      <c r="B108" s="6" t="s">
        <v>4573</v>
      </c>
      <c r="C108" s="6"/>
      <c r="D108" s="44"/>
      <c r="E108" s="6"/>
      <c r="F108" s="44"/>
      <c r="G108" s="6">
        <f t="shared" si="12"/>
        <v>0</v>
      </c>
      <c r="H108" s="146">
        <f t="shared" si="13"/>
        <v>0</v>
      </c>
      <c r="I108" s="6"/>
      <c r="J108" s="6"/>
      <c r="K108" s="6"/>
    </row>
    <row r="109" spans="2:18" x14ac:dyDescent="0.35">
      <c r="B109" s="6" t="s">
        <v>4562</v>
      </c>
      <c r="C109" s="6"/>
      <c r="D109" s="44"/>
      <c r="E109" s="6"/>
      <c r="F109" s="44"/>
      <c r="G109" s="6">
        <f t="shared" si="12"/>
        <v>0</v>
      </c>
      <c r="H109" s="146">
        <f t="shared" si="13"/>
        <v>0</v>
      </c>
      <c r="I109" s="6"/>
      <c r="J109" s="6"/>
      <c r="K109" s="6"/>
    </row>
    <row r="110" spans="2:18" x14ac:dyDescent="0.35">
      <c r="B110" s="6" t="s">
        <v>4563</v>
      </c>
      <c r="C110" s="6"/>
      <c r="D110" s="11"/>
      <c r="E110" s="6"/>
      <c r="F110" s="6"/>
      <c r="G110" s="6">
        <f t="shared" si="12"/>
        <v>0</v>
      </c>
      <c r="H110" s="139">
        <f t="shared" si="13"/>
        <v>0</v>
      </c>
      <c r="I110" s="6"/>
      <c r="J110" s="6"/>
      <c r="K110" s="6"/>
      <c r="N110" s="40"/>
    </row>
    <row r="111" spans="2:18" x14ac:dyDescent="0.35">
      <c r="F111" s="49" t="s">
        <v>4590</v>
      </c>
      <c r="G111" s="50">
        <f>SUM(G99:G110)</f>
        <v>88</v>
      </c>
      <c r="H111" s="57">
        <f>SUM(H99:H110)</f>
        <v>14792000</v>
      </c>
      <c r="K111" s="95"/>
    </row>
    <row r="112" spans="2:18" x14ac:dyDescent="0.35">
      <c r="F112" s="144" t="s">
        <v>4575</v>
      </c>
      <c r="G112" s="5">
        <f>G111/12</f>
        <v>7.333333333333333</v>
      </c>
      <c r="H112" s="110">
        <f>H111/G111</f>
        <v>168090.90909090909</v>
      </c>
    </row>
    <row r="113" spans="9:9" x14ac:dyDescent="0.35">
      <c r="I113" s="37"/>
    </row>
  </sheetData>
  <mergeCells count="5">
    <mergeCell ref="J3:K3"/>
    <mergeCell ref="C3:D3"/>
    <mergeCell ref="E3:F3"/>
    <mergeCell ref="B2:H2"/>
    <mergeCell ref="G3:I3"/>
  </mergeCells>
  <phoneticPr fontId="19" type="noConversion"/>
  <pageMargins left="0.7" right="0.7" top="0.75" bottom="0.75" header="0.3" footer="0.3"/>
  <pageSetup orientation="portrait" horizontalDpi="4294967295" verticalDpi="4294967295" r:id="rId1"/>
  <ignoredErrors>
    <ignoredError sqref="J99:J102 J108" 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F0699-2816-4349-A462-E47B8B6AD06A}">
  <dimension ref="A1:M34"/>
  <sheetViews>
    <sheetView topLeftCell="A6" zoomScale="80" zoomScaleNormal="80" workbookViewId="0">
      <selection activeCell="E19" sqref="E19"/>
    </sheetView>
  </sheetViews>
  <sheetFormatPr defaultColWidth="9.1796875" defaultRowHeight="14.5" x14ac:dyDescent="0.35"/>
  <cols>
    <col min="1" max="1" width="46.179687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995</v>
      </c>
      <c r="C2" s="19">
        <f>B2/$B$7</f>
        <v>0.93691148775894539</v>
      </c>
      <c r="D2" s="20">
        <f>SUM(D3:D5)</f>
        <v>55883152</v>
      </c>
      <c r="E2" s="21">
        <f t="shared" ref="E2:E7" si="0">D2/B2</f>
        <v>56163.971859296485</v>
      </c>
      <c r="G2" s="82" t="s">
        <v>4599</v>
      </c>
      <c r="H2" s="83">
        <v>433</v>
      </c>
      <c r="I2" s="84">
        <f>H2/$H$12</f>
        <v>0.40772128060263652</v>
      </c>
      <c r="J2" s="85"/>
      <c r="K2" s="86">
        <f>L2/$L$12</f>
        <v>0.44341801385681295</v>
      </c>
      <c r="L2" s="83">
        <f t="shared" ref="L2:L9" si="1">H2-H3</f>
        <v>192</v>
      </c>
      <c r="M2" s="87" t="s">
        <v>4600</v>
      </c>
    </row>
    <row r="3" spans="1:13" x14ac:dyDescent="0.35">
      <c r="A3" s="22" t="s">
        <v>13</v>
      </c>
      <c r="B3" s="6">
        <v>843</v>
      </c>
      <c r="C3" s="149">
        <f>B3/$B$7</f>
        <v>0.79378531073446323</v>
      </c>
      <c r="D3" s="24">
        <v>48205652</v>
      </c>
      <c r="E3" s="21">
        <f t="shared" si="0"/>
        <v>57183.454329774613</v>
      </c>
      <c r="F3" s="37"/>
      <c r="G3" s="66" t="s">
        <v>4601</v>
      </c>
      <c r="H3" s="65">
        <v>241</v>
      </c>
      <c r="I3" s="75">
        <f t="shared" ref="I3:I11" si="2">H3/$H$12</f>
        <v>0.22693032015065914</v>
      </c>
      <c r="J3" s="77"/>
      <c r="K3" s="72">
        <f t="shared" ref="K3:K11" si="3">L3/$L$12</f>
        <v>0.20554272517321015</v>
      </c>
      <c r="L3" s="65">
        <f t="shared" si="1"/>
        <v>89</v>
      </c>
      <c r="M3" s="69" t="s">
        <v>4602</v>
      </c>
    </row>
    <row r="4" spans="1:13" x14ac:dyDescent="0.35">
      <c r="A4" s="22" t="s">
        <v>55</v>
      </c>
      <c r="B4" s="6">
        <v>27</v>
      </c>
      <c r="C4" s="149">
        <f>B4/$B$7</f>
        <v>2.5423728813559324E-2</v>
      </c>
      <c r="D4" s="24">
        <v>902000</v>
      </c>
      <c r="E4" s="21">
        <f t="shared" si="0"/>
        <v>33407.407407407409</v>
      </c>
      <c r="G4" s="88" t="s">
        <v>4603</v>
      </c>
      <c r="H4" s="89">
        <v>152</v>
      </c>
      <c r="I4" s="90">
        <f t="shared" si="2"/>
        <v>0.1431261770244821</v>
      </c>
      <c r="J4" s="85"/>
      <c r="K4" s="91">
        <f t="shared" si="3"/>
        <v>0.13625866050808313</v>
      </c>
      <c r="L4" s="89">
        <f t="shared" si="1"/>
        <v>59</v>
      </c>
      <c r="M4" s="92" t="s">
        <v>4604</v>
      </c>
    </row>
    <row r="5" spans="1:13" x14ac:dyDescent="0.35">
      <c r="A5" s="22" t="s">
        <v>70</v>
      </c>
      <c r="B5" s="6">
        <v>125</v>
      </c>
      <c r="C5" s="149">
        <f>B5/$B$7</f>
        <v>0.11770244821092278</v>
      </c>
      <c r="D5" s="24">
        <v>6775500</v>
      </c>
      <c r="E5" s="21">
        <f t="shared" si="0"/>
        <v>54204</v>
      </c>
      <c r="F5" s="37"/>
      <c r="G5" s="66" t="s">
        <v>4605</v>
      </c>
      <c r="H5" s="65">
        <v>93</v>
      </c>
      <c r="I5" s="75">
        <f t="shared" si="2"/>
        <v>8.7570621468926552E-2</v>
      </c>
      <c r="J5" s="77"/>
      <c r="K5" s="72">
        <f t="shared" si="3"/>
        <v>8.5450346420323328E-2</v>
      </c>
      <c r="L5" s="65">
        <f t="shared" si="1"/>
        <v>37</v>
      </c>
      <c r="M5" s="69" t="s">
        <v>4606</v>
      </c>
    </row>
    <row r="6" spans="1:13" x14ac:dyDescent="0.35">
      <c r="A6" s="22" t="s">
        <v>22</v>
      </c>
      <c r="B6" s="6">
        <v>67</v>
      </c>
      <c r="C6" s="149">
        <f>B6/$B$7</f>
        <v>6.308851224105462E-2</v>
      </c>
      <c r="D6" s="24">
        <v>412700</v>
      </c>
      <c r="E6" s="21">
        <f t="shared" si="0"/>
        <v>6159.7014925373132</v>
      </c>
      <c r="G6" s="88" t="s">
        <v>4607</v>
      </c>
      <c r="H6" s="89">
        <v>56</v>
      </c>
      <c r="I6" s="90">
        <f t="shared" si="2"/>
        <v>5.2730696798493411E-2</v>
      </c>
      <c r="J6" s="85"/>
      <c r="K6" s="91">
        <f t="shared" si="3"/>
        <v>4.8498845265588918E-2</v>
      </c>
      <c r="L6" s="89">
        <f t="shared" si="1"/>
        <v>21</v>
      </c>
      <c r="M6" s="92" t="s">
        <v>4608</v>
      </c>
    </row>
    <row r="7" spans="1:13" ht="15" thickBot="1" x14ac:dyDescent="0.4">
      <c r="A7" s="55" t="s">
        <v>633</v>
      </c>
      <c r="B7" s="56">
        <f>B2+B6</f>
        <v>1062</v>
      </c>
      <c r="C7" s="56"/>
      <c r="D7" s="53">
        <f>D2+D6</f>
        <v>56295852</v>
      </c>
      <c r="E7" s="54">
        <f t="shared" si="0"/>
        <v>53009.276836158191</v>
      </c>
      <c r="G7" s="66" t="s">
        <v>4609</v>
      </c>
      <c r="H7" s="65">
        <v>35</v>
      </c>
      <c r="I7" s="75">
        <f t="shared" si="2"/>
        <v>3.2956685499058377E-2</v>
      </c>
      <c r="J7" s="77"/>
      <c r="K7" s="72">
        <f t="shared" si="3"/>
        <v>3.0023094688221709E-2</v>
      </c>
      <c r="L7" s="65">
        <f t="shared" si="1"/>
        <v>13</v>
      </c>
      <c r="M7" s="69" t="s">
        <v>4610</v>
      </c>
    </row>
    <row r="8" spans="1:13" ht="15" thickBot="1" x14ac:dyDescent="0.4">
      <c r="D8" s="142">
        <f>D7/12.42</f>
        <v>4532677.2946859905</v>
      </c>
      <c r="E8" s="142">
        <f>E7/12.42</f>
        <v>4268.0577162768268</v>
      </c>
      <c r="G8" s="88" t="s">
        <v>4611</v>
      </c>
      <c r="H8" s="89">
        <v>22</v>
      </c>
      <c r="I8" s="90">
        <f t="shared" si="2"/>
        <v>2.0715630885122412E-2</v>
      </c>
      <c r="J8" s="85"/>
      <c r="K8" s="91">
        <f t="shared" si="3"/>
        <v>2.0785219399538105E-2</v>
      </c>
      <c r="L8" s="89">
        <f t="shared" si="1"/>
        <v>9</v>
      </c>
      <c r="M8" s="92" t="s">
        <v>4612</v>
      </c>
    </row>
    <row r="9" spans="1:13" ht="15" thickBot="1" x14ac:dyDescent="0.4">
      <c r="D9" s="109"/>
      <c r="E9" s="141"/>
      <c r="G9" s="66" t="s">
        <v>4613</v>
      </c>
      <c r="H9" s="65">
        <v>13</v>
      </c>
      <c r="I9" s="75">
        <f t="shared" si="2"/>
        <v>1.2241054613935969E-2</v>
      </c>
      <c r="J9" s="77"/>
      <c r="K9" s="72">
        <f t="shared" si="3"/>
        <v>1.3856812933025405E-2</v>
      </c>
      <c r="L9" s="65">
        <f t="shared" si="1"/>
        <v>6</v>
      </c>
      <c r="M9" s="69" t="s">
        <v>4614</v>
      </c>
    </row>
    <row r="10" spans="1:13" x14ac:dyDescent="0.35">
      <c r="A10" s="29" t="s">
        <v>4615</v>
      </c>
      <c r="B10" s="13" t="s">
        <v>4592</v>
      </c>
      <c r="C10" s="100" t="s">
        <v>4593</v>
      </c>
      <c r="G10" s="88" t="s">
        <v>4616</v>
      </c>
      <c r="H10" s="89">
        <v>7</v>
      </c>
      <c r="I10" s="90">
        <f t="shared" si="2"/>
        <v>6.5913370998116763E-3</v>
      </c>
      <c r="J10" s="85"/>
      <c r="K10" s="91">
        <f t="shared" si="3"/>
        <v>9.2378752886836026E-3</v>
      </c>
      <c r="L10" s="89">
        <v>4</v>
      </c>
      <c r="M10" s="92" t="s">
        <v>4617</v>
      </c>
    </row>
    <row r="11" spans="1:13" ht="15" thickBot="1" x14ac:dyDescent="0.4">
      <c r="A11" s="17" t="s">
        <v>4618</v>
      </c>
      <c r="B11" s="6">
        <v>2</v>
      </c>
      <c r="C11" s="31"/>
      <c r="G11" s="67" t="s">
        <v>4619</v>
      </c>
      <c r="H11" s="74">
        <v>10</v>
      </c>
      <c r="I11" s="76">
        <f t="shared" si="2"/>
        <v>9.4161958568738224E-3</v>
      </c>
      <c r="J11" s="77"/>
      <c r="K11" s="73">
        <f t="shared" si="3"/>
        <v>6.9284064665127024E-3</v>
      </c>
      <c r="L11" s="74">
        <v>3</v>
      </c>
      <c r="M11" s="70" t="s">
        <v>4620</v>
      </c>
    </row>
    <row r="12" spans="1:13" ht="15" thickBot="1" x14ac:dyDescent="0.4">
      <c r="A12" s="101" t="s">
        <v>4621</v>
      </c>
      <c r="B12" s="26">
        <v>488</v>
      </c>
      <c r="C12" s="104">
        <f>B12/1136</f>
        <v>0.42957746478873238</v>
      </c>
      <c r="G12" s="93" t="s">
        <v>4622</v>
      </c>
      <c r="H12" s="78">
        <f>SUM(H2:H11)</f>
        <v>1062</v>
      </c>
      <c r="I12" s="79">
        <f>SUM(I2:I11)</f>
        <v>0.99999999999999989</v>
      </c>
      <c r="J12" s="71"/>
      <c r="K12" s="80">
        <f>SUM(K2:K11)</f>
        <v>1</v>
      </c>
      <c r="L12" s="117">
        <f>SUM(L2:L11)</f>
        <v>433</v>
      </c>
      <c r="M12" s="118" t="s">
        <v>4623</v>
      </c>
    </row>
    <row r="13" spans="1:13" ht="15" thickBot="1" x14ac:dyDescent="0.4">
      <c r="A13" s="103" t="s">
        <v>4624</v>
      </c>
      <c r="L13" s="119">
        <f>L12/1136</f>
        <v>0.38116197183098594</v>
      </c>
      <c r="M13" s="120" t="s">
        <v>4625</v>
      </c>
    </row>
    <row r="14" spans="1:13" ht="15" thickBot="1" x14ac:dyDescent="0.4">
      <c r="E14" s="37"/>
    </row>
    <row r="15" spans="1:13" x14ac:dyDescent="0.35">
      <c r="A15" s="29" t="s">
        <v>4626</v>
      </c>
      <c r="B15" s="13" t="s">
        <v>4592</v>
      </c>
      <c r="C15" s="13" t="s">
        <v>4593</v>
      </c>
      <c r="D15" s="15" t="s">
        <v>4594</v>
      </c>
    </row>
    <row r="16" spans="1:13" x14ac:dyDescent="0.35">
      <c r="A16" s="22" t="s">
        <v>4627</v>
      </c>
      <c r="B16" s="6">
        <v>228</v>
      </c>
      <c r="C16" s="30"/>
      <c r="D16" s="31"/>
    </row>
    <row r="17" spans="1:6" x14ac:dyDescent="0.35">
      <c r="A17" s="22" t="s">
        <v>4626</v>
      </c>
      <c r="B17" s="30"/>
      <c r="C17" s="52">
        <v>0.96266547657218393</v>
      </c>
      <c r="D17" s="42">
        <v>31961205.673</v>
      </c>
      <c r="F17" s="34"/>
    </row>
    <row r="18" spans="1:6" x14ac:dyDescent="0.35">
      <c r="A18" s="22" t="s">
        <v>4628</v>
      </c>
      <c r="B18" s="30"/>
      <c r="C18" s="34">
        <v>3.7334523427816103E-2</v>
      </c>
      <c r="D18" s="42">
        <v>1239533.7851199997</v>
      </c>
    </row>
    <row r="19" spans="1:6" ht="15" thickBot="1" x14ac:dyDescent="0.4">
      <c r="A19" s="22" t="s">
        <v>4629</v>
      </c>
      <c r="B19" s="30"/>
      <c r="C19" s="23">
        <v>5.3330901924802804E-2</v>
      </c>
      <c r="D19" s="42">
        <v>1297788.6366399997</v>
      </c>
      <c r="E19" s="98"/>
      <c r="F19" s="111"/>
    </row>
    <row r="20" spans="1:6" ht="15" thickBot="1" x14ac:dyDescent="0.4">
      <c r="A20" s="22" t="s">
        <v>4630</v>
      </c>
      <c r="B20" s="30"/>
      <c r="C20" s="30"/>
      <c r="D20" s="42">
        <v>24334646.327</v>
      </c>
      <c r="E20" s="140">
        <f>D20/12.42</f>
        <v>1959311.2984702094</v>
      </c>
    </row>
    <row r="21" spans="1:6" x14ac:dyDescent="0.35">
      <c r="A21" s="22" t="s">
        <v>4631</v>
      </c>
      <c r="B21" s="6">
        <v>30</v>
      </c>
      <c r="C21" s="23">
        <v>0.12989999999999999</v>
      </c>
      <c r="D21" s="32"/>
    </row>
    <row r="22" spans="1:6" x14ac:dyDescent="0.35">
      <c r="A22" s="22" t="s">
        <v>4632</v>
      </c>
      <c r="B22" s="33"/>
      <c r="C22" s="23">
        <v>0.4</v>
      </c>
      <c r="D22" s="32"/>
    </row>
    <row r="23" spans="1:6" ht="15" thickBot="1" x14ac:dyDescent="0.4">
      <c r="A23" s="25" t="s">
        <v>4633</v>
      </c>
      <c r="B23" s="26">
        <v>14</v>
      </c>
      <c r="C23" s="36">
        <v>2.0999999999999999E-3</v>
      </c>
      <c r="D23" s="28">
        <v>50706.66</v>
      </c>
    </row>
    <row r="24" spans="1:6" ht="15" thickBot="1" x14ac:dyDescent="0.4">
      <c r="E24" s="37"/>
    </row>
    <row r="25" spans="1:6" x14ac:dyDescent="0.35">
      <c r="A25" s="122" t="s">
        <v>4634</v>
      </c>
      <c r="B25" s="123" t="s">
        <v>4635</v>
      </c>
      <c r="C25" s="124" t="s">
        <v>4636</v>
      </c>
    </row>
    <row r="26" spans="1:6" x14ac:dyDescent="0.35">
      <c r="A26" s="125" t="s">
        <v>4637</v>
      </c>
      <c r="B26" s="126">
        <v>0.4</v>
      </c>
      <c r="C26" s="127"/>
    </row>
    <row r="27" spans="1:6" x14ac:dyDescent="0.35">
      <c r="A27" s="125" t="s">
        <v>4638</v>
      </c>
      <c r="B27" s="128" t="s">
        <v>4639</v>
      </c>
      <c r="C27" s="127"/>
    </row>
    <row r="28" spans="1:6" x14ac:dyDescent="0.35">
      <c r="A28" s="125" t="s">
        <v>4640</v>
      </c>
      <c r="B28" s="126">
        <v>0.1</v>
      </c>
      <c r="C28" s="127"/>
    </row>
    <row r="29" spans="1:6" x14ac:dyDescent="0.35">
      <c r="A29" s="125" t="s">
        <v>4641</v>
      </c>
      <c r="B29" s="126">
        <v>0.04</v>
      </c>
      <c r="C29" s="127"/>
    </row>
    <row r="30" spans="1:6" x14ac:dyDescent="0.35">
      <c r="A30" s="125" t="s">
        <v>4642</v>
      </c>
      <c r="B30" s="129">
        <v>50</v>
      </c>
      <c r="C30" s="127"/>
    </row>
    <row r="31" spans="1:6" x14ac:dyDescent="0.35">
      <c r="A31" s="125" t="s">
        <v>4643</v>
      </c>
      <c r="B31" s="128" t="s">
        <v>4644</v>
      </c>
      <c r="C31" s="127"/>
    </row>
    <row r="32" spans="1:6" x14ac:dyDescent="0.35">
      <c r="A32" s="125" t="s">
        <v>4645</v>
      </c>
      <c r="B32" s="126">
        <v>0.01</v>
      </c>
      <c r="C32" s="127"/>
    </row>
    <row r="33" spans="1:3" x14ac:dyDescent="0.35">
      <c r="A33" s="125" t="s">
        <v>4646</v>
      </c>
      <c r="B33" s="130"/>
      <c r="C33" s="127"/>
    </row>
    <row r="34" spans="1:3" ht="15" thickBot="1" x14ac:dyDescent="0.4">
      <c r="A34" s="131" t="s">
        <v>4647</v>
      </c>
      <c r="B34" s="132"/>
      <c r="C34" s="133"/>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8F647-9203-4031-A201-209C3F7E98CE}">
  <dimension ref="A1:M34"/>
  <sheetViews>
    <sheetView zoomScale="80" zoomScaleNormal="80" workbookViewId="0">
      <selection activeCell="I16" sqref="I16"/>
    </sheetView>
  </sheetViews>
  <sheetFormatPr defaultColWidth="9.1796875" defaultRowHeight="14.5" x14ac:dyDescent="0.35"/>
  <cols>
    <col min="1" max="1" width="46.179687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985</v>
      </c>
      <c r="C2" s="19">
        <f>B2/$B$7</f>
        <v>0.93631178707224338</v>
      </c>
      <c r="D2" s="20">
        <f>SUM(D3:D5)</f>
        <v>54288152</v>
      </c>
      <c r="E2" s="21">
        <f t="shared" ref="E2:E7" si="0">D2/B2</f>
        <v>55114.875126903557</v>
      </c>
      <c r="G2" s="82" t="s">
        <v>4599</v>
      </c>
      <c r="H2" s="83">
        <v>431</v>
      </c>
      <c r="I2" s="84">
        <f>H2/$H$12</f>
        <v>0.40969581749049427</v>
      </c>
      <c r="J2" s="85"/>
      <c r="K2" s="86">
        <f>L2/$L$12</f>
        <v>0.44779582366589327</v>
      </c>
      <c r="L2" s="83">
        <f t="shared" ref="L2:L9" si="1">H2-H3</f>
        <v>193</v>
      </c>
      <c r="M2" s="87" t="s">
        <v>4600</v>
      </c>
    </row>
    <row r="3" spans="1:13" x14ac:dyDescent="0.35">
      <c r="A3" s="22" t="s">
        <v>13</v>
      </c>
      <c r="B3" s="6">
        <v>834</v>
      </c>
      <c r="C3" s="149">
        <f>B3/$B$7</f>
        <v>0.79277566539923949</v>
      </c>
      <c r="D3" s="24">
        <v>46660652</v>
      </c>
      <c r="E3" s="21">
        <f t="shared" si="0"/>
        <v>55948.023980815349</v>
      </c>
      <c r="F3" s="37"/>
      <c r="G3" s="66" t="s">
        <v>4601</v>
      </c>
      <c r="H3" s="65">
        <v>238</v>
      </c>
      <c r="I3" s="75">
        <f t="shared" ref="I3:I11" si="2">H3/$H$12</f>
        <v>0.22623574144486691</v>
      </c>
      <c r="J3" s="77"/>
      <c r="K3" s="72">
        <f t="shared" ref="K3:K11" si="3">L3/$L$12</f>
        <v>0.20649651972157773</v>
      </c>
      <c r="L3" s="65">
        <f t="shared" si="1"/>
        <v>89</v>
      </c>
      <c r="M3" s="69" t="s">
        <v>4602</v>
      </c>
    </row>
    <row r="4" spans="1:13" x14ac:dyDescent="0.35">
      <c r="A4" s="22" t="s">
        <v>55</v>
      </c>
      <c r="B4" s="6">
        <v>27</v>
      </c>
      <c r="C4" s="149">
        <f>B4/$B$7</f>
        <v>2.5665399239543727E-2</v>
      </c>
      <c r="D4" s="24">
        <v>902000</v>
      </c>
      <c r="E4" s="21">
        <f t="shared" si="0"/>
        <v>33407.407407407409</v>
      </c>
      <c r="G4" s="88" t="s">
        <v>4603</v>
      </c>
      <c r="H4" s="89">
        <v>149</v>
      </c>
      <c r="I4" s="90">
        <f t="shared" si="2"/>
        <v>0.14163498098859315</v>
      </c>
      <c r="J4" s="85"/>
      <c r="K4" s="91">
        <f t="shared" si="3"/>
        <v>0.13225058004640372</v>
      </c>
      <c r="L4" s="89">
        <f t="shared" si="1"/>
        <v>57</v>
      </c>
      <c r="M4" s="92" t="s">
        <v>4604</v>
      </c>
    </row>
    <row r="5" spans="1:13" x14ac:dyDescent="0.35">
      <c r="A5" s="22" t="s">
        <v>70</v>
      </c>
      <c r="B5" s="6">
        <v>124</v>
      </c>
      <c r="C5" s="149">
        <f>B5/$B$7</f>
        <v>0.11787072243346007</v>
      </c>
      <c r="D5" s="24">
        <v>6725500</v>
      </c>
      <c r="E5" s="21">
        <f t="shared" si="0"/>
        <v>54237.903225806454</v>
      </c>
      <c r="F5" s="37"/>
      <c r="G5" s="66" t="s">
        <v>4605</v>
      </c>
      <c r="H5" s="65">
        <v>92</v>
      </c>
      <c r="I5" s="75">
        <f t="shared" si="2"/>
        <v>8.7452471482889732E-2</v>
      </c>
      <c r="J5" s="77"/>
      <c r="K5" s="72">
        <f t="shared" si="3"/>
        <v>8.584686774941995E-2</v>
      </c>
      <c r="L5" s="65">
        <f t="shared" si="1"/>
        <v>37</v>
      </c>
      <c r="M5" s="69" t="s">
        <v>4606</v>
      </c>
    </row>
    <row r="6" spans="1:13" x14ac:dyDescent="0.35">
      <c r="A6" s="22" t="s">
        <v>22</v>
      </c>
      <c r="B6" s="6">
        <v>67</v>
      </c>
      <c r="C6" s="149">
        <f>B6/$B$7</f>
        <v>6.3688212927756657E-2</v>
      </c>
      <c r="D6" s="24">
        <v>412700</v>
      </c>
      <c r="E6" s="21">
        <f t="shared" si="0"/>
        <v>6159.7014925373132</v>
      </c>
      <c r="G6" s="88" t="s">
        <v>4607</v>
      </c>
      <c r="H6" s="89">
        <v>55</v>
      </c>
      <c r="I6" s="90">
        <f t="shared" si="2"/>
        <v>5.2281368821292779E-2</v>
      </c>
      <c r="J6" s="85"/>
      <c r="K6" s="91">
        <f t="shared" si="3"/>
        <v>4.6403712296983757E-2</v>
      </c>
      <c r="L6" s="89">
        <f t="shared" si="1"/>
        <v>20</v>
      </c>
      <c r="M6" s="92" t="s">
        <v>4608</v>
      </c>
    </row>
    <row r="7" spans="1:13" ht="15" thickBot="1" x14ac:dyDescent="0.4">
      <c r="A7" s="55" t="s">
        <v>633</v>
      </c>
      <c r="B7" s="56">
        <f>B2+B6</f>
        <v>1052</v>
      </c>
      <c r="C7" s="56"/>
      <c r="D7" s="53">
        <f>D2+D6</f>
        <v>54700852</v>
      </c>
      <c r="E7" s="54">
        <f t="shared" si="0"/>
        <v>51997.007604562736</v>
      </c>
      <c r="G7" s="66" t="s">
        <v>4609</v>
      </c>
      <c r="H7" s="65">
        <v>35</v>
      </c>
      <c r="I7" s="75">
        <f t="shared" si="2"/>
        <v>3.3269961977186312E-2</v>
      </c>
      <c r="J7" s="77"/>
      <c r="K7" s="72">
        <f t="shared" si="3"/>
        <v>3.0162412993039442E-2</v>
      </c>
      <c r="L7" s="65">
        <f t="shared" si="1"/>
        <v>13</v>
      </c>
      <c r="M7" s="69" t="s">
        <v>4610</v>
      </c>
    </row>
    <row r="8" spans="1:13" ht="15" thickBot="1" x14ac:dyDescent="0.4">
      <c r="D8" s="142">
        <f>D7/11.4</f>
        <v>4798320.3508771928</v>
      </c>
      <c r="E8" s="142">
        <f>E7/11.4</f>
        <v>4561.1410179440991</v>
      </c>
      <c r="G8" s="88" t="s">
        <v>4611</v>
      </c>
      <c r="H8" s="89">
        <v>22</v>
      </c>
      <c r="I8" s="90">
        <f t="shared" si="2"/>
        <v>2.0912547528517109E-2</v>
      </c>
      <c r="J8" s="85"/>
      <c r="K8" s="91">
        <f t="shared" si="3"/>
        <v>2.0881670533642691E-2</v>
      </c>
      <c r="L8" s="89">
        <f t="shared" si="1"/>
        <v>9</v>
      </c>
      <c r="M8" s="92" t="s">
        <v>4612</v>
      </c>
    </row>
    <row r="9" spans="1:13" ht="15" thickBot="1" x14ac:dyDescent="0.4">
      <c r="D9" s="109"/>
      <c r="E9" s="141"/>
      <c r="G9" s="66" t="s">
        <v>4613</v>
      </c>
      <c r="H9" s="65">
        <v>13</v>
      </c>
      <c r="I9" s="75">
        <f t="shared" si="2"/>
        <v>1.2357414448669201E-2</v>
      </c>
      <c r="J9" s="77"/>
      <c r="K9" s="72">
        <f t="shared" si="3"/>
        <v>1.3921113689095127E-2</v>
      </c>
      <c r="L9" s="65">
        <f t="shared" si="1"/>
        <v>6</v>
      </c>
      <c r="M9" s="69" t="s">
        <v>4614</v>
      </c>
    </row>
    <row r="10" spans="1:13" x14ac:dyDescent="0.35">
      <c r="A10" s="29" t="s">
        <v>4615</v>
      </c>
      <c r="B10" s="13" t="s">
        <v>4592</v>
      </c>
      <c r="C10" s="100" t="s">
        <v>4593</v>
      </c>
      <c r="G10" s="88" t="s">
        <v>4616</v>
      </c>
      <c r="H10" s="89">
        <v>7</v>
      </c>
      <c r="I10" s="90">
        <f t="shared" si="2"/>
        <v>6.653992395437262E-3</v>
      </c>
      <c r="J10" s="85"/>
      <c r="K10" s="91">
        <f t="shared" si="3"/>
        <v>9.2807424593967514E-3</v>
      </c>
      <c r="L10" s="89">
        <v>4</v>
      </c>
      <c r="M10" s="92" t="s">
        <v>4617</v>
      </c>
    </row>
    <row r="11" spans="1:13" ht="15" thickBot="1" x14ac:dyDescent="0.4">
      <c r="A11" s="17" t="s">
        <v>4618</v>
      </c>
      <c r="B11" s="6">
        <v>1</v>
      </c>
      <c r="C11" s="31"/>
      <c r="G11" s="67" t="s">
        <v>4619</v>
      </c>
      <c r="H11" s="74">
        <v>10</v>
      </c>
      <c r="I11" s="76">
        <f t="shared" si="2"/>
        <v>9.5057034220532317E-3</v>
      </c>
      <c r="J11" s="77"/>
      <c r="K11" s="73">
        <f t="shared" si="3"/>
        <v>6.9605568445475635E-3</v>
      </c>
      <c r="L11" s="74">
        <v>3</v>
      </c>
      <c r="M11" s="70" t="s">
        <v>4620</v>
      </c>
    </row>
    <row r="12" spans="1:13" ht="15" thickBot="1" x14ac:dyDescent="0.4">
      <c r="A12" s="101" t="s">
        <v>4621</v>
      </c>
      <c r="B12" s="26">
        <v>486</v>
      </c>
      <c r="C12" s="104">
        <f>B12/1136</f>
        <v>0.42781690140845069</v>
      </c>
      <c r="G12" s="93" t="s">
        <v>4622</v>
      </c>
      <c r="H12" s="78">
        <f>SUM(H2:H11)</f>
        <v>1052</v>
      </c>
      <c r="I12" s="79">
        <f>SUM(I2:I11)</f>
        <v>1</v>
      </c>
      <c r="J12" s="71"/>
      <c r="K12" s="80">
        <f>SUM(K2:K11)</f>
        <v>1.0000000000000002</v>
      </c>
      <c r="L12" s="117">
        <f>SUM(L2:L11)</f>
        <v>431</v>
      </c>
      <c r="M12" s="118" t="s">
        <v>4623</v>
      </c>
    </row>
    <row r="13" spans="1:13" ht="15" thickBot="1" x14ac:dyDescent="0.4">
      <c r="A13" s="103" t="s">
        <v>4624</v>
      </c>
      <c r="L13" s="119">
        <f>L12/1136</f>
        <v>0.37940140845070425</v>
      </c>
      <c r="M13" s="120" t="s">
        <v>4625</v>
      </c>
    </row>
    <row r="14" spans="1:13" ht="15" thickBot="1" x14ac:dyDescent="0.4">
      <c r="E14" s="37"/>
    </row>
    <row r="15" spans="1:13" x14ac:dyDescent="0.35">
      <c r="A15" s="29" t="s">
        <v>4626</v>
      </c>
      <c r="B15" s="13" t="s">
        <v>4592</v>
      </c>
      <c r="C15" s="13" t="s">
        <v>4593</v>
      </c>
      <c r="D15" s="15" t="s">
        <v>4594</v>
      </c>
    </row>
    <row r="16" spans="1:13" x14ac:dyDescent="0.35">
      <c r="A16" s="22" t="s">
        <v>4627</v>
      </c>
      <c r="B16" s="6">
        <v>229</v>
      </c>
      <c r="C16" s="30"/>
      <c r="D16" s="31"/>
    </row>
    <row r="17" spans="1:6" x14ac:dyDescent="0.35">
      <c r="A17" s="22" t="s">
        <v>4626</v>
      </c>
      <c r="B17" s="30"/>
      <c r="C17" s="52">
        <v>0.95857133648685844</v>
      </c>
      <c r="D17" s="42">
        <v>31012180.673</v>
      </c>
      <c r="F17" s="34"/>
    </row>
    <row r="18" spans="1:6" x14ac:dyDescent="0.35">
      <c r="A18" s="22" t="s">
        <v>4628</v>
      </c>
      <c r="B18" s="30"/>
      <c r="C18" s="34">
        <v>4.1428663513141548E-2</v>
      </c>
      <c r="D18" s="42">
        <v>1340320.9015399998</v>
      </c>
    </row>
    <row r="19" spans="1:6" ht="15" thickBot="1" x14ac:dyDescent="0.4">
      <c r="A19" s="22" t="s">
        <v>4629</v>
      </c>
      <c r="B19" s="30"/>
      <c r="C19" s="23">
        <v>5.9239814044805661E-2</v>
      </c>
      <c r="D19" s="42">
        <v>1403312.4843799998</v>
      </c>
      <c r="E19" s="98"/>
      <c r="F19" s="111"/>
    </row>
    <row r="20" spans="1:6" ht="15" thickBot="1" x14ac:dyDescent="0.4">
      <c r="A20" s="22" t="s">
        <v>4630</v>
      </c>
      <c r="B20" s="30"/>
      <c r="C20" s="30"/>
      <c r="D20" s="42">
        <v>23688671.327</v>
      </c>
      <c r="E20" s="140">
        <f>D20/11.4</f>
        <v>2077953.6251754386</v>
      </c>
    </row>
    <row r="21" spans="1:6" x14ac:dyDescent="0.35">
      <c r="A21" s="22" t="s">
        <v>4631</v>
      </c>
      <c r="B21" s="6">
        <v>35</v>
      </c>
      <c r="C21" s="23">
        <v>0.15279999999999999</v>
      </c>
      <c r="D21" s="32"/>
    </row>
    <row r="22" spans="1:6" x14ac:dyDescent="0.35">
      <c r="A22" s="22" t="s">
        <v>4632</v>
      </c>
      <c r="B22" s="33"/>
      <c r="C22" s="23">
        <v>0.4</v>
      </c>
      <c r="D22" s="32"/>
    </row>
    <row r="23" spans="1:6" ht="15" thickBot="1" x14ac:dyDescent="0.4">
      <c r="A23" s="25" t="s">
        <v>4633</v>
      </c>
      <c r="B23" s="26">
        <v>14</v>
      </c>
      <c r="C23" s="36">
        <v>2.0999999999999999E-3</v>
      </c>
      <c r="D23" s="28">
        <v>50706.66</v>
      </c>
    </row>
    <row r="24" spans="1:6" ht="15" thickBot="1" x14ac:dyDescent="0.4">
      <c r="E24" s="37"/>
    </row>
    <row r="25" spans="1:6" x14ac:dyDescent="0.35">
      <c r="A25" s="122" t="s">
        <v>4634</v>
      </c>
      <c r="B25" s="123" t="s">
        <v>4635</v>
      </c>
      <c r="C25" s="124" t="s">
        <v>4636</v>
      </c>
    </row>
    <row r="26" spans="1:6" x14ac:dyDescent="0.35">
      <c r="A26" s="125" t="s">
        <v>4637</v>
      </c>
      <c r="B26" s="126">
        <v>0.4</v>
      </c>
      <c r="C26" s="127"/>
    </row>
    <row r="27" spans="1:6" x14ac:dyDescent="0.35">
      <c r="A27" s="125" t="s">
        <v>4638</v>
      </c>
      <c r="B27" s="128" t="s">
        <v>4639</v>
      </c>
      <c r="C27" s="127"/>
    </row>
    <row r="28" spans="1:6" x14ac:dyDescent="0.35">
      <c r="A28" s="125" t="s">
        <v>4640</v>
      </c>
      <c r="B28" s="126">
        <v>0.1</v>
      </c>
      <c r="C28" s="127"/>
    </row>
    <row r="29" spans="1:6" x14ac:dyDescent="0.35">
      <c r="A29" s="125" t="s">
        <v>4641</v>
      </c>
      <c r="B29" s="126">
        <v>0.04</v>
      </c>
      <c r="C29" s="127"/>
    </row>
    <row r="30" spans="1:6" x14ac:dyDescent="0.35">
      <c r="A30" s="125" t="s">
        <v>4642</v>
      </c>
      <c r="B30" s="129">
        <v>50</v>
      </c>
      <c r="C30" s="127"/>
    </row>
    <row r="31" spans="1:6" x14ac:dyDescent="0.35">
      <c r="A31" s="125" t="s">
        <v>4643</v>
      </c>
      <c r="B31" s="128" t="s">
        <v>4644</v>
      </c>
      <c r="C31" s="127"/>
    </row>
    <row r="32" spans="1:6" x14ac:dyDescent="0.35">
      <c r="A32" s="125" t="s">
        <v>4645</v>
      </c>
      <c r="B32" s="126">
        <v>0.01</v>
      </c>
      <c r="C32" s="127"/>
    </row>
    <row r="33" spans="1:3" x14ac:dyDescent="0.35">
      <c r="A33" s="125" t="s">
        <v>4646</v>
      </c>
      <c r="B33" s="130"/>
      <c r="C33" s="127"/>
    </row>
    <row r="34" spans="1:3" ht="15" thickBot="1" x14ac:dyDescent="0.4">
      <c r="A34" s="131" t="s">
        <v>4647</v>
      </c>
      <c r="B34" s="132"/>
      <c r="C34" s="133"/>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EEB6-F5F3-4E66-8D13-BC8DAE6A7169}">
  <dimension ref="A1:M34"/>
  <sheetViews>
    <sheetView zoomScale="80" zoomScaleNormal="80" workbookViewId="0">
      <selection activeCell="K16" sqref="K16"/>
    </sheetView>
  </sheetViews>
  <sheetFormatPr defaultColWidth="9.1796875" defaultRowHeight="14.5" x14ac:dyDescent="0.35"/>
  <cols>
    <col min="1" max="1" width="46.179687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968</v>
      </c>
      <c r="C2" s="19">
        <f>B2/$B$7</f>
        <v>0.93526570048309177</v>
      </c>
      <c r="D2" s="20">
        <f>SUM(D3:D5)</f>
        <v>51706152</v>
      </c>
      <c r="E2" s="21">
        <f t="shared" ref="E2:E7" si="0">D2/B2</f>
        <v>53415.446280991739</v>
      </c>
      <c r="G2" s="82" t="s">
        <v>4599</v>
      </c>
      <c r="H2" s="83">
        <v>430</v>
      </c>
      <c r="I2" s="84">
        <f>H2/$H$12</f>
        <v>0.41545893719806765</v>
      </c>
      <c r="J2" s="85"/>
      <c r="K2" s="86">
        <f>L2/$L$12</f>
        <v>0.44883720930232557</v>
      </c>
      <c r="L2" s="83">
        <f t="shared" ref="L2:L9" si="1">H2-H3</f>
        <v>193</v>
      </c>
      <c r="M2" s="87" t="s">
        <v>4600</v>
      </c>
    </row>
    <row r="3" spans="1:13" x14ac:dyDescent="0.35">
      <c r="A3" s="22" t="s">
        <v>13</v>
      </c>
      <c r="B3" s="6">
        <v>820</v>
      </c>
      <c r="C3" s="149">
        <f>B3/$B$7</f>
        <v>0.79227053140096615</v>
      </c>
      <c r="D3" s="24">
        <v>45098652</v>
      </c>
      <c r="E3" s="21">
        <f t="shared" si="0"/>
        <v>54998.356097560973</v>
      </c>
      <c r="F3" s="37"/>
      <c r="G3" s="66" t="s">
        <v>4601</v>
      </c>
      <c r="H3" s="65">
        <v>237</v>
      </c>
      <c r="I3" s="75">
        <f t="shared" ref="I3:I11" si="2">H3/$H$12</f>
        <v>0.22898550724637681</v>
      </c>
      <c r="J3" s="77"/>
      <c r="K3" s="72">
        <f t="shared" ref="K3:K11" si="3">L3/$L$12</f>
        <v>0.21627906976744185</v>
      </c>
      <c r="L3" s="65">
        <f t="shared" si="1"/>
        <v>93</v>
      </c>
      <c r="M3" s="69" t="s">
        <v>4602</v>
      </c>
    </row>
    <row r="4" spans="1:13" x14ac:dyDescent="0.35">
      <c r="A4" s="22" t="s">
        <v>55</v>
      </c>
      <c r="B4" s="6">
        <v>26</v>
      </c>
      <c r="C4" s="149">
        <f>B4/$B$7</f>
        <v>2.5120772946859903E-2</v>
      </c>
      <c r="D4" s="24">
        <v>602000</v>
      </c>
      <c r="E4" s="21">
        <f t="shared" si="0"/>
        <v>23153.846153846152</v>
      </c>
      <c r="G4" s="88" t="s">
        <v>4603</v>
      </c>
      <c r="H4" s="89">
        <v>144</v>
      </c>
      <c r="I4" s="90">
        <f t="shared" si="2"/>
        <v>0.1391304347826087</v>
      </c>
      <c r="J4" s="85"/>
      <c r="K4" s="91">
        <f t="shared" si="3"/>
        <v>0.13023255813953488</v>
      </c>
      <c r="L4" s="89">
        <f t="shared" si="1"/>
        <v>56</v>
      </c>
      <c r="M4" s="92" t="s">
        <v>4604</v>
      </c>
    </row>
    <row r="5" spans="1:13" x14ac:dyDescent="0.35">
      <c r="A5" s="22" t="s">
        <v>70</v>
      </c>
      <c r="B5" s="6">
        <v>122</v>
      </c>
      <c r="C5" s="149">
        <f>B5/$B$7</f>
        <v>0.11787439613526569</v>
      </c>
      <c r="D5" s="24">
        <v>6005500</v>
      </c>
      <c r="E5" s="21">
        <f t="shared" si="0"/>
        <v>49225.409836065577</v>
      </c>
      <c r="F5" s="37"/>
      <c r="G5" s="66" t="s">
        <v>4605</v>
      </c>
      <c r="H5" s="65">
        <v>88</v>
      </c>
      <c r="I5" s="75">
        <f t="shared" si="2"/>
        <v>8.5024154589371986E-2</v>
      </c>
      <c r="J5" s="77"/>
      <c r="K5" s="72">
        <f t="shared" si="3"/>
        <v>8.1395348837209308E-2</v>
      </c>
      <c r="L5" s="65">
        <f t="shared" si="1"/>
        <v>35</v>
      </c>
      <c r="M5" s="69" t="s">
        <v>4606</v>
      </c>
    </row>
    <row r="6" spans="1:13" x14ac:dyDescent="0.35">
      <c r="A6" s="22" t="s">
        <v>22</v>
      </c>
      <c r="B6" s="6">
        <v>67</v>
      </c>
      <c r="C6" s="149">
        <f>B6/$B$7</f>
        <v>6.4734299516908206E-2</v>
      </c>
      <c r="D6" s="24">
        <v>412700</v>
      </c>
      <c r="E6" s="21">
        <f t="shared" si="0"/>
        <v>6159.7014925373132</v>
      </c>
      <c r="G6" s="88" t="s">
        <v>4607</v>
      </c>
      <c r="H6" s="89">
        <v>53</v>
      </c>
      <c r="I6" s="90">
        <f t="shared" si="2"/>
        <v>5.1207729468599035E-2</v>
      </c>
      <c r="J6" s="85"/>
      <c r="K6" s="91">
        <f t="shared" si="3"/>
        <v>4.6511627906976744E-2</v>
      </c>
      <c r="L6" s="89">
        <f t="shared" si="1"/>
        <v>20</v>
      </c>
      <c r="M6" s="92" t="s">
        <v>4608</v>
      </c>
    </row>
    <row r="7" spans="1:13" ht="15" thickBot="1" x14ac:dyDescent="0.4">
      <c r="A7" s="55" t="s">
        <v>633</v>
      </c>
      <c r="B7" s="56">
        <f>B2+B6</f>
        <v>1035</v>
      </c>
      <c r="C7" s="56"/>
      <c r="D7" s="53">
        <f>D2+D6</f>
        <v>52118852</v>
      </c>
      <c r="E7" s="54">
        <f t="shared" si="0"/>
        <v>50356.378743961352</v>
      </c>
      <c r="G7" s="66" t="s">
        <v>4609</v>
      </c>
      <c r="H7" s="65">
        <v>33</v>
      </c>
      <c r="I7" s="75">
        <f t="shared" si="2"/>
        <v>3.1884057971014491E-2</v>
      </c>
      <c r="J7" s="77"/>
      <c r="K7" s="72">
        <f t="shared" si="3"/>
        <v>2.5581395348837209E-2</v>
      </c>
      <c r="L7" s="65">
        <f t="shared" si="1"/>
        <v>11</v>
      </c>
      <c r="M7" s="69" t="s">
        <v>4610</v>
      </c>
    </row>
    <row r="8" spans="1:13" ht="15" thickBot="1" x14ac:dyDescent="0.4">
      <c r="D8" s="142">
        <f>D7/10.5</f>
        <v>4963700.1904761903</v>
      </c>
      <c r="E8" s="142">
        <f>E7/10.5</f>
        <v>4795.8455946629856</v>
      </c>
      <c r="G8" s="88" t="s">
        <v>4611</v>
      </c>
      <c r="H8" s="89">
        <v>22</v>
      </c>
      <c r="I8" s="90">
        <f t="shared" si="2"/>
        <v>2.1256038647342997E-2</v>
      </c>
      <c r="J8" s="85"/>
      <c r="K8" s="91">
        <f t="shared" si="3"/>
        <v>2.5581395348837209E-2</v>
      </c>
      <c r="L8" s="89">
        <f t="shared" si="1"/>
        <v>11</v>
      </c>
      <c r="M8" s="92" t="s">
        <v>4612</v>
      </c>
    </row>
    <row r="9" spans="1:13" ht="15" thickBot="1" x14ac:dyDescent="0.4">
      <c r="D9" s="109"/>
      <c r="E9" s="141"/>
      <c r="G9" s="66" t="s">
        <v>4613</v>
      </c>
      <c r="H9" s="65">
        <v>11</v>
      </c>
      <c r="I9" s="75">
        <f t="shared" si="2"/>
        <v>1.0628019323671498E-2</v>
      </c>
      <c r="J9" s="77"/>
      <c r="K9" s="72">
        <f t="shared" si="3"/>
        <v>9.3023255813953487E-3</v>
      </c>
      <c r="L9" s="65">
        <f t="shared" si="1"/>
        <v>4</v>
      </c>
      <c r="M9" s="69" t="s">
        <v>4614</v>
      </c>
    </row>
    <row r="10" spans="1:13" x14ac:dyDescent="0.35">
      <c r="A10" s="29" t="s">
        <v>4615</v>
      </c>
      <c r="B10" s="13" t="s">
        <v>4592</v>
      </c>
      <c r="C10" s="100" t="s">
        <v>4593</v>
      </c>
      <c r="G10" s="88" t="s">
        <v>4616</v>
      </c>
      <c r="H10" s="89">
        <v>7</v>
      </c>
      <c r="I10" s="90">
        <f t="shared" si="2"/>
        <v>6.7632850241545897E-3</v>
      </c>
      <c r="J10" s="85"/>
      <c r="K10" s="91">
        <f t="shared" si="3"/>
        <v>9.3023255813953487E-3</v>
      </c>
      <c r="L10" s="89">
        <v>4</v>
      </c>
      <c r="M10" s="92" t="s">
        <v>4617</v>
      </c>
    </row>
    <row r="11" spans="1:13" ht="15" thickBot="1" x14ac:dyDescent="0.4">
      <c r="A11" s="17" t="s">
        <v>4618</v>
      </c>
      <c r="B11" s="6">
        <v>1</v>
      </c>
      <c r="C11" s="31"/>
      <c r="G11" s="67" t="s">
        <v>4619</v>
      </c>
      <c r="H11" s="74">
        <v>10</v>
      </c>
      <c r="I11" s="76">
        <f t="shared" si="2"/>
        <v>9.6618357487922701E-3</v>
      </c>
      <c r="J11" s="77"/>
      <c r="K11" s="73">
        <f t="shared" si="3"/>
        <v>6.9767441860465115E-3</v>
      </c>
      <c r="L11" s="74">
        <v>3</v>
      </c>
      <c r="M11" s="70" t="s">
        <v>4620</v>
      </c>
    </row>
    <row r="12" spans="1:13" ht="15" thickBot="1" x14ac:dyDescent="0.4">
      <c r="A12" s="101" t="s">
        <v>4621</v>
      </c>
      <c r="B12" s="26">
        <v>485</v>
      </c>
      <c r="C12" s="104">
        <f>B12/1136</f>
        <v>0.42693661971830987</v>
      </c>
      <c r="G12" s="93" t="s">
        <v>4622</v>
      </c>
      <c r="H12" s="78">
        <f>SUM(H2:H11)</f>
        <v>1035</v>
      </c>
      <c r="I12" s="79">
        <f>SUM(I2:I11)</f>
        <v>1</v>
      </c>
      <c r="J12" s="71"/>
      <c r="K12" s="80">
        <f>SUM(K2:K11)</f>
        <v>0.99999999999999989</v>
      </c>
      <c r="L12" s="117">
        <f>SUM(L2:L11)</f>
        <v>430</v>
      </c>
      <c r="M12" s="118" t="s">
        <v>4623</v>
      </c>
    </row>
    <row r="13" spans="1:13" ht="15" thickBot="1" x14ac:dyDescent="0.4">
      <c r="A13" s="103" t="s">
        <v>4624</v>
      </c>
      <c r="L13" s="119">
        <f>L12/1136</f>
        <v>0.37852112676056338</v>
      </c>
      <c r="M13" s="120" t="s">
        <v>4625</v>
      </c>
    </row>
    <row r="14" spans="1:13" ht="15" thickBot="1" x14ac:dyDescent="0.4">
      <c r="E14" s="37"/>
    </row>
    <row r="15" spans="1:13" x14ac:dyDescent="0.35">
      <c r="A15" s="29" t="s">
        <v>4626</v>
      </c>
      <c r="B15" s="13" t="s">
        <v>4592</v>
      </c>
      <c r="C15" s="13" t="s">
        <v>4593</v>
      </c>
      <c r="D15" s="15" t="s">
        <v>4594</v>
      </c>
    </row>
    <row r="16" spans="1:13" x14ac:dyDescent="0.35">
      <c r="A16" s="22" t="s">
        <v>4627</v>
      </c>
      <c r="B16" s="6">
        <v>217</v>
      </c>
      <c r="C16" s="30"/>
      <c r="D16" s="31"/>
    </row>
    <row r="17" spans="1:6" x14ac:dyDescent="0.35">
      <c r="A17" s="22" t="s">
        <v>4626</v>
      </c>
      <c r="B17" s="30"/>
      <c r="C17" s="52">
        <v>0.96220612474332934</v>
      </c>
      <c r="D17" s="42">
        <v>30173030.673</v>
      </c>
      <c r="F17" s="34"/>
    </row>
    <row r="18" spans="1:6" x14ac:dyDescent="0.35">
      <c r="A18" s="22" t="s">
        <v>4628</v>
      </c>
      <c r="B18" s="30"/>
      <c r="C18" s="34">
        <v>3.7793875256670613E-2</v>
      </c>
      <c r="D18" s="42">
        <v>1185147.05742</v>
      </c>
    </row>
    <row r="19" spans="1:6" ht="15" thickBot="1" x14ac:dyDescent="0.4">
      <c r="A19" s="22" t="s">
        <v>4629</v>
      </c>
      <c r="B19" s="30"/>
      <c r="C19" s="23">
        <v>5.6541327674685116E-2</v>
      </c>
      <c r="D19" s="42">
        <v>1240845.8747399999</v>
      </c>
      <c r="E19" s="98"/>
      <c r="F19" s="111"/>
    </row>
    <row r="20" spans="1:6" ht="15" thickBot="1" x14ac:dyDescent="0.4">
      <c r="A20" s="22" t="s">
        <v>4630</v>
      </c>
      <c r="B20" s="30"/>
      <c r="C20" s="30"/>
      <c r="D20" s="42">
        <v>21945821.327</v>
      </c>
      <c r="E20" s="140">
        <f>D20/10.5</f>
        <v>2090078.2216190477</v>
      </c>
    </row>
    <row r="21" spans="1:6" x14ac:dyDescent="0.35">
      <c r="A21" s="22" t="s">
        <v>4631</v>
      </c>
      <c r="B21" s="6">
        <v>33</v>
      </c>
      <c r="C21" s="23">
        <v>0.1507</v>
      </c>
      <c r="D21" s="32"/>
    </row>
    <row r="22" spans="1:6" x14ac:dyDescent="0.35">
      <c r="A22" s="22" t="s">
        <v>4632</v>
      </c>
      <c r="B22" s="33"/>
      <c r="C22" s="23">
        <v>0.4</v>
      </c>
      <c r="D22" s="32"/>
    </row>
    <row r="23" spans="1:6" ht="15" thickBot="1" x14ac:dyDescent="0.4">
      <c r="A23" s="25" t="s">
        <v>4633</v>
      </c>
      <c r="B23" s="26">
        <v>14</v>
      </c>
      <c r="C23" s="36">
        <v>2.3E-3</v>
      </c>
      <c r="D23" s="28">
        <v>50706.66</v>
      </c>
    </row>
    <row r="24" spans="1:6" ht="15" thickBot="1" x14ac:dyDescent="0.4">
      <c r="E24" s="37"/>
    </row>
    <row r="25" spans="1:6" x14ac:dyDescent="0.35">
      <c r="A25" s="122" t="s">
        <v>4634</v>
      </c>
      <c r="B25" s="123" t="s">
        <v>4635</v>
      </c>
      <c r="C25" s="124" t="s">
        <v>4636</v>
      </c>
    </row>
    <row r="26" spans="1:6" x14ac:dyDescent="0.35">
      <c r="A26" s="125" t="s">
        <v>4637</v>
      </c>
      <c r="B26" s="126">
        <v>0.4</v>
      </c>
      <c r="C26" s="127"/>
    </row>
    <row r="27" spans="1:6" x14ac:dyDescent="0.35">
      <c r="A27" s="125" t="s">
        <v>4638</v>
      </c>
      <c r="B27" s="128" t="s">
        <v>4639</v>
      </c>
      <c r="C27" s="127"/>
    </row>
    <row r="28" spans="1:6" x14ac:dyDescent="0.35">
      <c r="A28" s="125" t="s">
        <v>4640</v>
      </c>
      <c r="B28" s="126">
        <v>0.1</v>
      </c>
      <c r="C28" s="127"/>
    </row>
    <row r="29" spans="1:6" x14ac:dyDescent="0.35">
      <c r="A29" s="125" t="s">
        <v>4641</v>
      </c>
      <c r="B29" s="126">
        <v>0.04</v>
      </c>
      <c r="C29" s="127"/>
    </row>
    <row r="30" spans="1:6" x14ac:dyDescent="0.35">
      <c r="A30" s="125" t="s">
        <v>4642</v>
      </c>
      <c r="B30" s="129">
        <v>50</v>
      </c>
      <c r="C30" s="127"/>
    </row>
    <row r="31" spans="1:6" x14ac:dyDescent="0.35">
      <c r="A31" s="125" t="s">
        <v>4643</v>
      </c>
      <c r="B31" s="128" t="s">
        <v>4644</v>
      </c>
      <c r="C31" s="127"/>
    </row>
    <row r="32" spans="1:6" x14ac:dyDescent="0.35">
      <c r="A32" s="125" t="s">
        <v>4645</v>
      </c>
      <c r="B32" s="126">
        <v>0.01</v>
      </c>
      <c r="C32" s="127"/>
    </row>
    <row r="33" spans="1:3" x14ac:dyDescent="0.35">
      <c r="A33" s="125" t="s">
        <v>4646</v>
      </c>
      <c r="B33" s="130"/>
      <c r="C33" s="127"/>
    </row>
    <row r="34" spans="1:3" ht="15" thickBot="1" x14ac:dyDescent="0.4">
      <c r="A34" s="131" t="s">
        <v>4647</v>
      </c>
      <c r="B34" s="132"/>
      <c r="C34" s="133"/>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DC5F-DF71-444A-B9FB-26D6BFC93007}">
  <dimension ref="A1:M34"/>
  <sheetViews>
    <sheetView topLeftCell="A9" zoomScale="80" zoomScaleNormal="80" workbookViewId="0">
      <selection activeCell="C19" sqref="C19"/>
    </sheetView>
  </sheetViews>
  <sheetFormatPr defaultColWidth="9.1796875" defaultRowHeight="14.5" x14ac:dyDescent="0.35"/>
  <cols>
    <col min="1" max="1" width="46.179687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962</v>
      </c>
      <c r="C2" s="19">
        <f>B2/$B$7</f>
        <v>0.93488824101069001</v>
      </c>
      <c r="D2" s="20">
        <f>SUM(D3:D5)</f>
        <v>50856152</v>
      </c>
      <c r="E2" s="21">
        <f t="shared" ref="E2:E7" si="0">D2/B2</f>
        <v>52865.022869022869</v>
      </c>
      <c r="G2" s="82" t="s">
        <v>4599</v>
      </c>
      <c r="H2" s="83">
        <v>429</v>
      </c>
      <c r="I2" s="84">
        <f>H2/$H$12</f>
        <v>0.41690962099125367</v>
      </c>
      <c r="J2" s="85"/>
      <c r="K2" s="86">
        <f>L2/$L$12</f>
        <v>0.44755244755244755</v>
      </c>
      <c r="L2" s="83">
        <f t="shared" ref="L2:L9" si="1">H2-H3</f>
        <v>192</v>
      </c>
      <c r="M2" s="87" t="s">
        <v>4600</v>
      </c>
    </row>
    <row r="3" spans="1:13" x14ac:dyDescent="0.35">
      <c r="A3" s="22" t="s">
        <v>13</v>
      </c>
      <c r="B3" s="6">
        <v>814</v>
      </c>
      <c r="C3" s="149">
        <f>B3/$B$7</f>
        <v>0.79105928085519928</v>
      </c>
      <c r="D3" s="24">
        <v>44248652</v>
      </c>
      <c r="E3" s="21">
        <f t="shared" si="0"/>
        <v>54359.523341523345</v>
      </c>
      <c r="F3" s="37"/>
      <c r="G3" s="66" t="s">
        <v>4601</v>
      </c>
      <c r="H3" s="65">
        <v>237</v>
      </c>
      <c r="I3" s="75">
        <f t="shared" ref="I3:I11" si="2">H3/$H$12</f>
        <v>0.23032069970845481</v>
      </c>
      <c r="J3" s="77"/>
      <c r="K3" s="72">
        <f t="shared" ref="K3:K11" si="3">L3/$L$12</f>
        <v>0.22144522144522144</v>
      </c>
      <c r="L3" s="65">
        <f t="shared" si="1"/>
        <v>95</v>
      </c>
      <c r="M3" s="69" t="s">
        <v>4602</v>
      </c>
    </row>
    <row r="4" spans="1:13" x14ac:dyDescent="0.35">
      <c r="A4" s="22" t="s">
        <v>55</v>
      </c>
      <c r="B4" s="6">
        <v>26</v>
      </c>
      <c r="C4" s="149">
        <f>B4/$B$7</f>
        <v>2.5267249757045675E-2</v>
      </c>
      <c r="D4" s="24">
        <v>602000</v>
      </c>
      <c r="E4" s="21">
        <f t="shared" si="0"/>
        <v>23153.846153846152</v>
      </c>
      <c r="G4" s="88" t="s">
        <v>4603</v>
      </c>
      <c r="H4" s="89">
        <v>142</v>
      </c>
      <c r="I4" s="90">
        <f t="shared" si="2"/>
        <v>0.1379980563654033</v>
      </c>
      <c r="J4" s="85"/>
      <c r="K4" s="91">
        <f t="shared" si="3"/>
        <v>0.13053613053613053</v>
      </c>
      <c r="L4" s="89">
        <f t="shared" si="1"/>
        <v>56</v>
      </c>
      <c r="M4" s="92" t="s">
        <v>4604</v>
      </c>
    </row>
    <row r="5" spans="1:13" x14ac:dyDescent="0.35">
      <c r="A5" s="22" t="s">
        <v>70</v>
      </c>
      <c r="B5" s="6">
        <v>122</v>
      </c>
      <c r="C5" s="149">
        <f>B5/$B$7</f>
        <v>0.1185617103984451</v>
      </c>
      <c r="D5" s="24">
        <v>6005500</v>
      </c>
      <c r="E5" s="21">
        <f t="shared" si="0"/>
        <v>49225.409836065577</v>
      </c>
      <c r="F5" s="37"/>
      <c r="G5" s="66" t="s">
        <v>4605</v>
      </c>
      <c r="H5" s="65">
        <v>86</v>
      </c>
      <c r="I5" s="75">
        <f t="shared" si="2"/>
        <v>8.3576287657920315E-2</v>
      </c>
      <c r="J5" s="77"/>
      <c r="K5" s="72">
        <f t="shared" si="3"/>
        <v>7.6923076923076927E-2</v>
      </c>
      <c r="L5" s="65">
        <f t="shared" si="1"/>
        <v>33</v>
      </c>
      <c r="M5" s="69" t="s">
        <v>4606</v>
      </c>
    </row>
    <row r="6" spans="1:13" x14ac:dyDescent="0.35">
      <c r="A6" s="22" t="s">
        <v>22</v>
      </c>
      <c r="B6" s="6">
        <v>67</v>
      </c>
      <c r="C6" s="149">
        <f>B6/$B$7</f>
        <v>6.5111758989310015E-2</v>
      </c>
      <c r="D6" s="24">
        <v>412700</v>
      </c>
      <c r="E6" s="21">
        <f t="shared" si="0"/>
        <v>6159.7014925373132</v>
      </c>
      <c r="G6" s="88" t="s">
        <v>4607</v>
      </c>
      <c r="H6" s="89">
        <v>53</v>
      </c>
      <c r="I6" s="90">
        <f t="shared" si="2"/>
        <v>5.1506316812439258E-2</v>
      </c>
      <c r="J6" s="85"/>
      <c r="K6" s="91">
        <f t="shared" si="3"/>
        <v>4.6620046620046623E-2</v>
      </c>
      <c r="L6" s="89">
        <f t="shared" si="1"/>
        <v>20</v>
      </c>
      <c r="M6" s="92" t="s">
        <v>4608</v>
      </c>
    </row>
    <row r="7" spans="1:13" ht="15" thickBot="1" x14ac:dyDescent="0.4">
      <c r="A7" s="55" t="s">
        <v>633</v>
      </c>
      <c r="B7" s="56">
        <f>B2+B6</f>
        <v>1029</v>
      </c>
      <c r="C7" s="56"/>
      <c r="D7" s="53">
        <f>D2+D6</f>
        <v>51268852</v>
      </c>
      <c r="E7" s="54">
        <f t="shared" si="0"/>
        <v>49823.957240038872</v>
      </c>
      <c r="G7" s="66" t="s">
        <v>4609</v>
      </c>
      <c r="H7" s="65">
        <v>33</v>
      </c>
      <c r="I7" s="75">
        <f t="shared" si="2"/>
        <v>3.2069970845481049E-2</v>
      </c>
      <c r="J7" s="77"/>
      <c r="K7" s="72">
        <f t="shared" si="3"/>
        <v>2.7972027972027972E-2</v>
      </c>
      <c r="L7" s="65">
        <f t="shared" si="1"/>
        <v>12</v>
      </c>
      <c r="M7" s="69" t="s">
        <v>4610</v>
      </c>
    </row>
    <row r="8" spans="1:13" ht="15" thickBot="1" x14ac:dyDescent="0.4">
      <c r="D8" s="142">
        <f>D7/10.31</f>
        <v>4972730.5528612994</v>
      </c>
      <c r="E8" s="142">
        <f>E7/10.31</f>
        <v>4832.58557129378</v>
      </c>
      <c r="G8" s="88" t="s">
        <v>4611</v>
      </c>
      <c r="H8" s="89">
        <v>21</v>
      </c>
      <c r="I8" s="90">
        <f t="shared" si="2"/>
        <v>2.0408163265306121E-2</v>
      </c>
      <c r="J8" s="85"/>
      <c r="K8" s="91">
        <f t="shared" si="3"/>
        <v>2.3310023310023312E-2</v>
      </c>
      <c r="L8" s="89">
        <f t="shared" si="1"/>
        <v>10</v>
      </c>
      <c r="M8" s="92" t="s">
        <v>4612</v>
      </c>
    </row>
    <row r="9" spans="1:13" ht="15" thickBot="1" x14ac:dyDescent="0.4">
      <c r="D9" s="109"/>
      <c r="E9" s="141"/>
      <c r="G9" s="66" t="s">
        <v>4613</v>
      </c>
      <c r="H9" s="65">
        <v>11</v>
      </c>
      <c r="I9" s="75">
        <f t="shared" si="2"/>
        <v>1.0689990281827016E-2</v>
      </c>
      <c r="J9" s="77"/>
      <c r="K9" s="72">
        <f t="shared" si="3"/>
        <v>9.324009324009324E-3</v>
      </c>
      <c r="L9" s="65">
        <f t="shared" si="1"/>
        <v>4</v>
      </c>
      <c r="M9" s="69" t="s">
        <v>4614</v>
      </c>
    </row>
    <row r="10" spans="1:13" x14ac:dyDescent="0.35">
      <c r="A10" s="29" t="s">
        <v>4615</v>
      </c>
      <c r="B10" s="13" t="s">
        <v>4592</v>
      </c>
      <c r="C10" s="100" t="s">
        <v>4593</v>
      </c>
      <c r="G10" s="88" t="s">
        <v>4616</v>
      </c>
      <c r="H10" s="89">
        <v>7</v>
      </c>
      <c r="I10" s="90">
        <f t="shared" si="2"/>
        <v>6.8027210884353739E-3</v>
      </c>
      <c r="J10" s="85"/>
      <c r="K10" s="91">
        <f t="shared" si="3"/>
        <v>9.324009324009324E-3</v>
      </c>
      <c r="L10" s="89">
        <v>4</v>
      </c>
      <c r="M10" s="92" t="s">
        <v>4617</v>
      </c>
    </row>
    <row r="11" spans="1:13" ht="15" thickBot="1" x14ac:dyDescent="0.4">
      <c r="A11" s="17" t="s">
        <v>4618</v>
      </c>
      <c r="B11" s="6">
        <v>3</v>
      </c>
      <c r="C11" s="31"/>
      <c r="G11" s="67" t="s">
        <v>4619</v>
      </c>
      <c r="H11" s="74">
        <v>10</v>
      </c>
      <c r="I11" s="76">
        <f t="shared" si="2"/>
        <v>9.7181729834791061E-3</v>
      </c>
      <c r="J11" s="77"/>
      <c r="K11" s="73">
        <f t="shared" si="3"/>
        <v>6.993006993006993E-3</v>
      </c>
      <c r="L11" s="74">
        <v>3</v>
      </c>
      <c r="M11" s="70" t="s">
        <v>4620</v>
      </c>
    </row>
    <row r="12" spans="1:13" ht="15" thickBot="1" x14ac:dyDescent="0.4">
      <c r="A12" s="101" t="s">
        <v>4621</v>
      </c>
      <c r="B12" s="26">
        <v>484</v>
      </c>
      <c r="C12" s="104">
        <f>B12/1136</f>
        <v>0.426056338028169</v>
      </c>
      <c r="G12" s="93" t="s">
        <v>4622</v>
      </c>
      <c r="H12" s="78">
        <f>SUM(H2:H11)</f>
        <v>1029</v>
      </c>
      <c r="I12" s="79">
        <f>SUM(I2:I11)</f>
        <v>1.0000000000000002</v>
      </c>
      <c r="J12" s="71"/>
      <c r="K12" s="80">
        <f>SUM(K2:K11)</f>
        <v>1.0000000000000002</v>
      </c>
      <c r="L12" s="117">
        <f>SUM(L2:L11)</f>
        <v>429</v>
      </c>
      <c r="M12" s="118" t="s">
        <v>4623</v>
      </c>
    </row>
    <row r="13" spans="1:13" ht="15" thickBot="1" x14ac:dyDescent="0.4">
      <c r="A13" s="103" t="s">
        <v>4624</v>
      </c>
      <c r="L13" s="119">
        <f>L12/1136</f>
        <v>0.37764084507042256</v>
      </c>
      <c r="M13" s="120" t="s">
        <v>4625</v>
      </c>
    </row>
    <row r="14" spans="1:13" ht="15" thickBot="1" x14ac:dyDescent="0.4">
      <c r="E14" s="37"/>
    </row>
    <row r="15" spans="1:13" x14ac:dyDescent="0.35">
      <c r="A15" s="29" t="s">
        <v>4626</v>
      </c>
      <c r="B15" s="13" t="s">
        <v>4592</v>
      </c>
      <c r="C15" s="13" t="s">
        <v>4593</v>
      </c>
      <c r="D15" s="15" t="s">
        <v>4594</v>
      </c>
    </row>
    <row r="16" spans="1:13" x14ac:dyDescent="0.35">
      <c r="A16" s="22" t="s">
        <v>4627</v>
      </c>
      <c r="B16" s="6">
        <v>216</v>
      </c>
      <c r="C16" s="30"/>
      <c r="D16" s="31"/>
    </row>
    <row r="17" spans="1:6" x14ac:dyDescent="0.35">
      <c r="A17" s="22" t="s">
        <v>4626</v>
      </c>
      <c r="B17" s="30"/>
      <c r="C17" s="52">
        <v>0.96430261448648824</v>
      </c>
      <c r="D17" s="42">
        <v>29565280.673</v>
      </c>
      <c r="F17" s="34"/>
    </row>
    <row r="18" spans="1:6" x14ac:dyDescent="0.35">
      <c r="A18" s="22" t="s">
        <v>4628</v>
      </c>
      <c r="B18" s="30"/>
      <c r="C18" s="34">
        <v>3.5697385513511731E-2</v>
      </c>
      <c r="D18" s="42">
        <v>1094473.04834</v>
      </c>
    </row>
    <row r="19" spans="1:6" ht="15" thickBot="1" x14ac:dyDescent="0.4">
      <c r="A19" s="22" t="s">
        <v>4629</v>
      </c>
      <c r="B19" s="30"/>
      <c r="C19" s="23">
        <v>5.2798242589432616E-2</v>
      </c>
      <c r="D19" s="42">
        <v>1145910.42398</v>
      </c>
      <c r="E19" s="98"/>
      <c r="F19" s="111"/>
    </row>
    <row r="20" spans="1:6" ht="15" thickBot="1" x14ac:dyDescent="0.4">
      <c r="A20" s="22" t="s">
        <v>4630</v>
      </c>
      <c r="B20" s="30"/>
      <c r="C20" s="30"/>
      <c r="D20" s="42">
        <v>21703571.327</v>
      </c>
      <c r="E20" s="140">
        <f>D20/10.31</f>
        <v>2105099.0617846749</v>
      </c>
    </row>
    <row r="21" spans="1:6" x14ac:dyDescent="0.35">
      <c r="A21" s="22" t="s">
        <v>4631</v>
      </c>
      <c r="B21" s="6">
        <v>31</v>
      </c>
      <c r="C21" s="23">
        <v>0.14349999999999999</v>
      </c>
      <c r="D21" s="32"/>
    </row>
    <row r="22" spans="1:6" x14ac:dyDescent="0.35">
      <c r="A22" s="22" t="s">
        <v>4632</v>
      </c>
      <c r="B22" s="33"/>
      <c r="C22" s="23">
        <v>0.4</v>
      </c>
      <c r="D22" s="32"/>
    </row>
    <row r="23" spans="1:6" ht="15" thickBot="1" x14ac:dyDescent="0.4">
      <c r="A23" s="25" t="s">
        <v>4633</v>
      </c>
      <c r="B23" s="26">
        <v>14</v>
      </c>
      <c r="C23" s="36">
        <v>2.3E-3</v>
      </c>
      <c r="D23" s="28">
        <v>50706.66</v>
      </c>
    </row>
    <row r="24" spans="1:6" ht="15" thickBot="1" x14ac:dyDescent="0.4">
      <c r="E24" s="37"/>
    </row>
    <row r="25" spans="1:6" x14ac:dyDescent="0.35">
      <c r="A25" s="122" t="s">
        <v>4634</v>
      </c>
      <c r="B25" s="123" t="s">
        <v>4635</v>
      </c>
      <c r="C25" s="124" t="s">
        <v>4636</v>
      </c>
    </row>
    <row r="26" spans="1:6" x14ac:dyDescent="0.35">
      <c r="A26" s="125" t="s">
        <v>4637</v>
      </c>
      <c r="B26" s="126">
        <v>0.4</v>
      </c>
      <c r="C26" s="127"/>
    </row>
    <row r="27" spans="1:6" x14ac:dyDescent="0.35">
      <c r="A27" s="125" t="s">
        <v>4638</v>
      </c>
      <c r="B27" s="128" t="s">
        <v>4639</v>
      </c>
      <c r="C27" s="127"/>
    </row>
    <row r="28" spans="1:6" x14ac:dyDescent="0.35">
      <c r="A28" s="125" t="s">
        <v>4640</v>
      </c>
      <c r="B28" s="126">
        <v>0.1</v>
      </c>
      <c r="C28" s="127"/>
    </row>
    <row r="29" spans="1:6" x14ac:dyDescent="0.35">
      <c r="A29" s="125" t="s">
        <v>4641</v>
      </c>
      <c r="B29" s="126">
        <v>0.04</v>
      </c>
      <c r="C29" s="127"/>
    </row>
    <row r="30" spans="1:6" x14ac:dyDescent="0.35">
      <c r="A30" s="125" t="s">
        <v>4642</v>
      </c>
      <c r="B30" s="129">
        <v>50</v>
      </c>
      <c r="C30" s="127"/>
    </row>
    <row r="31" spans="1:6" x14ac:dyDescent="0.35">
      <c r="A31" s="125" t="s">
        <v>4643</v>
      </c>
      <c r="B31" s="128" t="s">
        <v>4644</v>
      </c>
      <c r="C31" s="127"/>
    </row>
    <row r="32" spans="1:6" x14ac:dyDescent="0.35">
      <c r="A32" s="125" t="s">
        <v>4645</v>
      </c>
      <c r="B32" s="126">
        <v>0.01</v>
      </c>
      <c r="C32" s="127"/>
    </row>
    <row r="33" spans="1:3" x14ac:dyDescent="0.35">
      <c r="A33" s="125" t="s">
        <v>4646</v>
      </c>
      <c r="B33" s="130"/>
      <c r="C33" s="127"/>
    </row>
    <row r="34" spans="1:3" ht="15" thickBot="1" x14ac:dyDescent="0.4">
      <c r="A34" s="131" t="s">
        <v>4647</v>
      </c>
      <c r="B34" s="132"/>
      <c r="C34" s="133"/>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4A5B0-4942-43F5-99C8-B29145DA2977}">
  <dimension ref="A1:M34"/>
  <sheetViews>
    <sheetView topLeftCell="A5" zoomScale="80" zoomScaleNormal="80" workbookViewId="0">
      <selection activeCell="G18" sqref="G18"/>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952</v>
      </c>
      <c r="C2" s="19">
        <f>B2/$B$7</f>
        <v>0.93424926398429831</v>
      </c>
      <c r="D2" s="20">
        <f>SUM(D3:D5)</f>
        <v>49286152</v>
      </c>
      <c r="E2" s="21">
        <f t="shared" ref="E2:E7" si="0">D2/B2</f>
        <v>51771.168067226892</v>
      </c>
      <c r="G2" s="82" t="s">
        <v>4599</v>
      </c>
      <c r="H2" s="83">
        <v>426</v>
      </c>
      <c r="I2" s="84">
        <f>H2/$H$12</f>
        <v>0.41805691854759569</v>
      </c>
      <c r="J2" s="85"/>
      <c r="K2" s="86">
        <f>L2/$L$12</f>
        <v>0.4460093896713615</v>
      </c>
      <c r="L2" s="83">
        <f t="shared" ref="L2:L9" si="1">H2-H3</f>
        <v>190</v>
      </c>
      <c r="M2" s="87" t="s">
        <v>4600</v>
      </c>
    </row>
    <row r="3" spans="1:13" x14ac:dyDescent="0.35">
      <c r="A3" s="22" t="s">
        <v>13</v>
      </c>
      <c r="B3" s="6">
        <v>804</v>
      </c>
      <c r="C3" s="19">
        <f>B3/$B$7</f>
        <v>0.78900883218842</v>
      </c>
      <c r="D3" s="24">
        <v>42678652</v>
      </c>
      <c r="E3" s="21">
        <f t="shared" si="0"/>
        <v>53082.900497512441</v>
      </c>
      <c r="F3" s="37"/>
      <c r="G3" s="66" t="s">
        <v>4601</v>
      </c>
      <c r="H3" s="65">
        <v>236</v>
      </c>
      <c r="I3" s="75">
        <f t="shared" ref="I3:I11" si="2">H3/$H$12</f>
        <v>0.23159960745829244</v>
      </c>
      <c r="J3" s="77"/>
      <c r="K3" s="72">
        <f t="shared" ref="K3:K11" si="3">L3/$L$12</f>
        <v>0.22769953051643194</v>
      </c>
      <c r="L3" s="65">
        <f t="shared" si="1"/>
        <v>97</v>
      </c>
      <c r="M3" s="69" t="s">
        <v>4602</v>
      </c>
    </row>
    <row r="4" spans="1:13" x14ac:dyDescent="0.35">
      <c r="A4" s="22" t="s">
        <v>55</v>
      </c>
      <c r="B4" s="6">
        <v>26</v>
      </c>
      <c r="C4" s="19">
        <f>B4/$B$7</f>
        <v>2.5515210991167811E-2</v>
      </c>
      <c r="D4" s="24">
        <v>602000</v>
      </c>
      <c r="E4" s="21">
        <f t="shared" si="0"/>
        <v>23153.846153846152</v>
      </c>
      <c r="G4" s="88" t="s">
        <v>4603</v>
      </c>
      <c r="H4" s="89">
        <v>139</v>
      </c>
      <c r="I4" s="90">
        <f t="shared" si="2"/>
        <v>0.13640824337585869</v>
      </c>
      <c r="J4" s="85"/>
      <c r="K4" s="91">
        <f t="shared" si="3"/>
        <v>0.12676056338028169</v>
      </c>
      <c r="L4" s="89">
        <f t="shared" si="1"/>
        <v>54</v>
      </c>
      <c r="M4" s="92" t="s">
        <v>4604</v>
      </c>
    </row>
    <row r="5" spans="1:13" x14ac:dyDescent="0.35">
      <c r="A5" s="22" t="s">
        <v>70</v>
      </c>
      <c r="B5" s="6">
        <v>122</v>
      </c>
      <c r="C5" s="19">
        <f>B5/$B$7</f>
        <v>0.1197252208047105</v>
      </c>
      <c r="D5" s="24">
        <v>6005500</v>
      </c>
      <c r="E5" s="21">
        <f t="shared" si="0"/>
        <v>49225.409836065577</v>
      </c>
      <c r="F5" s="37"/>
      <c r="G5" s="66" t="s">
        <v>4605</v>
      </c>
      <c r="H5" s="65">
        <v>85</v>
      </c>
      <c r="I5" s="75">
        <f t="shared" si="2"/>
        <v>8.3415112855740922E-2</v>
      </c>
      <c r="J5" s="77"/>
      <c r="K5" s="72">
        <f t="shared" si="3"/>
        <v>7.746478873239436E-2</v>
      </c>
      <c r="L5" s="65">
        <f t="shared" si="1"/>
        <v>33</v>
      </c>
      <c r="M5" s="69" t="s">
        <v>4606</v>
      </c>
    </row>
    <row r="6" spans="1:13" x14ac:dyDescent="0.35">
      <c r="A6" s="22" t="s">
        <v>22</v>
      </c>
      <c r="B6" s="6">
        <v>67</v>
      </c>
      <c r="C6" s="19">
        <f>B6/$B$7</f>
        <v>6.5750736015701666E-2</v>
      </c>
      <c r="D6" s="24">
        <v>412700</v>
      </c>
      <c r="E6" s="21">
        <f t="shared" si="0"/>
        <v>6159.7014925373132</v>
      </c>
      <c r="G6" s="88" t="s">
        <v>4607</v>
      </c>
      <c r="H6" s="89">
        <v>52</v>
      </c>
      <c r="I6" s="90">
        <f t="shared" si="2"/>
        <v>5.1030421982335622E-2</v>
      </c>
      <c r="J6" s="85"/>
      <c r="K6" s="91">
        <f t="shared" si="3"/>
        <v>4.6948356807511735E-2</v>
      </c>
      <c r="L6" s="89">
        <f t="shared" si="1"/>
        <v>20</v>
      </c>
      <c r="M6" s="92" t="s">
        <v>4608</v>
      </c>
    </row>
    <row r="7" spans="1:13" ht="15" thickBot="1" x14ac:dyDescent="0.4">
      <c r="A7" s="55" t="s">
        <v>633</v>
      </c>
      <c r="B7" s="56">
        <f>B2+B6</f>
        <v>1019</v>
      </c>
      <c r="C7" s="56"/>
      <c r="D7" s="53">
        <f>D2+D6</f>
        <v>49698852</v>
      </c>
      <c r="E7" s="54">
        <f t="shared" si="0"/>
        <v>48772.180569185475</v>
      </c>
      <c r="G7" s="66" t="s">
        <v>4609</v>
      </c>
      <c r="H7" s="65">
        <v>32</v>
      </c>
      <c r="I7" s="75">
        <f t="shared" si="2"/>
        <v>3.1403336604514227E-2</v>
      </c>
      <c r="J7" s="77"/>
      <c r="K7" s="72">
        <f t="shared" si="3"/>
        <v>2.5821596244131457E-2</v>
      </c>
      <c r="L7" s="65">
        <f t="shared" si="1"/>
        <v>11</v>
      </c>
      <c r="M7" s="69" t="s">
        <v>4610</v>
      </c>
    </row>
    <row r="8" spans="1:13" ht="15" thickBot="1" x14ac:dyDescent="0.4">
      <c r="D8" s="142">
        <f>D7/10.28</f>
        <v>4834518.6770428019</v>
      </c>
      <c r="E8" s="142">
        <f>E7/10.28</f>
        <v>4744.3755417495604</v>
      </c>
      <c r="G8" s="88" t="s">
        <v>4611</v>
      </c>
      <c r="H8" s="89">
        <v>21</v>
      </c>
      <c r="I8" s="90">
        <f t="shared" si="2"/>
        <v>2.0608439646712464E-2</v>
      </c>
      <c r="J8" s="85"/>
      <c r="K8" s="91">
        <f t="shared" si="3"/>
        <v>2.3474178403755867E-2</v>
      </c>
      <c r="L8" s="89">
        <f t="shared" si="1"/>
        <v>10</v>
      </c>
      <c r="M8" s="92" t="s">
        <v>4612</v>
      </c>
    </row>
    <row r="9" spans="1:13" ht="15" thickBot="1" x14ac:dyDescent="0.4">
      <c r="D9" s="109"/>
      <c r="E9" s="141"/>
      <c r="G9" s="66" t="s">
        <v>4613</v>
      </c>
      <c r="H9" s="65">
        <v>11</v>
      </c>
      <c r="I9" s="75">
        <f t="shared" si="2"/>
        <v>1.0794896957801767E-2</v>
      </c>
      <c r="J9" s="77"/>
      <c r="K9" s="72">
        <f t="shared" si="3"/>
        <v>9.3896713615023476E-3</v>
      </c>
      <c r="L9" s="65">
        <f t="shared" si="1"/>
        <v>4</v>
      </c>
      <c r="M9" s="69" t="s">
        <v>4614</v>
      </c>
    </row>
    <row r="10" spans="1:13" x14ac:dyDescent="0.35">
      <c r="A10" s="29" t="s">
        <v>4615</v>
      </c>
      <c r="B10" s="13" t="s">
        <v>4592</v>
      </c>
      <c r="C10" s="100" t="s">
        <v>4593</v>
      </c>
      <c r="G10" s="88" t="s">
        <v>4616</v>
      </c>
      <c r="H10" s="89">
        <v>7</v>
      </c>
      <c r="I10" s="90">
        <f t="shared" si="2"/>
        <v>6.8694798822374874E-3</v>
      </c>
      <c r="J10" s="85"/>
      <c r="K10" s="91">
        <f t="shared" si="3"/>
        <v>9.3896713615023476E-3</v>
      </c>
      <c r="L10" s="89">
        <v>4</v>
      </c>
      <c r="M10" s="92" t="s">
        <v>4617</v>
      </c>
    </row>
    <row r="11" spans="1:13" ht="15" thickBot="1" x14ac:dyDescent="0.4">
      <c r="A11" s="17" t="s">
        <v>4618</v>
      </c>
      <c r="B11" s="6">
        <v>5</v>
      </c>
      <c r="C11" s="31"/>
      <c r="G11" s="67" t="s">
        <v>4619</v>
      </c>
      <c r="H11" s="74">
        <v>10</v>
      </c>
      <c r="I11" s="76">
        <f t="shared" si="2"/>
        <v>9.8135426889106973E-3</v>
      </c>
      <c r="J11" s="77"/>
      <c r="K11" s="73">
        <f t="shared" si="3"/>
        <v>7.0422535211267607E-3</v>
      </c>
      <c r="L11" s="74">
        <v>3</v>
      </c>
      <c r="M11" s="70" t="s">
        <v>4620</v>
      </c>
    </row>
    <row r="12" spans="1:13" ht="15" thickBot="1" x14ac:dyDescent="0.4">
      <c r="A12" s="101" t="s">
        <v>4621</v>
      </c>
      <c r="B12" s="26">
        <v>481</v>
      </c>
      <c r="C12" s="104">
        <f>B12/1136</f>
        <v>0.4234154929577465</v>
      </c>
      <c r="G12" s="93" t="s">
        <v>4622</v>
      </c>
      <c r="H12" s="78">
        <f>SUM(H2:H11)</f>
        <v>1019</v>
      </c>
      <c r="I12" s="79">
        <f>SUM(I2:I11)</f>
        <v>1</v>
      </c>
      <c r="J12" s="71"/>
      <c r="K12" s="80">
        <f>SUM(K2:K11)</f>
        <v>1.0000000000000002</v>
      </c>
      <c r="L12" s="117">
        <f>SUM(L2:L11)</f>
        <v>426</v>
      </c>
      <c r="M12" s="118" t="s">
        <v>4623</v>
      </c>
    </row>
    <row r="13" spans="1:13" ht="15" thickBot="1" x14ac:dyDescent="0.4">
      <c r="A13" s="103" t="s">
        <v>4624</v>
      </c>
      <c r="L13" s="119">
        <f>L12/1136</f>
        <v>0.375</v>
      </c>
      <c r="M13" s="120" t="s">
        <v>4625</v>
      </c>
    </row>
    <row r="14" spans="1:13" ht="15" thickBot="1" x14ac:dyDescent="0.4">
      <c r="E14" s="37"/>
    </row>
    <row r="15" spans="1:13" x14ac:dyDescent="0.35">
      <c r="A15" s="29" t="s">
        <v>4626</v>
      </c>
      <c r="B15" s="13" t="s">
        <v>4592</v>
      </c>
      <c r="C15" s="13" t="s">
        <v>4593</v>
      </c>
      <c r="D15" s="15" t="s">
        <v>4594</v>
      </c>
    </row>
    <row r="16" spans="1:13" x14ac:dyDescent="0.35">
      <c r="A16" s="22" t="s">
        <v>4627</v>
      </c>
      <c r="B16" s="6">
        <v>215</v>
      </c>
      <c r="C16" s="30"/>
      <c r="D16" s="31"/>
    </row>
    <row r="17" spans="1:6" x14ac:dyDescent="0.35">
      <c r="A17" s="22" t="s">
        <v>4626</v>
      </c>
      <c r="B17" s="30"/>
      <c r="C17" s="52">
        <v>0.96006684822600641</v>
      </c>
      <c r="D17" s="42">
        <v>28693930.673</v>
      </c>
      <c r="F17" s="34"/>
    </row>
    <row r="18" spans="1:6" x14ac:dyDescent="0.35">
      <c r="A18" s="22" t="s">
        <v>4628</v>
      </c>
      <c r="B18" s="30"/>
      <c r="C18" s="34">
        <v>3.9933151773993647E-2</v>
      </c>
      <c r="D18" s="42">
        <v>1193499.2763</v>
      </c>
    </row>
    <row r="19" spans="1:6" ht="15" thickBot="1" x14ac:dyDescent="0.4">
      <c r="A19" s="22" t="s">
        <v>4629</v>
      </c>
      <c r="B19" s="30"/>
      <c r="C19" s="23">
        <v>5.9490374024574896E-2</v>
      </c>
      <c r="D19" s="42">
        <v>1249590.6261</v>
      </c>
      <c r="E19" s="98"/>
      <c r="F19" s="111"/>
    </row>
    <row r="20" spans="1:6" ht="15" thickBot="1" x14ac:dyDescent="0.4">
      <c r="A20" s="22" t="s">
        <v>4630</v>
      </c>
      <c r="B20" s="30"/>
      <c r="C20" s="30"/>
      <c r="D20" s="42">
        <v>21004921.327</v>
      </c>
      <c r="E20" s="140">
        <f>D20/10.28</f>
        <v>2043280.2847276265</v>
      </c>
    </row>
    <row r="21" spans="1:6" x14ac:dyDescent="0.35">
      <c r="A21" s="22" t="s">
        <v>4631</v>
      </c>
      <c r="B21" s="6">
        <v>33</v>
      </c>
      <c r="C21" s="23">
        <v>0.15240000000000001</v>
      </c>
      <c r="D21" s="32"/>
    </row>
    <row r="22" spans="1:6" x14ac:dyDescent="0.35">
      <c r="A22" s="22" t="s">
        <v>4632</v>
      </c>
      <c r="B22" s="33"/>
      <c r="C22" s="23">
        <v>0.4</v>
      </c>
      <c r="D22" s="32"/>
    </row>
    <row r="23" spans="1:6" ht="15" thickBot="1" x14ac:dyDescent="0.4">
      <c r="A23" s="25" t="s">
        <v>4633</v>
      </c>
      <c r="B23" s="26">
        <v>14</v>
      </c>
      <c r="C23" s="36">
        <v>2.3999999999999998E-3</v>
      </c>
      <c r="D23" s="28">
        <v>50706.66</v>
      </c>
    </row>
    <row r="24" spans="1:6" ht="15" thickBot="1" x14ac:dyDescent="0.4">
      <c r="E24" s="37"/>
    </row>
    <row r="25" spans="1:6" x14ac:dyDescent="0.35">
      <c r="A25" s="122" t="s">
        <v>4634</v>
      </c>
      <c r="B25" s="123" t="s">
        <v>4635</v>
      </c>
      <c r="C25" s="124" t="s">
        <v>4636</v>
      </c>
    </row>
    <row r="26" spans="1:6" x14ac:dyDescent="0.35">
      <c r="A26" s="125" t="s">
        <v>4637</v>
      </c>
      <c r="B26" s="126">
        <v>0.4</v>
      </c>
      <c r="C26" s="127"/>
    </row>
    <row r="27" spans="1:6" x14ac:dyDescent="0.35">
      <c r="A27" s="125" t="s">
        <v>4638</v>
      </c>
      <c r="B27" s="128" t="s">
        <v>4639</v>
      </c>
      <c r="C27" s="127"/>
    </row>
    <row r="28" spans="1:6" x14ac:dyDescent="0.35">
      <c r="A28" s="125" t="s">
        <v>4640</v>
      </c>
      <c r="B28" s="126">
        <v>0.1</v>
      </c>
      <c r="C28" s="127"/>
    </row>
    <row r="29" spans="1:6" x14ac:dyDescent="0.35">
      <c r="A29" s="125" t="s">
        <v>4641</v>
      </c>
      <c r="B29" s="126">
        <v>0.04</v>
      </c>
      <c r="C29" s="127"/>
    </row>
    <row r="30" spans="1:6" x14ac:dyDescent="0.35">
      <c r="A30" s="125" t="s">
        <v>4642</v>
      </c>
      <c r="B30" s="129">
        <v>50</v>
      </c>
      <c r="C30" s="127"/>
    </row>
    <row r="31" spans="1:6" x14ac:dyDescent="0.35">
      <c r="A31" s="125" t="s">
        <v>4643</v>
      </c>
      <c r="B31" s="128" t="s">
        <v>4644</v>
      </c>
      <c r="C31" s="127"/>
    </row>
    <row r="32" spans="1:6" x14ac:dyDescent="0.35">
      <c r="A32" s="125" t="s">
        <v>4645</v>
      </c>
      <c r="B32" s="126">
        <v>0.01</v>
      </c>
      <c r="C32" s="127"/>
    </row>
    <row r="33" spans="1:3" x14ac:dyDescent="0.35">
      <c r="A33" s="125" t="s">
        <v>4646</v>
      </c>
      <c r="B33" s="130"/>
      <c r="C33" s="127"/>
    </row>
    <row r="34" spans="1:3" ht="15" thickBot="1" x14ac:dyDescent="0.4">
      <c r="A34" s="131" t="s">
        <v>4647</v>
      </c>
      <c r="B34" s="132"/>
      <c r="C34" s="133"/>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5B88-6E32-4369-A68F-CA780BAE3C66}">
  <sheetPr codeName="Sheet87"/>
  <dimension ref="A1:M34"/>
  <sheetViews>
    <sheetView zoomScale="80" zoomScaleNormal="80" workbookViewId="0">
      <selection activeCell="E31" sqref="E31"/>
    </sheetView>
  </sheetViews>
  <sheetFormatPr defaultColWidth="9.1796875" defaultRowHeight="14.5" x14ac:dyDescent="0.35"/>
  <cols>
    <col min="1" max="1" width="36.26953125" customWidth="1"/>
    <col min="2" max="2" width="9.453125" customWidth="1"/>
    <col min="3" max="3" width="10.54296875" customWidth="1"/>
    <col min="4" max="4" width="14.1796875" customWidth="1"/>
    <col min="5" max="5" width="16.81640625" customWidth="1"/>
    <col min="6" max="6" width="4.81640625" customWidth="1"/>
    <col min="7" max="7" width="24.542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943</v>
      </c>
      <c r="C2" s="19">
        <f>B2/$B$7</f>
        <v>0.93366336633663372</v>
      </c>
      <c r="D2" s="20">
        <f>SUM(D3:D5)</f>
        <v>47646152</v>
      </c>
      <c r="E2" s="21">
        <f t="shared" ref="E2:E7" si="0">D2/B2</f>
        <v>50526.142099681863</v>
      </c>
      <c r="G2" s="82" t="s">
        <v>4599</v>
      </c>
      <c r="H2" s="83">
        <v>420</v>
      </c>
      <c r="I2" s="84">
        <f>H2/$H$12</f>
        <v>0.41584158415841582</v>
      </c>
      <c r="J2" s="85"/>
      <c r="K2" s="86">
        <f>L2/$L$12</f>
        <v>0.44047619047619047</v>
      </c>
      <c r="L2" s="83">
        <f t="shared" ref="L2:L9" si="1">H2-H3</f>
        <v>185</v>
      </c>
      <c r="M2" s="87" t="s">
        <v>4600</v>
      </c>
    </row>
    <row r="3" spans="1:13" x14ac:dyDescent="0.35">
      <c r="A3" s="22" t="s">
        <v>13</v>
      </c>
      <c r="B3" s="6">
        <v>795</v>
      </c>
      <c r="C3" s="19">
        <f>B3/$B$7</f>
        <v>0.78712871287128716</v>
      </c>
      <c r="D3" s="24">
        <v>41038652</v>
      </c>
      <c r="E3" s="21">
        <f t="shared" si="0"/>
        <v>51620.945911949682</v>
      </c>
      <c r="F3" s="37"/>
      <c r="G3" s="66" t="s">
        <v>4601</v>
      </c>
      <c r="H3" s="65">
        <v>235</v>
      </c>
      <c r="I3" s="75">
        <f t="shared" ref="I3:I11" si="2">H3/$H$12</f>
        <v>0.23267326732673269</v>
      </c>
      <c r="J3" s="77"/>
      <c r="K3" s="72">
        <f t="shared" ref="K3:K11" si="3">L3/$L$12</f>
        <v>0.23095238095238096</v>
      </c>
      <c r="L3" s="65">
        <f t="shared" si="1"/>
        <v>97</v>
      </c>
      <c r="M3" s="69" t="s">
        <v>4602</v>
      </c>
    </row>
    <row r="4" spans="1:13" x14ac:dyDescent="0.35">
      <c r="A4" s="22" t="s">
        <v>55</v>
      </c>
      <c r="B4" s="6">
        <v>26</v>
      </c>
      <c r="C4" s="19">
        <f>B4/$B$7</f>
        <v>2.5742574257425741E-2</v>
      </c>
      <c r="D4" s="24">
        <v>602000</v>
      </c>
      <c r="E4" s="21">
        <f t="shared" si="0"/>
        <v>23153.846153846152</v>
      </c>
      <c r="G4" s="88" t="s">
        <v>4603</v>
      </c>
      <c r="H4" s="89">
        <v>138</v>
      </c>
      <c r="I4" s="90">
        <f t="shared" si="2"/>
        <v>0.13663366336633664</v>
      </c>
      <c r="J4" s="85"/>
      <c r="K4" s="91">
        <f t="shared" si="3"/>
        <v>0.12857142857142856</v>
      </c>
      <c r="L4" s="89">
        <f t="shared" si="1"/>
        <v>54</v>
      </c>
      <c r="M4" s="92" t="s">
        <v>4604</v>
      </c>
    </row>
    <row r="5" spans="1:13" x14ac:dyDescent="0.35">
      <c r="A5" s="22" t="s">
        <v>70</v>
      </c>
      <c r="B5" s="6">
        <v>122</v>
      </c>
      <c r="C5" s="19">
        <f>B5/$B$7</f>
        <v>0.12079207920792079</v>
      </c>
      <c r="D5" s="24">
        <v>6005500</v>
      </c>
      <c r="E5" s="21">
        <f t="shared" si="0"/>
        <v>49225.409836065577</v>
      </c>
      <c r="F5" s="37"/>
      <c r="G5" s="66" t="s">
        <v>4605</v>
      </c>
      <c r="H5" s="65">
        <v>84</v>
      </c>
      <c r="I5" s="75">
        <f t="shared" si="2"/>
        <v>8.3168316831683173E-2</v>
      </c>
      <c r="J5" s="77"/>
      <c r="K5" s="72">
        <f t="shared" si="3"/>
        <v>7.6190476190476197E-2</v>
      </c>
      <c r="L5" s="65">
        <f t="shared" si="1"/>
        <v>32</v>
      </c>
      <c r="M5" s="69" t="s">
        <v>4606</v>
      </c>
    </row>
    <row r="6" spans="1:13" x14ac:dyDescent="0.35">
      <c r="A6" s="22" t="s">
        <v>22</v>
      </c>
      <c r="B6" s="6">
        <v>67</v>
      </c>
      <c r="C6" s="19">
        <f>B6/$B$7</f>
        <v>6.633663366336634E-2</v>
      </c>
      <c r="D6" s="24">
        <v>412700</v>
      </c>
      <c r="E6" s="21">
        <f t="shared" si="0"/>
        <v>6159.7014925373132</v>
      </c>
      <c r="G6" s="88" t="s">
        <v>4607</v>
      </c>
      <c r="H6" s="89">
        <v>52</v>
      </c>
      <c r="I6" s="90">
        <f t="shared" si="2"/>
        <v>5.1485148514851482E-2</v>
      </c>
      <c r="J6" s="85"/>
      <c r="K6" s="91">
        <f t="shared" si="3"/>
        <v>4.7619047619047616E-2</v>
      </c>
      <c r="L6" s="89">
        <f t="shared" si="1"/>
        <v>20</v>
      </c>
      <c r="M6" s="92" t="s">
        <v>4608</v>
      </c>
    </row>
    <row r="7" spans="1:13" ht="15" thickBot="1" x14ac:dyDescent="0.4">
      <c r="A7" s="55" t="s">
        <v>633</v>
      </c>
      <c r="B7" s="56">
        <f>B2+B6</f>
        <v>1010</v>
      </c>
      <c r="C7" s="56"/>
      <c r="D7" s="53">
        <f>D2+D6</f>
        <v>48058852</v>
      </c>
      <c r="E7" s="54">
        <f t="shared" si="0"/>
        <v>47583.021782178221</v>
      </c>
      <c r="G7" s="66" t="s">
        <v>4609</v>
      </c>
      <c r="H7" s="65">
        <v>32</v>
      </c>
      <c r="I7" s="75">
        <f t="shared" si="2"/>
        <v>3.1683168316831684E-2</v>
      </c>
      <c r="J7" s="77"/>
      <c r="K7" s="72">
        <f t="shared" si="3"/>
        <v>2.6190476190476191E-2</v>
      </c>
      <c r="L7" s="65">
        <f t="shared" si="1"/>
        <v>11</v>
      </c>
      <c r="M7" s="69" t="s">
        <v>4610</v>
      </c>
    </row>
    <row r="8" spans="1:13" ht="15" thickBot="1" x14ac:dyDescent="0.4">
      <c r="D8" s="142">
        <f>D7/14.15</f>
        <v>3396385.3003533566</v>
      </c>
      <c r="E8" s="142">
        <f>E7/14.15</f>
        <v>3362.7577231221358</v>
      </c>
      <c r="G8" s="88" t="s">
        <v>4611</v>
      </c>
      <c r="H8" s="89">
        <v>21</v>
      </c>
      <c r="I8" s="90">
        <f t="shared" si="2"/>
        <v>2.0792079207920793E-2</v>
      </c>
      <c r="J8" s="85"/>
      <c r="K8" s="91">
        <f t="shared" si="3"/>
        <v>2.3809523809523808E-2</v>
      </c>
      <c r="L8" s="89">
        <f t="shared" si="1"/>
        <v>10</v>
      </c>
      <c r="M8" s="92" t="s">
        <v>4612</v>
      </c>
    </row>
    <row r="9" spans="1:13" ht="15" thickBot="1" x14ac:dyDescent="0.4">
      <c r="D9" s="109"/>
      <c r="E9" s="141"/>
      <c r="G9" s="66" t="s">
        <v>4613</v>
      </c>
      <c r="H9" s="65">
        <v>11</v>
      </c>
      <c r="I9" s="75">
        <f t="shared" si="2"/>
        <v>1.089108910891089E-2</v>
      </c>
      <c r="J9" s="77"/>
      <c r="K9" s="72">
        <f t="shared" si="3"/>
        <v>9.5238095238095247E-3</v>
      </c>
      <c r="L9" s="65">
        <f t="shared" si="1"/>
        <v>4</v>
      </c>
      <c r="M9" s="69" t="s">
        <v>4614</v>
      </c>
    </row>
    <row r="10" spans="1:13" x14ac:dyDescent="0.35">
      <c r="A10" s="29" t="s">
        <v>4615</v>
      </c>
      <c r="B10" s="13" t="s">
        <v>4592</v>
      </c>
      <c r="C10" s="100" t="s">
        <v>4593</v>
      </c>
      <c r="G10" s="88" t="s">
        <v>4616</v>
      </c>
      <c r="H10" s="89">
        <v>7</v>
      </c>
      <c r="I10" s="90">
        <f t="shared" si="2"/>
        <v>6.9306930693069308E-3</v>
      </c>
      <c r="J10" s="85"/>
      <c r="K10" s="91">
        <f t="shared" si="3"/>
        <v>9.5238095238095247E-3</v>
      </c>
      <c r="L10" s="89">
        <v>4</v>
      </c>
      <c r="M10" s="92" t="s">
        <v>4617</v>
      </c>
    </row>
    <row r="11" spans="1:13" ht="15" thickBot="1" x14ac:dyDescent="0.4">
      <c r="A11" s="17" t="s">
        <v>4618</v>
      </c>
      <c r="B11" s="6">
        <v>0</v>
      </c>
      <c r="C11" s="31"/>
      <c r="G11" s="67" t="s">
        <v>4619</v>
      </c>
      <c r="H11" s="74">
        <v>10</v>
      </c>
      <c r="I11" s="76">
        <f t="shared" si="2"/>
        <v>9.9009900990099011E-3</v>
      </c>
      <c r="J11" s="77"/>
      <c r="K11" s="73">
        <f t="shared" si="3"/>
        <v>7.1428571428571426E-3</v>
      </c>
      <c r="L11" s="74">
        <v>3</v>
      </c>
      <c r="M11" s="70" t="s">
        <v>4620</v>
      </c>
    </row>
    <row r="12" spans="1:13" ht="15" thickBot="1" x14ac:dyDescent="0.4">
      <c r="A12" s="101" t="s">
        <v>4621</v>
      </c>
      <c r="B12" s="26">
        <v>476</v>
      </c>
      <c r="C12" s="104">
        <f>B12/1124</f>
        <v>0.42348754448398579</v>
      </c>
      <c r="G12" s="93" t="s">
        <v>4622</v>
      </c>
      <c r="H12" s="78">
        <f>SUM(H2:H11)</f>
        <v>1010</v>
      </c>
      <c r="I12" s="79">
        <f>SUM(I2:I11)</f>
        <v>1</v>
      </c>
      <c r="J12" s="71"/>
      <c r="K12" s="80">
        <f>SUM(K2:K11)</f>
        <v>1</v>
      </c>
      <c r="L12" s="117">
        <f>SUM(L2:L11)</f>
        <v>420</v>
      </c>
      <c r="M12" s="118" t="s">
        <v>4623</v>
      </c>
    </row>
    <row r="13" spans="1:13" ht="15" thickBot="1" x14ac:dyDescent="0.4">
      <c r="A13" s="103" t="s">
        <v>4624</v>
      </c>
      <c r="L13" s="119">
        <f>L12/1124</f>
        <v>0.37366548042704628</v>
      </c>
      <c r="M13" s="120" t="s">
        <v>4625</v>
      </c>
    </row>
    <row r="14" spans="1:13" ht="15" thickBot="1" x14ac:dyDescent="0.4">
      <c r="E14" s="37"/>
    </row>
    <row r="15" spans="1:13" x14ac:dyDescent="0.35">
      <c r="A15" s="29" t="s">
        <v>4626</v>
      </c>
      <c r="B15" s="13" t="s">
        <v>4592</v>
      </c>
      <c r="C15" s="13" t="s">
        <v>4593</v>
      </c>
      <c r="D15" s="15" t="s">
        <v>4594</v>
      </c>
    </row>
    <row r="16" spans="1:13" x14ac:dyDescent="0.35">
      <c r="A16" s="22" t="s">
        <v>4627</v>
      </c>
      <c r="B16" s="6">
        <v>210</v>
      </c>
      <c r="C16" s="30"/>
      <c r="D16" s="31"/>
    </row>
    <row r="17" spans="1:6" x14ac:dyDescent="0.35">
      <c r="A17" s="22" t="s">
        <v>4626</v>
      </c>
      <c r="B17" s="30"/>
      <c r="C17" s="52">
        <v>0.96096673397600452</v>
      </c>
      <c r="D17" s="42">
        <v>27890330.673</v>
      </c>
      <c r="F17" s="34"/>
    </row>
    <row r="18" spans="1:6" x14ac:dyDescent="0.35">
      <c r="A18" s="22" t="s">
        <v>4628</v>
      </c>
      <c r="B18" s="30"/>
      <c r="C18" s="34">
        <v>3.9033266023995497E-2</v>
      </c>
      <c r="D18" s="42">
        <v>1132870.3254400003</v>
      </c>
    </row>
    <row r="19" spans="1:6" ht="15" thickBot="1" x14ac:dyDescent="0.4">
      <c r="A19" s="22" t="s">
        <v>4629</v>
      </c>
      <c r="B19" s="30"/>
      <c r="C19" s="23">
        <v>5.8993210226432585E-2</v>
      </c>
      <c r="D19" s="42">
        <v>1189805.8186000001</v>
      </c>
      <c r="E19" s="98"/>
      <c r="F19" s="111"/>
    </row>
    <row r="20" spans="1:6" ht="15" thickBot="1" x14ac:dyDescent="0.4">
      <c r="A20" s="22" t="s">
        <v>4630</v>
      </c>
      <c r="B20" s="30"/>
      <c r="C20" s="30"/>
      <c r="D20" s="42">
        <v>20168521.327</v>
      </c>
      <c r="E20" s="140">
        <f>D20/14.15</f>
        <v>1425337.1962544168</v>
      </c>
    </row>
    <row r="21" spans="1:6" x14ac:dyDescent="0.35">
      <c r="A21" s="22" t="s">
        <v>4631</v>
      </c>
      <c r="B21" s="6">
        <v>32</v>
      </c>
      <c r="C21" s="23">
        <v>0.15240000000000001</v>
      </c>
      <c r="D21" s="32"/>
    </row>
    <row r="22" spans="1:6" x14ac:dyDescent="0.35">
      <c r="A22" s="22" t="s">
        <v>4632</v>
      </c>
      <c r="B22" s="33"/>
      <c r="C22" s="23">
        <v>0.4</v>
      </c>
      <c r="D22" s="32"/>
    </row>
    <row r="23" spans="1:6" ht="15" thickBot="1" x14ac:dyDescent="0.4">
      <c r="A23" s="25" t="s">
        <v>4633</v>
      </c>
      <c r="B23" s="26">
        <v>14</v>
      </c>
      <c r="C23" s="36">
        <v>2.5000000000000001E-3</v>
      </c>
      <c r="D23" s="28">
        <v>50706.66</v>
      </c>
    </row>
    <row r="24" spans="1:6" ht="15" thickBot="1" x14ac:dyDescent="0.4">
      <c r="E24" s="37"/>
    </row>
    <row r="25" spans="1:6" x14ac:dyDescent="0.35">
      <c r="A25" s="122" t="s">
        <v>4634</v>
      </c>
      <c r="B25" s="123" t="s">
        <v>4635</v>
      </c>
      <c r="C25" s="124" t="s">
        <v>4636</v>
      </c>
    </row>
    <row r="26" spans="1:6" x14ac:dyDescent="0.35">
      <c r="A26" s="125" t="s">
        <v>4637</v>
      </c>
      <c r="B26" s="126">
        <v>0.4</v>
      </c>
      <c r="C26" s="127"/>
    </row>
    <row r="27" spans="1:6" x14ac:dyDescent="0.35">
      <c r="A27" s="125" t="s">
        <v>4638</v>
      </c>
      <c r="B27" s="128" t="s">
        <v>4639</v>
      </c>
      <c r="C27" s="127"/>
    </row>
    <row r="28" spans="1:6" x14ac:dyDescent="0.35">
      <c r="A28" s="125" t="s">
        <v>4640</v>
      </c>
      <c r="B28" s="126">
        <v>0.1</v>
      </c>
      <c r="C28" s="127"/>
    </row>
    <row r="29" spans="1:6" x14ac:dyDescent="0.35">
      <c r="A29" s="125" t="s">
        <v>4641</v>
      </c>
      <c r="B29" s="126">
        <v>0.04</v>
      </c>
      <c r="C29" s="127"/>
    </row>
    <row r="30" spans="1:6" x14ac:dyDescent="0.35">
      <c r="A30" s="125" t="s">
        <v>4642</v>
      </c>
      <c r="B30" s="129">
        <v>50</v>
      </c>
      <c r="C30" s="127"/>
    </row>
    <row r="31" spans="1:6" x14ac:dyDescent="0.35">
      <c r="A31" s="125" t="s">
        <v>4643</v>
      </c>
      <c r="B31" s="128" t="s">
        <v>4644</v>
      </c>
      <c r="C31" s="127"/>
    </row>
    <row r="32" spans="1:6" x14ac:dyDescent="0.35">
      <c r="A32" s="125" t="s">
        <v>4645</v>
      </c>
      <c r="B32" s="126">
        <v>0.01</v>
      </c>
      <c r="C32" s="127"/>
    </row>
    <row r="33" spans="1:3" x14ac:dyDescent="0.35">
      <c r="A33" s="125" t="s">
        <v>4646</v>
      </c>
      <c r="B33" s="130"/>
      <c r="C33" s="127"/>
    </row>
    <row r="34" spans="1:3" ht="15" thickBot="1" x14ac:dyDescent="0.4">
      <c r="A34" s="131" t="s">
        <v>4647</v>
      </c>
      <c r="B34" s="132"/>
      <c r="C34" s="133"/>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F12B9-EF58-47B9-9763-F5045EB30A15}">
  <sheetPr codeName="Sheet9"/>
  <dimension ref="A1:M34"/>
  <sheetViews>
    <sheetView topLeftCell="A3" zoomScale="80" zoomScaleNormal="80" workbookViewId="0">
      <selection activeCell="E14" sqref="E14"/>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23"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940</v>
      </c>
      <c r="C2" s="19">
        <f>B2/$B$7</f>
        <v>0.93346573982125125</v>
      </c>
      <c r="D2" s="20">
        <f>SUM(D3:D5)</f>
        <v>47396152</v>
      </c>
      <c r="E2" s="21">
        <f t="shared" ref="E2:E7" si="0">D2/B2</f>
        <v>50421.438297872337</v>
      </c>
      <c r="G2" s="82" t="s">
        <v>4599</v>
      </c>
      <c r="H2" s="83">
        <v>420</v>
      </c>
      <c r="I2" s="84">
        <f>H2/$H$12</f>
        <v>0.41708043694141012</v>
      </c>
      <c r="J2" s="85"/>
      <c r="K2" s="86">
        <f>L2/$L$12</f>
        <v>0.44285714285714284</v>
      </c>
      <c r="L2" s="83">
        <f t="shared" ref="L2:L9" si="1">H2-H3</f>
        <v>186</v>
      </c>
      <c r="M2" s="87" t="s">
        <v>4600</v>
      </c>
    </row>
    <row r="3" spans="1:13" x14ac:dyDescent="0.35">
      <c r="A3" s="22" t="s">
        <v>13</v>
      </c>
      <c r="B3" s="6">
        <v>792</v>
      </c>
      <c r="C3" s="19">
        <f>B3/$B$7</f>
        <v>0.78649453823237336</v>
      </c>
      <c r="D3" s="24">
        <v>40788652</v>
      </c>
      <c r="E3" s="21">
        <f t="shared" si="0"/>
        <v>51500.82323232323</v>
      </c>
      <c r="F3" s="37"/>
      <c r="G3" s="66" t="s">
        <v>4601</v>
      </c>
      <c r="H3" s="65">
        <v>234</v>
      </c>
      <c r="I3" s="75">
        <f t="shared" ref="I3:I11" si="2">H3/$H$12</f>
        <v>0.23237338629592849</v>
      </c>
      <c r="J3" s="77"/>
      <c r="K3" s="72">
        <f t="shared" ref="K3:K11" si="3">L3/$L$12</f>
        <v>0.23333333333333334</v>
      </c>
      <c r="L3" s="65">
        <f t="shared" si="1"/>
        <v>98</v>
      </c>
      <c r="M3" s="69" t="s">
        <v>4602</v>
      </c>
    </row>
    <row r="4" spans="1:13" x14ac:dyDescent="0.35">
      <c r="A4" s="22" t="s">
        <v>55</v>
      </c>
      <c r="B4" s="6">
        <v>26</v>
      </c>
      <c r="C4" s="19">
        <f>B4/$B$7</f>
        <v>2.5819265143992055E-2</v>
      </c>
      <c r="D4" s="24">
        <v>602000</v>
      </c>
      <c r="E4" s="21">
        <f t="shared" si="0"/>
        <v>23153.846153846152</v>
      </c>
      <c r="G4" s="88" t="s">
        <v>4603</v>
      </c>
      <c r="H4" s="89">
        <v>136</v>
      </c>
      <c r="I4" s="90">
        <f t="shared" si="2"/>
        <v>0.13505461767626614</v>
      </c>
      <c r="J4" s="85"/>
      <c r="K4" s="91">
        <f t="shared" si="3"/>
        <v>0.12380952380952381</v>
      </c>
      <c r="L4" s="89">
        <f t="shared" si="1"/>
        <v>52</v>
      </c>
      <c r="M4" s="92" t="s">
        <v>4604</v>
      </c>
    </row>
    <row r="5" spans="1:13" x14ac:dyDescent="0.35">
      <c r="A5" s="22" t="s">
        <v>70</v>
      </c>
      <c r="B5" s="6">
        <v>122</v>
      </c>
      <c r="C5" s="19">
        <f>B5/$B$7</f>
        <v>0.1211519364448858</v>
      </c>
      <c r="D5" s="24">
        <v>6005500</v>
      </c>
      <c r="E5" s="21">
        <f t="shared" si="0"/>
        <v>49225.409836065577</v>
      </c>
      <c r="F5" s="37"/>
      <c r="G5" s="66" t="s">
        <v>4605</v>
      </c>
      <c r="H5" s="65">
        <v>84</v>
      </c>
      <c r="I5" s="75">
        <f t="shared" si="2"/>
        <v>8.3416087388282031E-2</v>
      </c>
      <c r="J5" s="77"/>
      <c r="K5" s="72">
        <f t="shared" si="3"/>
        <v>7.6190476190476197E-2</v>
      </c>
      <c r="L5" s="65">
        <f t="shared" si="1"/>
        <v>32</v>
      </c>
      <c r="M5" s="69" t="s">
        <v>4606</v>
      </c>
    </row>
    <row r="6" spans="1:13" x14ac:dyDescent="0.35">
      <c r="A6" s="22" t="s">
        <v>22</v>
      </c>
      <c r="B6" s="6">
        <v>67</v>
      </c>
      <c r="C6" s="19">
        <f>B6/$B$7</f>
        <v>6.6534260178748764E-2</v>
      </c>
      <c r="D6" s="24">
        <v>412700</v>
      </c>
      <c r="E6" s="21">
        <f t="shared" si="0"/>
        <v>6159.7014925373132</v>
      </c>
      <c r="G6" s="88" t="s">
        <v>4607</v>
      </c>
      <c r="H6" s="89">
        <v>52</v>
      </c>
      <c r="I6" s="90">
        <f t="shared" si="2"/>
        <v>5.1638530287984111E-2</v>
      </c>
      <c r="J6" s="85"/>
      <c r="K6" s="91">
        <f t="shared" si="3"/>
        <v>4.7619047619047616E-2</v>
      </c>
      <c r="L6" s="89">
        <f t="shared" si="1"/>
        <v>20</v>
      </c>
      <c r="M6" s="92" t="s">
        <v>4608</v>
      </c>
    </row>
    <row r="7" spans="1:13" ht="15" thickBot="1" x14ac:dyDescent="0.4">
      <c r="A7" s="55" t="s">
        <v>633</v>
      </c>
      <c r="B7" s="56">
        <f>B2+B6</f>
        <v>1007</v>
      </c>
      <c r="C7" s="56"/>
      <c r="D7" s="53">
        <f>D2+D6</f>
        <v>47808852</v>
      </c>
      <c r="E7" s="54">
        <f t="shared" si="0"/>
        <v>47476.516385302879</v>
      </c>
      <c r="G7" s="66" t="s">
        <v>4609</v>
      </c>
      <c r="H7" s="65">
        <v>32</v>
      </c>
      <c r="I7" s="75">
        <f t="shared" si="2"/>
        <v>3.1777557100297914E-2</v>
      </c>
      <c r="J7" s="77"/>
      <c r="K7" s="72">
        <f t="shared" si="3"/>
        <v>2.6190476190476191E-2</v>
      </c>
      <c r="L7" s="65">
        <f t="shared" si="1"/>
        <v>11</v>
      </c>
      <c r="M7" s="69" t="s">
        <v>4610</v>
      </c>
    </row>
    <row r="8" spans="1:13" ht="15" thickBot="1" x14ac:dyDescent="0.4">
      <c r="D8" s="142">
        <f>D7/14.25</f>
        <v>3355007.1578947366</v>
      </c>
      <c r="E8" s="142">
        <f>E7/14.25</f>
        <v>3331.685360372132</v>
      </c>
      <c r="G8" s="88" t="s">
        <v>4611</v>
      </c>
      <c r="H8" s="89">
        <v>21</v>
      </c>
      <c r="I8" s="90">
        <f t="shared" si="2"/>
        <v>2.0854021847070508E-2</v>
      </c>
      <c r="J8" s="85"/>
      <c r="K8" s="91">
        <f t="shared" si="3"/>
        <v>2.3809523809523808E-2</v>
      </c>
      <c r="L8" s="89">
        <f t="shared" si="1"/>
        <v>10</v>
      </c>
      <c r="M8" s="92" t="s">
        <v>4612</v>
      </c>
    </row>
    <row r="9" spans="1:13" ht="15" thickBot="1" x14ac:dyDescent="0.4">
      <c r="D9" s="109"/>
      <c r="E9" s="141"/>
      <c r="G9" s="66" t="s">
        <v>4613</v>
      </c>
      <c r="H9" s="65">
        <v>11</v>
      </c>
      <c r="I9" s="75">
        <f t="shared" si="2"/>
        <v>1.0923535253227408E-2</v>
      </c>
      <c r="J9" s="77"/>
      <c r="K9" s="72">
        <f t="shared" si="3"/>
        <v>9.5238095238095247E-3</v>
      </c>
      <c r="L9" s="65">
        <f t="shared" si="1"/>
        <v>4</v>
      </c>
      <c r="M9" s="69" t="s">
        <v>4614</v>
      </c>
    </row>
    <row r="10" spans="1:13" x14ac:dyDescent="0.35">
      <c r="A10" s="29" t="s">
        <v>4615</v>
      </c>
      <c r="B10" s="13" t="s">
        <v>4592</v>
      </c>
      <c r="C10" s="100" t="s">
        <v>4593</v>
      </c>
      <c r="G10" s="88" t="s">
        <v>4616</v>
      </c>
      <c r="H10" s="89">
        <v>7</v>
      </c>
      <c r="I10" s="90">
        <f t="shared" si="2"/>
        <v>6.9513406156901684E-3</v>
      </c>
      <c r="J10" s="85"/>
      <c r="K10" s="91">
        <f t="shared" si="3"/>
        <v>9.5238095238095247E-3</v>
      </c>
      <c r="L10" s="89">
        <v>4</v>
      </c>
      <c r="M10" s="92" t="s">
        <v>4617</v>
      </c>
    </row>
    <row r="11" spans="1:13" ht="15" thickBot="1" x14ac:dyDescent="0.4">
      <c r="A11" s="17" t="s">
        <v>4618</v>
      </c>
      <c r="B11" s="6">
        <v>2</v>
      </c>
      <c r="C11" s="31"/>
      <c r="G11" s="67" t="s">
        <v>4619</v>
      </c>
      <c r="H11" s="74">
        <v>10</v>
      </c>
      <c r="I11" s="76">
        <f t="shared" si="2"/>
        <v>9.9304865938430985E-3</v>
      </c>
      <c r="J11" s="77"/>
      <c r="K11" s="73">
        <f t="shared" si="3"/>
        <v>7.1428571428571426E-3</v>
      </c>
      <c r="L11" s="74">
        <v>3</v>
      </c>
      <c r="M11" s="70" t="s">
        <v>4620</v>
      </c>
    </row>
    <row r="12" spans="1:13" ht="15" thickBot="1" x14ac:dyDescent="0.4">
      <c r="A12" s="101" t="s">
        <v>4621</v>
      </c>
      <c r="B12" s="26">
        <v>476</v>
      </c>
      <c r="C12" s="104">
        <f>B12/1124</f>
        <v>0.42348754448398579</v>
      </c>
      <c r="G12" s="93" t="s">
        <v>4622</v>
      </c>
      <c r="H12" s="78">
        <f>SUM(H2:H11)</f>
        <v>1007</v>
      </c>
      <c r="I12" s="79">
        <f>SUM(I2:I11)</f>
        <v>1</v>
      </c>
      <c r="J12" s="71"/>
      <c r="K12" s="80">
        <f>SUM(K2:K11)</f>
        <v>1</v>
      </c>
      <c r="L12" s="117">
        <f>SUM(L2:L11)</f>
        <v>420</v>
      </c>
      <c r="M12" s="118" t="s">
        <v>4623</v>
      </c>
    </row>
    <row r="13" spans="1:13" ht="15" thickBot="1" x14ac:dyDescent="0.4">
      <c r="A13" s="103" t="s">
        <v>4624</v>
      </c>
      <c r="L13" s="119">
        <f>L12/1124</f>
        <v>0.37366548042704628</v>
      </c>
      <c r="M13" s="120" t="s">
        <v>4625</v>
      </c>
    </row>
    <row r="14" spans="1:13" ht="15" thickBot="1" x14ac:dyDescent="0.4">
      <c r="E14" s="37"/>
    </row>
    <row r="15" spans="1:13" x14ac:dyDescent="0.35">
      <c r="A15" s="29" t="s">
        <v>4626</v>
      </c>
      <c r="B15" s="13" t="s">
        <v>4592</v>
      </c>
      <c r="C15" s="13" t="s">
        <v>4593</v>
      </c>
      <c r="D15" s="15" t="s">
        <v>4594</v>
      </c>
    </row>
    <row r="16" spans="1:13" x14ac:dyDescent="0.35">
      <c r="A16" s="22" t="s">
        <v>4627</v>
      </c>
      <c r="B16" s="6">
        <v>218</v>
      </c>
      <c r="C16" s="30"/>
      <c r="D16" s="31"/>
    </row>
    <row r="17" spans="1:6" x14ac:dyDescent="0.35">
      <c r="A17" s="22" t="s">
        <v>4626</v>
      </c>
      <c r="B17" s="30"/>
      <c r="C17" s="52">
        <v>0.96575189331299227</v>
      </c>
      <c r="D17" s="42">
        <v>27866080.673</v>
      </c>
      <c r="F17" s="34"/>
    </row>
    <row r="18" spans="1:6" x14ac:dyDescent="0.35">
      <c r="A18" s="22" t="s">
        <v>4628</v>
      </c>
      <c r="B18" s="30"/>
      <c r="C18" s="34">
        <v>3.4248106687007708E-2</v>
      </c>
      <c r="D18" s="42">
        <v>988204.64184000005</v>
      </c>
    </row>
    <row r="19" spans="1:6" ht="15" thickBot="1" x14ac:dyDescent="0.4">
      <c r="A19" s="22" t="s">
        <v>4629</v>
      </c>
      <c r="B19" s="30"/>
      <c r="C19" s="23">
        <v>5.2042394150348371E-2</v>
      </c>
      <c r="D19" s="42">
        <v>1037869.56585</v>
      </c>
      <c r="E19" s="98"/>
      <c r="F19" s="111"/>
    </row>
    <row r="20" spans="1:6" ht="15" thickBot="1" x14ac:dyDescent="0.4">
      <c r="A20" s="22" t="s">
        <v>4630</v>
      </c>
      <c r="B20" s="30"/>
      <c r="C20" s="30"/>
      <c r="D20" s="42">
        <v>19942771.327</v>
      </c>
      <c r="E20" s="140">
        <f>D20/14.25</f>
        <v>1399492.7247017543</v>
      </c>
    </row>
    <row r="21" spans="1:6" x14ac:dyDescent="0.35">
      <c r="A21" s="22" t="s">
        <v>4631</v>
      </c>
      <c r="B21" s="6">
        <v>30</v>
      </c>
      <c r="C21" s="23">
        <v>0.1376</v>
      </c>
      <c r="D21" s="32"/>
    </row>
    <row r="22" spans="1:6" x14ac:dyDescent="0.35">
      <c r="A22" s="22" t="s">
        <v>4632</v>
      </c>
      <c r="B22" s="33"/>
      <c r="C22" s="23">
        <v>0.4</v>
      </c>
      <c r="D22" s="32"/>
    </row>
    <row r="23" spans="1:6" ht="15" thickBot="1" x14ac:dyDescent="0.4">
      <c r="A23" s="25" t="s">
        <v>4633</v>
      </c>
      <c r="B23" s="26">
        <v>14</v>
      </c>
      <c r="C23" s="36">
        <v>2.5000000000000001E-3</v>
      </c>
      <c r="D23" s="28">
        <v>50706.66</v>
      </c>
    </row>
    <row r="24" spans="1:6" ht="15" thickBot="1" x14ac:dyDescent="0.4">
      <c r="E24" s="37"/>
    </row>
    <row r="25" spans="1:6" x14ac:dyDescent="0.35">
      <c r="A25" s="122" t="s">
        <v>4634</v>
      </c>
      <c r="B25" s="123" t="s">
        <v>4635</v>
      </c>
      <c r="C25" s="124" t="s">
        <v>4636</v>
      </c>
    </row>
    <row r="26" spans="1:6" x14ac:dyDescent="0.35">
      <c r="A26" s="125" t="s">
        <v>4637</v>
      </c>
      <c r="B26" s="126">
        <v>0.4</v>
      </c>
      <c r="C26" s="127"/>
    </row>
    <row r="27" spans="1:6" x14ac:dyDescent="0.35">
      <c r="A27" s="125" t="s">
        <v>4638</v>
      </c>
      <c r="B27" s="128" t="s">
        <v>4639</v>
      </c>
      <c r="C27" s="127"/>
    </row>
    <row r="28" spans="1:6" x14ac:dyDescent="0.35">
      <c r="A28" s="125" t="s">
        <v>4640</v>
      </c>
      <c r="B28" s="126">
        <v>0.1</v>
      </c>
      <c r="C28" s="127"/>
    </row>
    <row r="29" spans="1:6" x14ac:dyDescent="0.35">
      <c r="A29" s="125" t="s">
        <v>4641</v>
      </c>
      <c r="B29" s="126">
        <v>0.04</v>
      </c>
      <c r="C29" s="127"/>
    </row>
    <row r="30" spans="1:6" x14ac:dyDescent="0.35">
      <c r="A30" s="125" t="s">
        <v>4642</v>
      </c>
      <c r="B30" s="129">
        <v>50</v>
      </c>
      <c r="C30" s="127"/>
    </row>
    <row r="31" spans="1:6" x14ac:dyDescent="0.35">
      <c r="A31" s="125" t="s">
        <v>4643</v>
      </c>
      <c r="B31" s="128" t="s">
        <v>4644</v>
      </c>
      <c r="C31" s="127"/>
    </row>
    <row r="32" spans="1:6" x14ac:dyDescent="0.35">
      <c r="A32" s="125" t="s">
        <v>4645</v>
      </c>
      <c r="B32" s="126">
        <v>0.01</v>
      </c>
      <c r="C32" s="127"/>
    </row>
    <row r="33" spans="1:3" x14ac:dyDescent="0.35">
      <c r="A33" s="125" t="s">
        <v>4646</v>
      </c>
      <c r="B33" s="130"/>
      <c r="C33" s="127"/>
    </row>
    <row r="34" spans="1:3" ht="15" thickBot="1" x14ac:dyDescent="0.4">
      <c r="A34" s="131" t="s">
        <v>4647</v>
      </c>
      <c r="B34" s="132"/>
      <c r="C34" s="133"/>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9BF11-9F1B-4918-A9F3-4A1B374BC8A2}">
  <sheetPr codeName="Sheet10"/>
  <dimension ref="A1:M33"/>
  <sheetViews>
    <sheetView zoomScale="70" zoomScaleNormal="70" workbookViewId="0">
      <selection activeCell="H11" sqref="H11"/>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925</v>
      </c>
      <c r="C2" s="19">
        <f>B2/$B$7</f>
        <v>0.93245967741935487</v>
      </c>
      <c r="D2" s="20">
        <f>SUM(D3:D5)</f>
        <v>44026152</v>
      </c>
      <c r="E2" s="21">
        <f t="shared" ref="E2:E7" si="0">D2/B2</f>
        <v>47595.839999999997</v>
      </c>
      <c r="G2" s="82" t="s">
        <v>4599</v>
      </c>
      <c r="H2" s="83">
        <v>418</v>
      </c>
      <c r="I2" s="84">
        <f>H2/$H$12</f>
        <v>0.4213709677419355</v>
      </c>
      <c r="J2" s="85"/>
      <c r="K2" s="86">
        <f>L2/$L$12</f>
        <v>0.44497607655502391</v>
      </c>
      <c r="L2" s="83">
        <f t="shared" ref="L2:L9" si="1">H2-H3</f>
        <v>186</v>
      </c>
      <c r="M2" s="87" t="s">
        <v>4600</v>
      </c>
    </row>
    <row r="3" spans="1:13" x14ac:dyDescent="0.35">
      <c r="A3" s="22" t="s">
        <v>13</v>
      </c>
      <c r="B3" s="6">
        <v>778</v>
      </c>
      <c r="C3" s="19">
        <f>B3/$B$7</f>
        <v>0.78427419354838712</v>
      </c>
      <c r="D3" s="24">
        <v>37768652</v>
      </c>
      <c r="E3" s="21">
        <f t="shared" si="0"/>
        <v>48545.825192802055</v>
      </c>
      <c r="F3" s="37"/>
      <c r="G3" s="66" t="s">
        <v>4601</v>
      </c>
      <c r="H3" s="65">
        <v>232</v>
      </c>
      <c r="I3" s="75">
        <f t="shared" ref="I3:I11" si="2">H3/$H$12</f>
        <v>0.23387096774193547</v>
      </c>
      <c r="J3" s="77"/>
      <c r="K3" s="72">
        <f t="shared" ref="K3:K11" si="3">L3/$L$12</f>
        <v>0.23444976076555024</v>
      </c>
      <c r="L3" s="65">
        <f t="shared" si="1"/>
        <v>98</v>
      </c>
      <c r="M3" s="69" t="s">
        <v>4602</v>
      </c>
    </row>
    <row r="4" spans="1:13" x14ac:dyDescent="0.35">
      <c r="A4" s="22" t="s">
        <v>55</v>
      </c>
      <c r="B4" s="6">
        <v>26</v>
      </c>
      <c r="C4" s="19">
        <f>B4/$B$7</f>
        <v>2.620967741935484E-2</v>
      </c>
      <c r="D4" s="24">
        <v>602000</v>
      </c>
      <c r="E4" s="21">
        <f t="shared" si="0"/>
        <v>23153.846153846152</v>
      </c>
      <c r="G4" s="88" t="s">
        <v>4603</v>
      </c>
      <c r="H4" s="89">
        <v>134</v>
      </c>
      <c r="I4" s="90">
        <f t="shared" si="2"/>
        <v>0.13508064516129031</v>
      </c>
      <c r="J4" s="85"/>
      <c r="K4" s="91">
        <f t="shared" si="3"/>
        <v>0.12918660287081341</v>
      </c>
      <c r="L4" s="89">
        <f t="shared" si="1"/>
        <v>54</v>
      </c>
      <c r="M4" s="92" t="s">
        <v>4604</v>
      </c>
    </row>
    <row r="5" spans="1:13" x14ac:dyDescent="0.35">
      <c r="A5" s="22" t="s">
        <v>70</v>
      </c>
      <c r="B5" s="6">
        <v>121</v>
      </c>
      <c r="C5" s="19">
        <f>B5/$B$7</f>
        <v>0.12197580645161291</v>
      </c>
      <c r="D5" s="24">
        <v>5655500</v>
      </c>
      <c r="E5" s="21">
        <f t="shared" si="0"/>
        <v>46739.669421487604</v>
      </c>
      <c r="F5" s="37"/>
      <c r="G5" s="66" t="s">
        <v>4605</v>
      </c>
      <c r="H5" s="65">
        <v>80</v>
      </c>
      <c r="I5" s="75">
        <f t="shared" si="2"/>
        <v>8.0645161290322578E-2</v>
      </c>
      <c r="J5" s="77"/>
      <c r="K5" s="72">
        <f t="shared" si="3"/>
        <v>7.4162679425837319E-2</v>
      </c>
      <c r="L5" s="65">
        <f t="shared" si="1"/>
        <v>31</v>
      </c>
      <c r="M5" s="69" t="s">
        <v>4606</v>
      </c>
    </row>
    <row r="6" spans="1:13" x14ac:dyDescent="0.35">
      <c r="A6" s="22" t="s">
        <v>4648</v>
      </c>
      <c r="B6" s="6">
        <v>67</v>
      </c>
      <c r="C6" s="19">
        <f>B6/$B$7</f>
        <v>6.7540322580645157E-2</v>
      </c>
      <c r="D6" s="24">
        <v>412700</v>
      </c>
      <c r="E6" s="21">
        <f t="shared" si="0"/>
        <v>6159.7014925373132</v>
      </c>
      <c r="G6" s="88" t="s">
        <v>4607</v>
      </c>
      <c r="H6" s="89">
        <v>49</v>
      </c>
      <c r="I6" s="90">
        <f t="shared" si="2"/>
        <v>4.9395161290322578E-2</v>
      </c>
      <c r="J6" s="85"/>
      <c r="K6" s="91">
        <f t="shared" si="3"/>
        <v>4.0669856459330141E-2</v>
      </c>
      <c r="L6" s="89">
        <f t="shared" si="1"/>
        <v>17</v>
      </c>
      <c r="M6" s="92" t="s">
        <v>4608</v>
      </c>
    </row>
    <row r="7" spans="1:13" ht="15" thickBot="1" x14ac:dyDescent="0.4">
      <c r="A7" s="55" t="s">
        <v>633</v>
      </c>
      <c r="B7" s="56">
        <f>B2+B6</f>
        <v>992</v>
      </c>
      <c r="C7" s="56"/>
      <c r="D7" s="53">
        <f>D2+D6</f>
        <v>44438852</v>
      </c>
      <c r="E7" s="54">
        <f t="shared" si="0"/>
        <v>44797.229838709674</v>
      </c>
      <c r="G7" s="66" t="s">
        <v>4609</v>
      </c>
      <c r="H7" s="65">
        <v>32</v>
      </c>
      <c r="I7" s="75">
        <f t="shared" si="2"/>
        <v>3.2258064516129031E-2</v>
      </c>
      <c r="J7" s="77"/>
      <c r="K7" s="72">
        <f t="shared" si="3"/>
        <v>2.6315789473684209E-2</v>
      </c>
      <c r="L7" s="65">
        <f t="shared" si="1"/>
        <v>11</v>
      </c>
      <c r="M7" s="69" t="s">
        <v>4610</v>
      </c>
    </row>
    <row r="8" spans="1:13" ht="15" thickBot="1" x14ac:dyDescent="0.4">
      <c r="G8" s="88" t="s">
        <v>4611</v>
      </c>
      <c r="H8" s="89">
        <v>21</v>
      </c>
      <c r="I8" s="90">
        <f t="shared" si="2"/>
        <v>2.1169354838709676E-2</v>
      </c>
      <c r="J8" s="85"/>
      <c r="K8" s="91">
        <f t="shared" si="3"/>
        <v>2.6315789473684209E-2</v>
      </c>
      <c r="L8" s="89">
        <f t="shared" si="1"/>
        <v>11</v>
      </c>
      <c r="M8" s="92" t="s">
        <v>4612</v>
      </c>
    </row>
    <row r="9" spans="1:13" x14ac:dyDescent="0.35">
      <c r="A9" s="29" t="s">
        <v>4615</v>
      </c>
      <c r="B9" s="13" t="s">
        <v>4592</v>
      </c>
      <c r="C9" s="100" t="s">
        <v>4593</v>
      </c>
      <c r="E9" s="40">
        <f>E7/15.5</f>
        <v>2890.1438605619146</v>
      </c>
      <c r="G9" s="66" t="s">
        <v>4613</v>
      </c>
      <c r="H9" s="65">
        <v>10</v>
      </c>
      <c r="I9" s="75">
        <f t="shared" si="2"/>
        <v>1.0080645161290322E-2</v>
      </c>
      <c r="J9" s="77"/>
      <c r="K9" s="72">
        <f t="shared" si="3"/>
        <v>7.1770334928229667E-3</v>
      </c>
      <c r="L9" s="65">
        <f t="shared" si="1"/>
        <v>3</v>
      </c>
      <c r="M9" s="69" t="s">
        <v>4614</v>
      </c>
    </row>
    <row r="10" spans="1:13" x14ac:dyDescent="0.35">
      <c r="A10" s="17" t="s">
        <v>4618</v>
      </c>
      <c r="B10" s="6">
        <v>2</v>
      </c>
      <c r="C10" s="31"/>
      <c r="G10" s="88" t="s">
        <v>4616</v>
      </c>
      <c r="H10" s="89">
        <v>7</v>
      </c>
      <c r="I10" s="90">
        <f t="shared" si="2"/>
        <v>7.0564516129032256E-3</v>
      </c>
      <c r="J10" s="85"/>
      <c r="K10" s="91">
        <f t="shared" si="3"/>
        <v>9.5693779904306216E-3</v>
      </c>
      <c r="L10" s="89">
        <v>4</v>
      </c>
      <c r="M10" s="92" t="s">
        <v>4617</v>
      </c>
    </row>
    <row r="11" spans="1:13" ht="15" thickBot="1" x14ac:dyDescent="0.4">
      <c r="A11" s="101" t="s">
        <v>4621</v>
      </c>
      <c r="B11" s="26">
        <v>474</v>
      </c>
      <c r="C11" s="104">
        <f>B11/1124</f>
        <v>0.42170818505338076</v>
      </c>
      <c r="G11" s="67" t="s">
        <v>4619</v>
      </c>
      <c r="H11" s="74">
        <v>9</v>
      </c>
      <c r="I11" s="76">
        <f t="shared" si="2"/>
        <v>9.0725806451612909E-3</v>
      </c>
      <c r="J11" s="77"/>
      <c r="K11" s="73">
        <f t="shared" si="3"/>
        <v>7.1770334928229667E-3</v>
      </c>
      <c r="L11" s="74">
        <v>3</v>
      </c>
      <c r="M11" s="70" t="s">
        <v>4620</v>
      </c>
    </row>
    <row r="12" spans="1:13" ht="15" thickBot="1" x14ac:dyDescent="0.4">
      <c r="A12" s="103" t="s">
        <v>4624</v>
      </c>
      <c r="G12" s="93" t="s">
        <v>4622</v>
      </c>
      <c r="H12" s="78">
        <f>SUM(H2:H11)</f>
        <v>992</v>
      </c>
      <c r="I12" s="79">
        <f>SUM(I2:I11)</f>
        <v>1</v>
      </c>
      <c r="J12" s="71"/>
      <c r="K12" s="80">
        <f>SUM(K2:K11)</f>
        <v>1</v>
      </c>
      <c r="L12" s="117">
        <f>SUM(L2:L11)</f>
        <v>418</v>
      </c>
      <c r="M12" s="118" t="s">
        <v>4623</v>
      </c>
    </row>
    <row r="13" spans="1:13" ht="15" thickBot="1" x14ac:dyDescent="0.4">
      <c r="E13" s="37"/>
      <c r="L13" s="119">
        <f>L12/1124</f>
        <v>0.37188612099644131</v>
      </c>
      <c r="M13" s="120" t="s">
        <v>4625</v>
      </c>
    </row>
    <row r="14" spans="1:13" x14ac:dyDescent="0.35">
      <c r="A14" s="29" t="s">
        <v>4626</v>
      </c>
      <c r="B14" s="13" t="s">
        <v>4592</v>
      </c>
      <c r="C14" s="13" t="s">
        <v>4593</v>
      </c>
      <c r="D14" s="15" t="s">
        <v>4594</v>
      </c>
    </row>
    <row r="15" spans="1:13" x14ac:dyDescent="0.35">
      <c r="A15" s="22" t="s">
        <v>4627</v>
      </c>
      <c r="B15" s="6">
        <v>212</v>
      </c>
      <c r="C15" s="30"/>
      <c r="D15" s="31"/>
    </row>
    <row r="16" spans="1:13" x14ac:dyDescent="0.35">
      <c r="A16" s="22" t="s">
        <v>4626</v>
      </c>
      <c r="B16" s="30"/>
      <c r="C16" s="52">
        <v>0.96654831324247437</v>
      </c>
      <c r="D16" s="42">
        <v>27107830.673</v>
      </c>
    </row>
    <row r="17" spans="1:6" x14ac:dyDescent="0.35">
      <c r="A17" s="22" t="s">
        <v>4628</v>
      </c>
      <c r="B17" s="30"/>
      <c r="C17" s="34">
        <v>3.3451686757525682E-2</v>
      </c>
      <c r="D17" s="42">
        <v>938186.58407999971</v>
      </c>
      <c r="F17" s="34"/>
    </row>
    <row r="18" spans="1:6" x14ac:dyDescent="0.35">
      <c r="A18" s="22" t="s">
        <v>4629</v>
      </c>
      <c r="B18" s="30"/>
      <c r="C18" s="23">
        <v>5.6853990042406904E-2</v>
      </c>
      <c r="D18" s="42">
        <v>985337.71394999966</v>
      </c>
    </row>
    <row r="19" spans="1:6" x14ac:dyDescent="0.35">
      <c r="A19" s="22" t="s">
        <v>4630</v>
      </c>
      <c r="B19" s="30"/>
      <c r="C19" s="30"/>
      <c r="D19" s="42">
        <v>17331021.327</v>
      </c>
      <c r="E19" s="34"/>
      <c r="F19" s="111"/>
    </row>
    <row r="20" spans="1:6" x14ac:dyDescent="0.35">
      <c r="A20" s="22" t="s">
        <v>4631</v>
      </c>
      <c r="B20" s="6">
        <v>28</v>
      </c>
      <c r="C20" s="23">
        <v>0.13880000000000001</v>
      </c>
      <c r="D20" s="32"/>
    </row>
    <row r="21" spans="1:6" x14ac:dyDescent="0.35">
      <c r="A21" s="22" t="s">
        <v>4632</v>
      </c>
      <c r="B21" s="33"/>
      <c r="C21" s="23">
        <v>0.4</v>
      </c>
      <c r="D21" s="32"/>
    </row>
    <row r="22" spans="1:6" ht="15" thickBot="1" x14ac:dyDescent="0.4">
      <c r="A22" s="25" t="s">
        <v>4633</v>
      </c>
      <c r="B22" s="26">
        <v>14</v>
      </c>
      <c r="C22" s="36">
        <v>3.3E-3</v>
      </c>
      <c r="D22" s="28">
        <v>50706.66</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AD38F-DB0B-4205-BC62-F018D611870F}">
  <sheetPr codeName="Sheet11"/>
  <dimension ref="A1:M33"/>
  <sheetViews>
    <sheetView zoomScale="90" zoomScaleNormal="90" workbookViewId="0">
      <selection activeCell="M18" sqref="M18"/>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913</v>
      </c>
      <c r="C2" s="19">
        <f>B2/$B$7</f>
        <v>0.93163265306122445</v>
      </c>
      <c r="D2" s="20">
        <f>SUM(D3:D5)</f>
        <v>41471152</v>
      </c>
      <c r="E2" s="21">
        <f t="shared" ref="E2:E7" si="0">D2/B2</f>
        <v>45422.948521358157</v>
      </c>
      <c r="G2" s="82" t="s">
        <v>4599</v>
      </c>
      <c r="H2" s="83">
        <v>418</v>
      </c>
      <c r="I2" s="84">
        <f>H2/$H$12</f>
        <v>0.42653061224489797</v>
      </c>
      <c r="J2" s="85"/>
      <c r="K2" s="86">
        <f>L2/$L$12</f>
        <v>0.44976076555023925</v>
      </c>
      <c r="L2" s="83">
        <f t="shared" ref="L2:L9" si="1">H2-H3</f>
        <v>188</v>
      </c>
      <c r="M2" s="87" t="s">
        <v>4600</v>
      </c>
    </row>
    <row r="3" spans="1:13" x14ac:dyDescent="0.35">
      <c r="A3" s="22" t="s">
        <v>13</v>
      </c>
      <c r="B3" s="6">
        <v>768</v>
      </c>
      <c r="C3" s="19">
        <f>B3/$B$7</f>
        <v>0.78367346938775506</v>
      </c>
      <c r="D3" s="24">
        <v>35413652</v>
      </c>
      <c r="E3" s="21">
        <f t="shared" si="0"/>
        <v>46111.526041666664</v>
      </c>
      <c r="F3" s="37"/>
      <c r="G3" s="66" t="s">
        <v>4601</v>
      </c>
      <c r="H3" s="65">
        <v>230</v>
      </c>
      <c r="I3" s="75">
        <f t="shared" ref="I3:I11" si="2">H3/$H$12</f>
        <v>0.23469387755102042</v>
      </c>
      <c r="J3" s="77"/>
      <c r="K3" s="72">
        <f t="shared" ref="K3:K11" si="3">L3/$L$12</f>
        <v>0.24401913875598086</v>
      </c>
      <c r="L3" s="65">
        <f t="shared" si="1"/>
        <v>102</v>
      </c>
      <c r="M3" s="69" t="s">
        <v>4602</v>
      </c>
    </row>
    <row r="4" spans="1:13" x14ac:dyDescent="0.35">
      <c r="A4" s="22" t="s">
        <v>55</v>
      </c>
      <c r="B4" s="6">
        <v>26</v>
      </c>
      <c r="C4" s="19">
        <f>B4/$B$7</f>
        <v>2.6530612244897958E-2</v>
      </c>
      <c r="D4" s="24">
        <v>602000</v>
      </c>
      <c r="E4" s="21">
        <f t="shared" si="0"/>
        <v>23153.846153846152</v>
      </c>
      <c r="G4" s="88" t="s">
        <v>4603</v>
      </c>
      <c r="H4" s="89">
        <v>128</v>
      </c>
      <c r="I4" s="90">
        <f t="shared" si="2"/>
        <v>0.1306122448979592</v>
      </c>
      <c r="J4" s="85"/>
      <c r="K4" s="91">
        <f t="shared" si="3"/>
        <v>0.11483253588516747</v>
      </c>
      <c r="L4" s="89">
        <f t="shared" si="1"/>
        <v>48</v>
      </c>
      <c r="M4" s="92" t="s">
        <v>4604</v>
      </c>
    </row>
    <row r="5" spans="1:13" x14ac:dyDescent="0.35">
      <c r="A5" s="22" t="s">
        <v>70</v>
      </c>
      <c r="B5" s="6">
        <v>119</v>
      </c>
      <c r="C5" s="19">
        <f>B5/$B$7</f>
        <v>0.12142857142857143</v>
      </c>
      <c r="D5" s="24">
        <v>5455500</v>
      </c>
      <c r="E5" s="21">
        <f t="shared" si="0"/>
        <v>45844.537815126052</v>
      </c>
      <c r="F5" s="37"/>
      <c r="G5" s="66" t="s">
        <v>4605</v>
      </c>
      <c r="H5" s="65">
        <v>80</v>
      </c>
      <c r="I5" s="75">
        <f t="shared" si="2"/>
        <v>8.1632653061224483E-2</v>
      </c>
      <c r="J5" s="77"/>
      <c r="K5" s="72">
        <f t="shared" si="3"/>
        <v>7.8947368421052627E-2</v>
      </c>
      <c r="L5" s="65">
        <f t="shared" si="1"/>
        <v>33</v>
      </c>
      <c r="M5" s="69" t="s">
        <v>4606</v>
      </c>
    </row>
    <row r="6" spans="1:13" x14ac:dyDescent="0.35">
      <c r="A6" s="22" t="s">
        <v>4648</v>
      </c>
      <c r="B6" s="6">
        <v>67</v>
      </c>
      <c r="C6" s="19">
        <f>B6/$B$7</f>
        <v>6.8367346938775511E-2</v>
      </c>
      <c r="D6" s="24">
        <v>412700</v>
      </c>
      <c r="E6" s="21">
        <f t="shared" si="0"/>
        <v>6159.7014925373132</v>
      </c>
      <c r="G6" s="88" t="s">
        <v>4607</v>
      </c>
      <c r="H6" s="89">
        <v>47</v>
      </c>
      <c r="I6" s="90">
        <f t="shared" si="2"/>
        <v>4.7959183673469387E-2</v>
      </c>
      <c r="J6" s="85"/>
      <c r="K6" s="91">
        <f t="shared" si="3"/>
        <v>3.5885167464114832E-2</v>
      </c>
      <c r="L6" s="89">
        <f t="shared" si="1"/>
        <v>15</v>
      </c>
      <c r="M6" s="92" t="s">
        <v>4608</v>
      </c>
    </row>
    <row r="7" spans="1:13" ht="15" thickBot="1" x14ac:dyDescent="0.4">
      <c r="A7" s="55" t="s">
        <v>633</v>
      </c>
      <c r="B7" s="56">
        <f>B2+B6</f>
        <v>980</v>
      </c>
      <c r="C7" s="56"/>
      <c r="D7" s="53">
        <f>D2+D6</f>
        <v>41883852</v>
      </c>
      <c r="E7" s="54">
        <f t="shared" si="0"/>
        <v>42738.624489795919</v>
      </c>
      <c r="G7" s="66" t="s">
        <v>4609</v>
      </c>
      <c r="H7" s="65">
        <v>32</v>
      </c>
      <c r="I7" s="75">
        <f t="shared" si="2"/>
        <v>3.2653061224489799E-2</v>
      </c>
      <c r="J7" s="77"/>
      <c r="K7" s="72">
        <f t="shared" si="3"/>
        <v>2.8708133971291867E-2</v>
      </c>
      <c r="L7" s="65">
        <f t="shared" si="1"/>
        <v>12</v>
      </c>
      <c r="M7" s="69" t="s">
        <v>4610</v>
      </c>
    </row>
    <row r="8" spans="1:13" ht="15" thickBot="1" x14ac:dyDescent="0.4">
      <c r="G8" s="88" t="s">
        <v>4611</v>
      </c>
      <c r="H8" s="89">
        <v>20</v>
      </c>
      <c r="I8" s="90">
        <f t="shared" si="2"/>
        <v>2.0408163265306121E-2</v>
      </c>
      <c r="J8" s="85"/>
      <c r="K8" s="91">
        <f t="shared" si="3"/>
        <v>2.6315789473684209E-2</v>
      </c>
      <c r="L8" s="89">
        <f t="shared" si="1"/>
        <v>11</v>
      </c>
      <c r="M8" s="92" t="s">
        <v>4612</v>
      </c>
    </row>
    <row r="9" spans="1:13" x14ac:dyDescent="0.35">
      <c r="A9" s="29" t="s">
        <v>4615</v>
      </c>
      <c r="B9" s="13" t="s">
        <v>4592</v>
      </c>
      <c r="C9" s="100" t="s">
        <v>4593</v>
      </c>
      <c r="G9" s="66" t="s">
        <v>4613</v>
      </c>
      <c r="H9" s="65">
        <v>9</v>
      </c>
      <c r="I9" s="75">
        <f t="shared" si="2"/>
        <v>9.1836734693877559E-3</v>
      </c>
      <c r="J9" s="77"/>
      <c r="K9" s="72">
        <f t="shared" si="3"/>
        <v>4.7846889952153108E-3</v>
      </c>
      <c r="L9" s="65">
        <f t="shared" si="1"/>
        <v>2</v>
      </c>
      <c r="M9" s="69" t="s">
        <v>4614</v>
      </c>
    </row>
    <row r="10" spans="1:13" x14ac:dyDescent="0.35">
      <c r="A10" s="17" t="s">
        <v>4618</v>
      </c>
      <c r="B10" s="6">
        <v>1</v>
      </c>
      <c r="C10" s="31"/>
      <c r="G10" s="88" t="s">
        <v>4616</v>
      </c>
      <c r="H10" s="89">
        <v>7</v>
      </c>
      <c r="I10" s="90">
        <f t="shared" si="2"/>
        <v>7.1428571428571426E-3</v>
      </c>
      <c r="J10" s="85"/>
      <c r="K10" s="91">
        <f t="shared" si="3"/>
        <v>9.5693779904306216E-3</v>
      </c>
      <c r="L10" s="89">
        <v>4</v>
      </c>
      <c r="M10" s="92" t="s">
        <v>4617</v>
      </c>
    </row>
    <row r="11" spans="1:13" ht="15" thickBot="1" x14ac:dyDescent="0.4">
      <c r="A11" s="101" t="s">
        <v>4621</v>
      </c>
      <c r="B11" s="26">
        <v>472</v>
      </c>
      <c r="C11" s="104">
        <f>B11/1124</f>
        <v>0.41992882562277578</v>
      </c>
      <c r="G11" s="67" t="s">
        <v>4619</v>
      </c>
      <c r="H11" s="74">
        <v>9</v>
      </c>
      <c r="I11" s="76">
        <f t="shared" si="2"/>
        <v>9.1836734693877559E-3</v>
      </c>
      <c r="J11" s="77"/>
      <c r="K11" s="73">
        <f t="shared" si="3"/>
        <v>7.1770334928229667E-3</v>
      </c>
      <c r="L11" s="74">
        <v>3</v>
      </c>
      <c r="M11" s="70" t="s">
        <v>4620</v>
      </c>
    </row>
    <row r="12" spans="1:13" ht="15" thickBot="1" x14ac:dyDescent="0.4">
      <c r="A12" s="103" t="s">
        <v>4624</v>
      </c>
      <c r="G12" s="93" t="s">
        <v>4622</v>
      </c>
      <c r="H12" s="78">
        <f>SUM(H2:H11)</f>
        <v>980</v>
      </c>
      <c r="I12" s="79">
        <f>SUM(I2:I11)</f>
        <v>1</v>
      </c>
      <c r="J12" s="71"/>
      <c r="K12" s="80">
        <f>SUM(K2:K11)</f>
        <v>1.0000000000000002</v>
      </c>
      <c r="L12" s="117">
        <f>SUM(L2:L11)</f>
        <v>418</v>
      </c>
      <c r="M12" s="118" t="s">
        <v>4623</v>
      </c>
    </row>
    <row r="13" spans="1:13" ht="15" thickBot="1" x14ac:dyDescent="0.4">
      <c r="E13" s="37"/>
      <c r="L13" s="119">
        <f>L12/1124</f>
        <v>0.37188612099644131</v>
      </c>
      <c r="M13" s="120" t="s">
        <v>4625</v>
      </c>
    </row>
    <row r="14" spans="1:13" x14ac:dyDescent="0.35">
      <c r="A14" s="29" t="s">
        <v>4626</v>
      </c>
      <c r="B14" s="13" t="s">
        <v>4592</v>
      </c>
      <c r="C14" s="13" t="s">
        <v>4593</v>
      </c>
      <c r="D14" s="15" t="s">
        <v>4594</v>
      </c>
    </row>
    <row r="15" spans="1:13" x14ac:dyDescent="0.35">
      <c r="A15" s="22" t="s">
        <v>4627</v>
      </c>
      <c r="B15" s="6">
        <v>209</v>
      </c>
      <c r="C15" s="30"/>
      <c r="D15" s="31"/>
    </row>
    <row r="16" spans="1:13" x14ac:dyDescent="0.35">
      <c r="A16" s="22" t="s">
        <v>4626</v>
      </c>
      <c r="B16" s="30"/>
      <c r="C16" s="52">
        <v>0.96465734276590276</v>
      </c>
      <c r="D16" s="42">
        <v>26456305.673</v>
      </c>
    </row>
    <row r="17" spans="1:6" x14ac:dyDescent="0.35">
      <c r="A17" s="22" t="s">
        <v>4628</v>
      </c>
      <c r="B17" s="30"/>
      <c r="C17" s="34">
        <v>3.5342657234097255E-2</v>
      </c>
      <c r="D17" s="42">
        <v>969293.55287999997</v>
      </c>
      <c r="F17" s="34"/>
    </row>
    <row r="18" spans="1:6" x14ac:dyDescent="0.35">
      <c r="A18" s="22" t="s">
        <v>4629</v>
      </c>
      <c r="B18" s="30"/>
      <c r="C18" s="23">
        <v>6.5986387392554288E-2</v>
      </c>
      <c r="D18" s="42">
        <v>1018008.0484499999</v>
      </c>
    </row>
    <row r="19" spans="1:6" x14ac:dyDescent="0.35">
      <c r="A19" s="22" t="s">
        <v>4630</v>
      </c>
      <c r="B19" s="30"/>
      <c r="C19" s="30"/>
      <c r="D19" s="42">
        <v>15427546.327</v>
      </c>
      <c r="E19" s="34"/>
      <c r="F19" s="111"/>
    </row>
    <row r="20" spans="1:6" x14ac:dyDescent="0.35">
      <c r="A20" s="22" t="s">
        <v>4631</v>
      </c>
      <c r="B20" s="6">
        <v>29</v>
      </c>
      <c r="C20" s="23">
        <v>0.13880000000000001</v>
      </c>
      <c r="D20" s="32"/>
    </row>
    <row r="21" spans="1:6" x14ac:dyDescent="0.35">
      <c r="A21" s="22" t="s">
        <v>4632</v>
      </c>
      <c r="B21" s="33"/>
      <c r="C21" s="23">
        <v>0.4</v>
      </c>
      <c r="D21" s="32"/>
    </row>
    <row r="22" spans="1:6" ht="15" thickBot="1" x14ac:dyDescent="0.4">
      <c r="A22" s="25" t="s">
        <v>4633</v>
      </c>
      <c r="B22" s="26">
        <v>14</v>
      </c>
      <c r="C22" s="36">
        <v>3.3E-3</v>
      </c>
      <c r="D22" s="28">
        <v>50706.66</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91A59-D7C0-4345-A9A3-5EAF34069B2C}">
  <sheetPr codeName="Sheet12"/>
  <dimension ref="A1:M33"/>
  <sheetViews>
    <sheetView topLeftCell="A6" zoomScale="90" zoomScaleNormal="90" workbookViewId="0">
      <selection activeCell="G21" sqref="G21"/>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907</v>
      </c>
      <c r="C2" s="19">
        <f>B2/$B$7</f>
        <v>0.93121149897330591</v>
      </c>
      <c r="D2" s="20">
        <f>SUM(D3:D5)</f>
        <v>41091152</v>
      </c>
      <c r="E2" s="21">
        <f t="shared" ref="E2:E7" si="0">D2/B2</f>
        <v>45304.467475192941</v>
      </c>
      <c r="G2" s="82" t="s">
        <v>4599</v>
      </c>
      <c r="H2" s="83">
        <v>418</v>
      </c>
      <c r="I2" s="84">
        <f>H2/$H$12</f>
        <v>0.42915811088295686</v>
      </c>
      <c r="J2" s="85"/>
      <c r="K2" s="86">
        <f>L2/$L$12</f>
        <v>0.44976076555023925</v>
      </c>
      <c r="L2" s="83">
        <f t="shared" ref="L2:L9" si="1">H2-H3</f>
        <v>188</v>
      </c>
      <c r="M2" s="87" t="s">
        <v>4600</v>
      </c>
    </row>
    <row r="3" spans="1:13" x14ac:dyDescent="0.35">
      <c r="A3" s="22" t="s">
        <v>13</v>
      </c>
      <c r="B3" s="6">
        <v>762</v>
      </c>
      <c r="C3" s="19">
        <f>B3/$B$7</f>
        <v>0.78234086242299794</v>
      </c>
      <c r="D3" s="24">
        <v>35033652</v>
      </c>
      <c r="E3" s="21">
        <f t="shared" si="0"/>
        <v>45975.921259842522</v>
      </c>
      <c r="F3" s="37"/>
      <c r="G3" s="66" t="s">
        <v>4601</v>
      </c>
      <c r="H3" s="65">
        <v>230</v>
      </c>
      <c r="I3" s="75">
        <f t="shared" ref="I3:I11" si="2">H3/$H$12</f>
        <v>0.23613963039014374</v>
      </c>
      <c r="J3" s="77"/>
      <c r="K3" s="72">
        <f t="shared" ref="K3:K11" si="3">L3/$L$12</f>
        <v>0.24880382775119617</v>
      </c>
      <c r="L3" s="65">
        <f t="shared" si="1"/>
        <v>104</v>
      </c>
      <c r="M3" s="69" t="s">
        <v>4602</v>
      </c>
    </row>
    <row r="4" spans="1:13" x14ac:dyDescent="0.35">
      <c r="A4" s="22" t="s">
        <v>55</v>
      </c>
      <c r="B4" s="6">
        <v>26</v>
      </c>
      <c r="C4" s="19">
        <f>B4/$B$7</f>
        <v>2.6694045174537988E-2</v>
      </c>
      <c r="D4" s="24">
        <v>602000</v>
      </c>
      <c r="E4" s="21">
        <f t="shared" si="0"/>
        <v>23153.846153846152</v>
      </c>
      <c r="G4" s="88" t="s">
        <v>4603</v>
      </c>
      <c r="H4" s="89">
        <v>126</v>
      </c>
      <c r="I4" s="90">
        <f t="shared" si="2"/>
        <v>0.12936344969199179</v>
      </c>
      <c r="J4" s="85"/>
      <c r="K4" s="91">
        <f t="shared" si="3"/>
        <v>0.11722488038277512</v>
      </c>
      <c r="L4" s="89">
        <f t="shared" si="1"/>
        <v>49</v>
      </c>
      <c r="M4" s="92" t="s">
        <v>4604</v>
      </c>
    </row>
    <row r="5" spans="1:13" x14ac:dyDescent="0.35">
      <c r="A5" s="22" t="s">
        <v>70</v>
      </c>
      <c r="B5" s="6">
        <v>119</v>
      </c>
      <c r="C5" s="19">
        <f>B5/$B$7</f>
        <v>0.12217659137577003</v>
      </c>
      <c r="D5" s="24">
        <v>5455500</v>
      </c>
      <c r="E5" s="21">
        <f t="shared" si="0"/>
        <v>45844.537815126052</v>
      </c>
      <c r="F5" s="37"/>
      <c r="G5" s="66" t="s">
        <v>4605</v>
      </c>
      <c r="H5" s="65">
        <v>77</v>
      </c>
      <c r="I5" s="75">
        <f t="shared" si="2"/>
        <v>7.9055441478439431E-2</v>
      </c>
      <c r="J5" s="77"/>
      <c r="K5" s="72">
        <f t="shared" si="3"/>
        <v>7.1770334928229665E-2</v>
      </c>
      <c r="L5" s="65">
        <f t="shared" si="1"/>
        <v>30</v>
      </c>
      <c r="M5" s="69" t="s">
        <v>4606</v>
      </c>
    </row>
    <row r="6" spans="1:13" x14ac:dyDescent="0.35">
      <c r="A6" s="22" t="s">
        <v>4648</v>
      </c>
      <c r="B6" s="6">
        <v>67</v>
      </c>
      <c r="C6" s="19">
        <f>B6/$B$7</f>
        <v>6.8788501026694052E-2</v>
      </c>
      <c r="D6" s="24">
        <v>412700</v>
      </c>
      <c r="E6" s="21">
        <f t="shared" si="0"/>
        <v>6159.7014925373132</v>
      </c>
      <c r="G6" s="88" t="s">
        <v>4607</v>
      </c>
      <c r="H6" s="89">
        <v>47</v>
      </c>
      <c r="I6" s="90">
        <f t="shared" si="2"/>
        <v>4.8254620123203286E-2</v>
      </c>
      <c r="J6" s="85"/>
      <c r="K6" s="91">
        <f t="shared" si="3"/>
        <v>3.5885167464114832E-2</v>
      </c>
      <c r="L6" s="89">
        <f t="shared" si="1"/>
        <v>15</v>
      </c>
      <c r="M6" s="92" t="s">
        <v>4608</v>
      </c>
    </row>
    <row r="7" spans="1:13" ht="15" thickBot="1" x14ac:dyDescent="0.4">
      <c r="A7" s="55" t="s">
        <v>633</v>
      </c>
      <c r="B7" s="56">
        <f>B2+B6</f>
        <v>974</v>
      </c>
      <c r="C7" s="56"/>
      <c r="D7" s="53">
        <f>D2+D6</f>
        <v>41503852</v>
      </c>
      <c r="E7" s="54">
        <f t="shared" si="0"/>
        <v>42611.757700205337</v>
      </c>
      <c r="G7" s="66" t="s">
        <v>4609</v>
      </c>
      <c r="H7" s="65">
        <v>32</v>
      </c>
      <c r="I7" s="75">
        <f t="shared" si="2"/>
        <v>3.2854209445585217E-2</v>
      </c>
      <c r="J7" s="77"/>
      <c r="K7" s="72">
        <f t="shared" si="3"/>
        <v>3.1100478468899521E-2</v>
      </c>
      <c r="L7" s="65">
        <f t="shared" si="1"/>
        <v>13</v>
      </c>
      <c r="M7" s="69" t="s">
        <v>4610</v>
      </c>
    </row>
    <row r="8" spans="1:13" ht="15" thickBot="1" x14ac:dyDescent="0.4">
      <c r="G8" s="88" t="s">
        <v>4611</v>
      </c>
      <c r="H8" s="89">
        <v>19</v>
      </c>
      <c r="I8" s="90">
        <f t="shared" si="2"/>
        <v>1.9507186858316223E-2</v>
      </c>
      <c r="J8" s="85"/>
      <c r="K8" s="91">
        <f t="shared" si="3"/>
        <v>2.3923444976076555E-2</v>
      </c>
      <c r="L8" s="89">
        <f t="shared" si="1"/>
        <v>10</v>
      </c>
      <c r="M8" s="92" t="s">
        <v>4612</v>
      </c>
    </row>
    <row r="9" spans="1:13" x14ac:dyDescent="0.35">
      <c r="A9" s="29" t="s">
        <v>4615</v>
      </c>
      <c r="B9" s="13" t="s">
        <v>4592</v>
      </c>
      <c r="C9" s="100" t="s">
        <v>4593</v>
      </c>
      <c r="G9" s="66" t="s">
        <v>4613</v>
      </c>
      <c r="H9" s="65">
        <v>9</v>
      </c>
      <c r="I9" s="75">
        <f t="shared" si="2"/>
        <v>9.2402464065708418E-3</v>
      </c>
      <c r="J9" s="77"/>
      <c r="K9" s="72">
        <f t="shared" si="3"/>
        <v>4.7846889952153108E-3</v>
      </c>
      <c r="L9" s="65">
        <f t="shared" si="1"/>
        <v>2</v>
      </c>
      <c r="M9" s="69" t="s">
        <v>4614</v>
      </c>
    </row>
    <row r="10" spans="1:13" x14ac:dyDescent="0.35">
      <c r="A10" s="17" t="s">
        <v>4618</v>
      </c>
      <c r="B10" s="6">
        <v>4</v>
      </c>
      <c r="C10" s="31"/>
      <c r="G10" s="88" t="s">
        <v>4616</v>
      </c>
      <c r="H10" s="89">
        <v>7</v>
      </c>
      <c r="I10" s="90">
        <f t="shared" si="2"/>
        <v>7.1868583162217657E-3</v>
      </c>
      <c r="J10" s="85"/>
      <c r="K10" s="91">
        <f t="shared" si="3"/>
        <v>9.5693779904306216E-3</v>
      </c>
      <c r="L10" s="89">
        <v>4</v>
      </c>
      <c r="M10" s="92" t="s">
        <v>4617</v>
      </c>
    </row>
    <row r="11" spans="1:13" ht="15" thickBot="1" x14ac:dyDescent="0.4">
      <c r="A11" s="101" t="s">
        <v>4621</v>
      </c>
      <c r="B11" s="26">
        <v>471</v>
      </c>
      <c r="C11" s="104">
        <f>B11/1124</f>
        <v>0.41903914590747332</v>
      </c>
      <c r="G11" s="67" t="s">
        <v>4619</v>
      </c>
      <c r="H11" s="74">
        <v>9</v>
      </c>
      <c r="I11" s="76">
        <f t="shared" si="2"/>
        <v>9.2402464065708418E-3</v>
      </c>
      <c r="J11" s="77"/>
      <c r="K11" s="73">
        <f t="shared" si="3"/>
        <v>7.1770334928229667E-3</v>
      </c>
      <c r="L11" s="74">
        <v>3</v>
      </c>
      <c r="M11" s="70" t="s">
        <v>4620</v>
      </c>
    </row>
    <row r="12" spans="1:13" ht="15" thickBot="1" x14ac:dyDescent="0.4">
      <c r="A12" s="103" t="s">
        <v>4624</v>
      </c>
      <c r="G12" s="93" t="s">
        <v>4622</v>
      </c>
      <c r="H12" s="78">
        <f>SUM(H2:H11)</f>
        <v>974</v>
      </c>
      <c r="I12" s="79">
        <f>SUM(I2:I11)</f>
        <v>1</v>
      </c>
      <c r="J12" s="71"/>
      <c r="K12" s="80">
        <f>SUM(K2:K11)</f>
        <v>1.0000000000000002</v>
      </c>
      <c r="L12" s="117">
        <f>SUM(L2:L11)</f>
        <v>418</v>
      </c>
      <c r="M12" s="118" t="s">
        <v>4623</v>
      </c>
    </row>
    <row r="13" spans="1:13" ht="15" thickBot="1" x14ac:dyDescent="0.4">
      <c r="E13" s="37"/>
      <c r="L13" s="119">
        <f>L12/1124</f>
        <v>0.37188612099644131</v>
      </c>
      <c r="M13" s="120" t="s">
        <v>4625</v>
      </c>
    </row>
    <row r="14" spans="1:13" x14ac:dyDescent="0.35">
      <c r="A14" s="29" t="s">
        <v>4626</v>
      </c>
      <c r="B14" s="13" t="s">
        <v>4592</v>
      </c>
      <c r="C14" s="13" t="s">
        <v>4593</v>
      </c>
      <c r="D14" s="15" t="s">
        <v>4594</v>
      </c>
    </row>
    <row r="15" spans="1:13" x14ac:dyDescent="0.35">
      <c r="A15" s="22" t="s">
        <v>4627</v>
      </c>
      <c r="B15" s="6">
        <v>210</v>
      </c>
      <c r="C15" s="30"/>
      <c r="D15" s="31"/>
    </row>
    <row r="16" spans="1:13" x14ac:dyDescent="0.35">
      <c r="A16" s="22" t="s">
        <v>4626</v>
      </c>
      <c r="B16" s="30"/>
      <c r="C16" s="52">
        <v>0.96</v>
      </c>
      <c r="D16" s="42">
        <v>25885546</v>
      </c>
    </row>
    <row r="17" spans="1:6" x14ac:dyDescent="0.35">
      <c r="A17" s="22" t="s">
        <v>4628</v>
      </c>
      <c r="B17" s="30"/>
      <c r="C17" s="34">
        <v>0.04</v>
      </c>
      <c r="D17" s="42">
        <v>947579</v>
      </c>
      <c r="F17" s="34"/>
    </row>
    <row r="18" spans="1:6" x14ac:dyDescent="0.35">
      <c r="A18" s="22" t="s">
        <v>4629</v>
      </c>
      <c r="B18" s="30"/>
      <c r="C18" s="23">
        <v>0.06</v>
      </c>
      <c r="D18" s="42">
        <v>995202</v>
      </c>
    </row>
    <row r="19" spans="1:6" x14ac:dyDescent="0.35">
      <c r="A19" s="22" t="s">
        <v>4630</v>
      </c>
      <c r="B19" s="30"/>
      <c r="C19" s="30"/>
      <c r="D19" s="42">
        <v>15618306</v>
      </c>
      <c r="E19" s="34"/>
      <c r="F19" s="111"/>
    </row>
    <row r="20" spans="1:6" x14ac:dyDescent="0.35">
      <c r="A20" s="22" t="s">
        <v>4631</v>
      </c>
      <c r="B20" s="6">
        <v>30</v>
      </c>
      <c r="C20" s="23">
        <v>0.14000000000000001</v>
      </c>
      <c r="D20" s="32"/>
    </row>
    <row r="21" spans="1:6" x14ac:dyDescent="0.35">
      <c r="A21" s="22" t="s">
        <v>4632</v>
      </c>
      <c r="B21" s="33"/>
      <c r="C21" s="23">
        <v>0.4</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D3815-A9BC-4608-9E1E-12DC59041C5C}">
  <sheetPr codeName="Sheet13"/>
  <dimension ref="A1:M33"/>
  <sheetViews>
    <sheetView topLeftCell="A6" zoomScale="90" zoomScaleNormal="90" workbookViewId="0">
      <selection activeCell="G17" sqref="G17"/>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899</v>
      </c>
      <c r="C2" s="19">
        <f>B2/$B$7</f>
        <v>0.93064182194616973</v>
      </c>
      <c r="D2" s="20">
        <f>SUM(D3:D5)</f>
        <v>39719152</v>
      </c>
      <c r="E2" s="21">
        <f t="shared" ref="E2:E7" si="0">D2/B2</f>
        <v>44181.481646273634</v>
      </c>
      <c r="G2" s="82" t="s">
        <v>4599</v>
      </c>
      <c r="H2" s="83">
        <v>414</v>
      </c>
      <c r="I2" s="84">
        <f>H2/$H$12</f>
        <v>0.42857142857142855</v>
      </c>
      <c r="J2" s="85"/>
      <c r="K2" s="86">
        <f>L2/$L$12</f>
        <v>0.44444444444444442</v>
      </c>
      <c r="L2" s="83">
        <f t="shared" ref="L2:L9" si="1">H2-H3</f>
        <v>184</v>
      </c>
      <c r="M2" s="87" t="s">
        <v>4600</v>
      </c>
    </row>
    <row r="3" spans="1:13" x14ac:dyDescent="0.35">
      <c r="A3" s="22" t="s">
        <v>13</v>
      </c>
      <c r="B3" s="6">
        <v>757</v>
      </c>
      <c r="C3" s="19">
        <f>B3/$B$7</f>
        <v>0.78364389233954457</v>
      </c>
      <c r="D3" s="24">
        <v>34761652</v>
      </c>
      <c r="E3" s="21">
        <f t="shared" si="0"/>
        <v>45920.280052840157</v>
      </c>
      <c r="F3" s="37"/>
      <c r="G3" s="66" t="s">
        <v>4601</v>
      </c>
      <c r="H3" s="65">
        <v>230</v>
      </c>
      <c r="I3" s="75">
        <f t="shared" ref="I3:I11" si="2">H3/$H$12</f>
        <v>0.23809523809523808</v>
      </c>
      <c r="J3" s="77"/>
      <c r="K3" s="72">
        <f t="shared" ref="K3:K11" si="3">L3/$L$12</f>
        <v>0.25362318840579712</v>
      </c>
      <c r="L3" s="65">
        <f t="shared" si="1"/>
        <v>105</v>
      </c>
      <c r="M3" s="69" t="s">
        <v>4602</v>
      </c>
    </row>
    <row r="4" spans="1:13" x14ac:dyDescent="0.35">
      <c r="A4" s="22" t="s">
        <v>55</v>
      </c>
      <c r="B4" s="6">
        <v>26</v>
      </c>
      <c r="C4" s="19">
        <f>B4/$B$7</f>
        <v>2.6915113871635612E-2</v>
      </c>
      <c r="D4" s="24">
        <v>602000</v>
      </c>
      <c r="E4" s="21">
        <f t="shared" si="0"/>
        <v>23153.846153846152</v>
      </c>
      <c r="G4" s="88" t="s">
        <v>4603</v>
      </c>
      <c r="H4" s="89">
        <v>125</v>
      </c>
      <c r="I4" s="90">
        <f t="shared" si="2"/>
        <v>0.12939958592132506</v>
      </c>
      <c r="J4" s="85"/>
      <c r="K4" s="91">
        <f t="shared" si="3"/>
        <v>0.11835748792270531</v>
      </c>
      <c r="L4" s="89">
        <f t="shared" si="1"/>
        <v>49</v>
      </c>
      <c r="M4" s="92" t="s">
        <v>4604</v>
      </c>
    </row>
    <row r="5" spans="1:13" x14ac:dyDescent="0.35">
      <c r="A5" s="22" t="s">
        <v>70</v>
      </c>
      <c r="B5" s="6">
        <v>116</v>
      </c>
      <c r="C5" s="19">
        <f>B5/$B$7</f>
        <v>0.12008281573498965</v>
      </c>
      <c r="D5" s="24">
        <v>4355500</v>
      </c>
      <c r="E5" s="21">
        <f t="shared" si="0"/>
        <v>37547.413793103449</v>
      </c>
      <c r="F5" s="37"/>
      <c r="G5" s="66" t="s">
        <v>4605</v>
      </c>
      <c r="H5" s="65">
        <v>76</v>
      </c>
      <c r="I5" s="75">
        <f t="shared" si="2"/>
        <v>7.8674948240165632E-2</v>
      </c>
      <c r="J5" s="77"/>
      <c r="K5" s="72">
        <f t="shared" si="3"/>
        <v>7.0048309178743967E-2</v>
      </c>
      <c r="L5" s="65">
        <f t="shared" si="1"/>
        <v>29</v>
      </c>
      <c r="M5" s="69" t="s">
        <v>4606</v>
      </c>
    </row>
    <row r="6" spans="1:13" x14ac:dyDescent="0.35">
      <c r="A6" s="22" t="s">
        <v>4648</v>
      </c>
      <c r="B6" s="6">
        <v>67</v>
      </c>
      <c r="C6" s="19">
        <f>B6/$B$7</f>
        <v>6.9358178053830224E-2</v>
      </c>
      <c r="D6" s="24">
        <v>412700</v>
      </c>
      <c r="E6" s="21">
        <f t="shared" si="0"/>
        <v>6159.7014925373132</v>
      </c>
      <c r="G6" s="88" t="s">
        <v>4607</v>
      </c>
      <c r="H6" s="89">
        <v>47</v>
      </c>
      <c r="I6" s="90">
        <f t="shared" si="2"/>
        <v>4.8654244306418216E-2</v>
      </c>
      <c r="J6" s="85"/>
      <c r="K6" s="91">
        <f t="shared" si="3"/>
        <v>3.6231884057971016E-2</v>
      </c>
      <c r="L6" s="89">
        <f t="shared" si="1"/>
        <v>15</v>
      </c>
      <c r="M6" s="92" t="s">
        <v>4608</v>
      </c>
    </row>
    <row r="7" spans="1:13" ht="15" thickBot="1" x14ac:dyDescent="0.4">
      <c r="A7" s="55" t="s">
        <v>633</v>
      </c>
      <c r="B7" s="56">
        <f>B2+B6</f>
        <v>966</v>
      </c>
      <c r="C7" s="56"/>
      <c r="D7" s="53">
        <f>D2+D6</f>
        <v>40131852</v>
      </c>
      <c r="E7" s="54">
        <f t="shared" si="0"/>
        <v>41544.360248447207</v>
      </c>
      <c r="G7" s="66" t="s">
        <v>4609</v>
      </c>
      <c r="H7" s="65">
        <v>32</v>
      </c>
      <c r="I7" s="75">
        <f t="shared" si="2"/>
        <v>3.3126293995859216E-2</v>
      </c>
      <c r="J7" s="77"/>
      <c r="K7" s="72">
        <f t="shared" si="3"/>
        <v>3.6231884057971016E-2</v>
      </c>
      <c r="L7" s="65">
        <f t="shared" si="1"/>
        <v>15</v>
      </c>
      <c r="M7" s="69" t="s">
        <v>4610</v>
      </c>
    </row>
    <row r="8" spans="1:13" ht="15" thickBot="1" x14ac:dyDescent="0.4">
      <c r="G8" s="88" t="s">
        <v>4611</v>
      </c>
      <c r="H8" s="89">
        <v>17</v>
      </c>
      <c r="I8" s="90">
        <f t="shared" si="2"/>
        <v>1.7598343685300208E-2</v>
      </c>
      <c r="J8" s="85"/>
      <c r="K8" s="91">
        <f t="shared" si="3"/>
        <v>1.932367149758454E-2</v>
      </c>
      <c r="L8" s="89">
        <f t="shared" si="1"/>
        <v>8</v>
      </c>
      <c r="M8" s="92" t="s">
        <v>4612</v>
      </c>
    </row>
    <row r="9" spans="1:13" x14ac:dyDescent="0.35">
      <c r="A9" s="29" t="s">
        <v>4615</v>
      </c>
      <c r="B9" s="13" t="s">
        <v>4592</v>
      </c>
      <c r="C9" s="100" t="s">
        <v>4593</v>
      </c>
      <c r="G9" s="66" t="s">
        <v>4613</v>
      </c>
      <c r="H9" s="65">
        <v>9</v>
      </c>
      <c r="I9" s="75">
        <f t="shared" si="2"/>
        <v>9.316770186335404E-3</v>
      </c>
      <c r="J9" s="77"/>
      <c r="K9" s="72">
        <f t="shared" si="3"/>
        <v>4.830917874396135E-3</v>
      </c>
      <c r="L9" s="65">
        <f t="shared" si="1"/>
        <v>2</v>
      </c>
      <c r="M9" s="69" t="s">
        <v>4614</v>
      </c>
    </row>
    <row r="10" spans="1:13" x14ac:dyDescent="0.35">
      <c r="A10" s="17" t="s">
        <v>4618</v>
      </c>
      <c r="B10" s="6">
        <v>3</v>
      </c>
      <c r="C10" s="31"/>
      <c r="G10" s="88" t="s">
        <v>4616</v>
      </c>
      <c r="H10" s="89">
        <v>7</v>
      </c>
      <c r="I10" s="90">
        <f t="shared" si="2"/>
        <v>7.246376811594203E-3</v>
      </c>
      <c r="J10" s="85"/>
      <c r="K10" s="91">
        <f t="shared" si="3"/>
        <v>9.6618357487922701E-3</v>
      </c>
      <c r="L10" s="89">
        <v>4</v>
      </c>
      <c r="M10" s="92" t="s">
        <v>4617</v>
      </c>
    </row>
    <row r="11" spans="1:13" ht="15" thickBot="1" x14ac:dyDescent="0.4">
      <c r="A11" s="101" t="s">
        <v>4621</v>
      </c>
      <c r="B11" s="26">
        <v>467</v>
      </c>
      <c r="C11" s="104">
        <f>B11/1104</f>
        <v>0.42300724637681159</v>
      </c>
      <c r="G11" s="67" t="s">
        <v>4619</v>
      </c>
      <c r="H11" s="74">
        <v>9</v>
      </c>
      <c r="I11" s="76">
        <f t="shared" si="2"/>
        <v>9.316770186335404E-3</v>
      </c>
      <c r="J11" s="77"/>
      <c r="K11" s="73">
        <f t="shared" si="3"/>
        <v>7.246376811594203E-3</v>
      </c>
      <c r="L11" s="74">
        <v>3</v>
      </c>
      <c r="M11" s="70" t="s">
        <v>4620</v>
      </c>
    </row>
    <row r="12" spans="1:13" ht="15" thickBot="1" x14ac:dyDescent="0.4">
      <c r="A12" s="103" t="s">
        <v>4624</v>
      </c>
      <c r="G12" s="93" t="s">
        <v>4622</v>
      </c>
      <c r="H12" s="78">
        <f>SUM(H2:H11)</f>
        <v>966</v>
      </c>
      <c r="I12" s="79">
        <f>SUM(I2:I11)</f>
        <v>0.99999999999999989</v>
      </c>
      <c r="J12" s="71"/>
      <c r="K12" s="80">
        <f>SUM(K2:K11)</f>
        <v>1</v>
      </c>
      <c r="L12" s="117">
        <f>SUM(L2:L11)</f>
        <v>414</v>
      </c>
      <c r="M12" s="118" t="s">
        <v>4623</v>
      </c>
    </row>
    <row r="13" spans="1:13" ht="15" thickBot="1" x14ac:dyDescent="0.4">
      <c r="E13" s="37"/>
      <c r="L13" s="119">
        <f>L12/1124</f>
        <v>0.3683274021352313</v>
      </c>
      <c r="M13" s="120" t="s">
        <v>4625</v>
      </c>
    </row>
    <row r="14" spans="1:13" x14ac:dyDescent="0.35">
      <c r="A14" s="29" t="s">
        <v>4626</v>
      </c>
      <c r="B14" s="13" t="s">
        <v>4592</v>
      </c>
      <c r="C14" s="13" t="s">
        <v>4593</v>
      </c>
      <c r="D14" s="15" t="s">
        <v>4594</v>
      </c>
    </row>
    <row r="15" spans="1:13" x14ac:dyDescent="0.35">
      <c r="A15" s="22" t="s">
        <v>4627</v>
      </c>
      <c r="B15" s="6">
        <v>205</v>
      </c>
      <c r="C15" s="30"/>
      <c r="D15" s="31"/>
    </row>
    <row r="16" spans="1:13" x14ac:dyDescent="0.35">
      <c r="A16" s="22" t="s">
        <v>4626</v>
      </c>
      <c r="B16" s="30"/>
      <c r="C16" s="52">
        <v>0.96</v>
      </c>
      <c r="D16" s="42">
        <v>25316166</v>
      </c>
    </row>
    <row r="17" spans="1:6" x14ac:dyDescent="0.35">
      <c r="A17" s="22" t="s">
        <v>4628</v>
      </c>
      <c r="B17" s="30"/>
      <c r="C17" s="34">
        <v>0.04</v>
      </c>
      <c r="D17" s="42">
        <v>985126</v>
      </c>
      <c r="F17" s="34"/>
    </row>
    <row r="18" spans="1:6" x14ac:dyDescent="0.35">
      <c r="A18" s="22" t="s">
        <v>4629</v>
      </c>
      <c r="B18" s="30"/>
      <c r="C18" s="23">
        <v>7.0000000000000007E-2</v>
      </c>
      <c r="D18" s="42">
        <v>1035282</v>
      </c>
    </row>
    <row r="19" spans="1:6" x14ac:dyDescent="0.35">
      <c r="A19" s="22" t="s">
        <v>4630</v>
      </c>
      <c r="B19" s="30"/>
      <c r="C19" s="30"/>
      <c r="D19" s="42">
        <v>14815686</v>
      </c>
      <c r="E19" s="34"/>
      <c r="F19" s="111"/>
    </row>
    <row r="20" spans="1:6" x14ac:dyDescent="0.35">
      <c r="A20" s="22" t="s">
        <v>4631</v>
      </c>
      <c r="B20" s="6">
        <v>33</v>
      </c>
      <c r="C20" s="23">
        <v>0.16</v>
      </c>
      <c r="D20" s="32"/>
    </row>
    <row r="21" spans="1:6" x14ac:dyDescent="0.35">
      <c r="A21" s="22" t="s">
        <v>4632</v>
      </c>
      <c r="B21" s="33"/>
      <c r="C21" s="23">
        <v>0.4</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629DC-E64C-4763-878D-B9A4500363B2}">
  <sheetPr codeName="Sheet14"/>
  <dimension ref="A1:M33"/>
  <sheetViews>
    <sheetView topLeftCell="A6" zoomScale="90" zoomScaleNormal="90" workbookViewId="0">
      <selection activeCell="G19" sqref="G19"/>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894</v>
      </c>
      <c r="C2" s="19">
        <f>B2/$B$7</f>
        <v>0.93028095733610827</v>
      </c>
      <c r="D2" s="20">
        <f>SUM(D3:D5)</f>
        <v>39449152</v>
      </c>
      <c r="E2" s="21">
        <f t="shared" ref="E2:E7" si="0">D2/B2</f>
        <v>44126.56823266219</v>
      </c>
      <c r="G2" s="82" t="s">
        <v>4599</v>
      </c>
      <c r="H2" s="83">
        <v>413</v>
      </c>
      <c r="I2" s="84">
        <f>H2/$H$12</f>
        <v>0.42976066597294482</v>
      </c>
      <c r="J2" s="85"/>
      <c r="K2" s="86">
        <f>L2/$L$12</f>
        <v>0.44552058111380144</v>
      </c>
      <c r="L2" s="83">
        <f t="shared" ref="L2:L9" si="1">H2-H3</f>
        <v>184</v>
      </c>
      <c r="M2" s="87" t="s">
        <v>4600</v>
      </c>
    </row>
    <row r="3" spans="1:13" x14ac:dyDescent="0.35">
      <c r="A3" s="22" t="s">
        <v>13</v>
      </c>
      <c r="B3" s="6">
        <v>752</v>
      </c>
      <c r="C3" s="19">
        <f>B3/$B$7</f>
        <v>0.78251821019771073</v>
      </c>
      <c r="D3" s="24">
        <v>34491652</v>
      </c>
      <c r="E3" s="21">
        <f t="shared" si="0"/>
        <v>45866.558510638301</v>
      </c>
      <c r="F3" s="37"/>
      <c r="G3" s="66" t="s">
        <v>4601</v>
      </c>
      <c r="H3" s="65">
        <v>229</v>
      </c>
      <c r="I3" s="75">
        <f t="shared" ref="I3:I11" si="2">H3/$H$12</f>
        <v>0.23829344432882413</v>
      </c>
      <c r="J3" s="77"/>
      <c r="K3" s="72">
        <f t="shared" ref="K3:K11" si="3">L3/$L$12</f>
        <v>0.25423728813559321</v>
      </c>
      <c r="L3" s="65">
        <f t="shared" si="1"/>
        <v>105</v>
      </c>
      <c r="M3" s="69" t="s">
        <v>4602</v>
      </c>
    </row>
    <row r="4" spans="1:13" x14ac:dyDescent="0.35">
      <c r="A4" s="22" t="s">
        <v>55</v>
      </c>
      <c r="B4" s="6">
        <v>26</v>
      </c>
      <c r="C4" s="19">
        <f>B4/$B$7</f>
        <v>2.7055150884495317E-2</v>
      </c>
      <c r="D4" s="24">
        <v>602000</v>
      </c>
      <c r="E4" s="21">
        <f t="shared" si="0"/>
        <v>23153.846153846152</v>
      </c>
      <c r="G4" s="88" t="s">
        <v>4603</v>
      </c>
      <c r="H4" s="89">
        <v>124</v>
      </c>
      <c r="I4" s="90">
        <f t="shared" si="2"/>
        <v>0.12903225806451613</v>
      </c>
      <c r="J4" s="85"/>
      <c r="K4" s="91">
        <f t="shared" si="3"/>
        <v>0.11622276029055691</v>
      </c>
      <c r="L4" s="89">
        <f t="shared" si="1"/>
        <v>48</v>
      </c>
      <c r="M4" s="92" t="s">
        <v>4604</v>
      </c>
    </row>
    <row r="5" spans="1:13" x14ac:dyDescent="0.35">
      <c r="A5" s="22" t="s">
        <v>70</v>
      </c>
      <c r="B5" s="6">
        <v>116</v>
      </c>
      <c r="C5" s="19">
        <f>B5/$B$7</f>
        <v>0.12070759625390219</v>
      </c>
      <c r="D5" s="24">
        <v>4355500</v>
      </c>
      <c r="E5" s="21">
        <f t="shared" si="0"/>
        <v>37547.413793103449</v>
      </c>
      <c r="F5" s="37"/>
      <c r="G5" s="66" t="s">
        <v>4605</v>
      </c>
      <c r="H5" s="65">
        <v>76</v>
      </c>
      <c r="I5" s="75">
        <f t="shared" si="2"/>
        <v>7.9084287200832465E-2</v>
      </c>
      <c r="J5" s="77"/>
      <c r="K5" s="72">
        <f t="shared" si="3"/>
        <v>7.0217917675544791E-2</v>
      </c>
      <c r="L5" s="65">
        <f t="shared" si="1"/>
        <v>29</v>
      </c>
      <c r="M5" s="69" t="s">
        <v>4606</v>
      </c>
    </row>
    <row r="6" spans="1:13" x14ac:dyDescent="0.35">
      <c r="A6" s="22" t="s">
        <v>4648</v>
      </c>
      <c r="B6" s="6">
        <v>67</v>
      </c>
      <c r="C6" s="19">
        <f>B6/$B$7</f>
        <v>6.9719042663891784E-2</v>
      </c>
      <c r="D6" s="24">
        <v>412700</v>
      </c>
      <c r="E6" s="21">
        <f t="shared" si="0"/>
        <v>6159.7014925373132</v>
      </c>
      <c r="G6" s="88" t="s">
        <v>4607</v>
      </c>
      <c r="H6" s="89">
        <v>47</v>
      </c>
      <c r="I6" s="90">
        <f t="shared" si="2"/>
        <v>4.8907388137356921E-2</v>
      </c>
      <c r="J6" s="85"/>
      <c r="K6" s="91">
        <f t="shared" si="3"/>
        <v>3.8740920096852302E-2</v>
      </c>
      <c r="L6" s="89">
        <f t="shared" si="1"/>
        <v>16</v>
      </c>
      <c r="M6" s="92" t="s">
        <v>4608</v>
      </c>
    </row>
    <row r="7" spans="1:13" ht="15" thickBot="1" x14ac:dyDescent="0.4">
      <c r="A7" s="55" t="s">
        <v>633</v>
      </c>
      <c r="B7" s="56">
        <f>B2+B6</f>
        <v>961</v>
      </c>
      <c r="C7" s="56"/>
      <c r="D7" s="53">
        <f>D2+D6</f>
        <v>39861852</v>
      </c>
      <c r="E7" s="54">
        <f t="shared" si="0"/>
        <v>41479.554630593135</v>
      </c>
      <c r="G7" s="66" t="s">
        <v>4609</v>
      </c>
      <c r="H7" s="65">
        <v>31</v>
      </c>
      <c r="I7" s="75">
        <f t="shared" si="2"/>
        <v>3.2258064516129031E-2</v>
      </c>
      <c r="J7" s="77"/>
      <c r="K7" s="72">
        <f t="shared" si="3"/>
        <v>3.6319612590799029E-2</v>
      </c>
      <c r="L7" s="65">
        <f t="shared" si="1"/>
        <v>15</v>
      </c>
      <c r="M7" s="69" t="s">
        <v>4610</v>
      </c>
    </row>
    <row r="8" spans="1:13" ht="15" thickBot="1" x14ac:dyDescent="0.4">
      <c r="G8" s="88" t="s">
        <v>4611</v>
      </c>
      <c r="H8" s="89">
        <v>16</v>
      </c>
      <c r="I8" s="90">
        <f t="shared" si="2"/>
        <v>1.6649323621227889E-2</v>
      </c>
      <c r="J8" s="85"/>
      <c r="K8" s="91">
        <f t="shared" si="3"/>
        <v>1.6949152542372881E-2</v>
      </c>
      <c r="L8" s="89">
        <f t="shared" si="1"/>
        <v>7</v>
      </c>
      <c r="M8" s="92" t="s">
        <v>4612</v>
      </c>
    </row>
    <row r="9" spans="1:13" x14ac:dyDescent="0.35">
      <c r="A9" s="29" t="s">
        <v>4615</v>
      </c>
      <c r="B9" s="13" t="s">
        <v>4592</v>
      </c>
      <c r="C9" s="100" t="s">
        <v>4593</v>
      </c>
      <c r="G9" s="66" t="s">
        <v>4613</v>
      </c>
      <c r="H9" s="65">
        <v>9</v>
      </c>
      <c r="I9" s="75">
        <f t="shared" si="2"/>
        <v>9.3652445369406864E-3</v>
      </c>
      <c r="J9" s="77"/>
      <c r="K9" s="72">
        <f t="shared" si="3"/>
        <v>4.8426150121065378E-3</v>
      </c>
      <c r="L9" s="65">
        <f t="shared" si="1"/>
        <v>2</v>
      </c>
      <c r="M9" s="69" t="s">
        <v>4614</v>
      </c>
    </row>
    <row r="10" spans="1:13" x14ac:dyDescent="0.35">
      <c r="A10" s="17" t="s">
        <v>4618</v>
      </c>
      <c r="B10" s="6">
        <v>2</v>
      </c>
      <c r="C10" s="31"/>
      <c r="G10" s="88" t="s">
        <v>4616</v>
      </c>
      <c r="H10" s="89">
        <v>7</v>
      </c>
      <c r="I10" s="90">
        <f t="shared" si="2"/>
        <v>7.2840790842872011E-3</v>
      </c>
      <c r="J10" s="85"/>
      <c r="K10" s="91">
        <f t="shared" si="3"/>
        <v>9.6852300242130755E-3</v>
      </c>
      <c r="L10" s="89">
        <v>4</v>
      </c>
      <c r="M10" s="92" t="s">
        <v>4617</v>
      </c>
    </row>
    <row r="11" spans="1:13" ht="15" thickBot="1" x14ac:dyDescent="0.4">
      <c r="A11" s="101" t="s">
        <v>4621</v>
      </c>
      <c r="B11" s="26">
        <v>464</v>
      </c>
      <c r="C11" s="104">
        <f>B11/1104</f>
        <v>0.42028985507246375</v>
      </c>
      <c r="G11" s="67" t="s">
        <v>4619</v>
      </c>
      <c r="H11" s="74">
        <v>9</v>
      </c>
      <c r="I11" s="76">
        <f t="shared" si="2"/>
        <v>9.3652445369406864E-3</v>
      </c>
      <c r="J11" s="77"/>
      <c r="K11" s="73">
        <f t="shared" si="3"/>
        <v>7.2639225181598066E-3</v>
      </c>
      <c r="L11" s="74">
        <v>3</v>
      </c>
      <c r="M11" s="70" t="s">
        <v>4620</v>
      </c>
    </row>
    <row r="12" spans="1:13" ht="15" thickBot="1" x14ac:dyDescent="0.4">
      <c r="A12" s="103" t="s">
        <v>4624</v>
      </c>
      <c r="G12" s="93" t="s">
        <v>4622</v>
      </c>
      <c r="H12" s="78">
        <f>SUM(H2:H11)</f>
        <v>961</v>
      </c>
      <c r="I12" s="79">
        <f>SUM(I2:I11)</f>
        <v>0.99999999999999989</v>
      </c>
      <c r="J12" s="71"/>
      <c r="K12" s="80">
        <f>SUM(K2:K11)</f>
        <v>0.99999999999999989</v>
      </c>
      <c r="L12" s="117">
        <f>SUM(L2:L11)</f>
        <v>413</v>
      </c>
      <c r="M12" s="118" t="s">
        <v>4623</v>
      </c>
    </row>
    <row r="13" spans="1:13" ht="15" thickBot="1" x14ac:dyDescent="0.4">
      <c r="E13" s="37"/>
      <c r="L13" s="119">
        <f>L12/1104</f>
        <v>0.37409420289855072</v>
      </c>
      <c r="M13" s="120" t="s">
        <v>4625</v>
      </c>
    </row>
    <row r="14" spans="1:13" x14ac:dyDescent="0.35">
      <c r="A14" s="29" t="s">
        <v>4626</v>
      </c>
      <c r="B14" s="13" t="s">
        <v>4592</v>
      </c>
      <c r="C14" s="13" t="s">
        <v>4593</v>
      </c>
      <c r="D14" s="15" t="s">
        <v>4594</v>
      </c>
    </row>
    <row r="15" spans="1:13" x14ac:dyDescent="0.35">
      <c r="A15" s="22" t="s">
        <v>4627</v>
      </c>
      <c r="B15" s="6">
        <v>209</v>
      </c>
      <c r="C15" s="30"/>
      <c r="D15" s="31"/>
    </row>
    <row r="16" spans="1:13" x14ac:dyDescent="0.35">
      <c r="A16" s="22" t="s">
        <v>4626</v>
      </c>
      <c r="B16" s="30"/>
      <c r="C16" s="52">
        <v>0.96227224689085933</v>
      </c>
      <c r="D16" s="42">
        <v>24936815.673</v>
      </c>
    </row>
    <row r="17" spans="1:6" x14ac:dyDescent="0.35">
      <c r="A17" s="22" t="s">
        <v>4628</v>
      </c>
      <c r="B17" s="30"/>
      <c r="C17" s="34">
        <v>3.7727753109140651E-2</v>
      </c>
      <c r="D17" s="42">
        <v>977696.31004000001</v>
      </c>
      <c r="F17" s="34"/>
    </row>
    <row r="18" spans="1:6" x14ac:dyDescent="0.35">
      <c r="A18" s="22" t="s">
        <v>4629</v>
      </c>
      <c r="B18" s="30"/>
      <c r="C18" s="23">
        <v>6.8842350476645511E-2</v>
      </c>
      <c r="D18" s="42">
        <v>1027474.5817</v>
      </c>
    </row>
    <row r="19" spans="1:6" x14ac:dyDescent="0.35">
      <c r="A19" s="22" t="s">
        <v>4630</v>
      </c>
      <c r="B19" s="30"/>
      <c r="C19" s="30"/>
      <c r="D19" s="42">
        <v>14925036.327</v>
      </c>
      <c r="E19" s="34"/>
      <c r="F19" s="111"/>
    </row>
    <row r="20" spans="1:6" x14ac:dyDescent="0.35">
      <c r="A20" s="22" t="s">
        <v>4631</v>
      </c>
      <c r="B20" s="6">
        <v>35</v>
      </c>
      <c r="C20" s="23">
        <v>0.16750000000000001</v>
      </c>
      <c r="D20" s="32"/>
    </row>
    <row r="21" spans="1:6" x14ac:dyDescent="0.35">
      <c r="A21" s="22" t="s">
        <v>4632</v>
      </c>
      <c r="B21" s="33"/>
      <c r="C21" s="23">
        <v>0.4</v>
      </c>
      <c r="D21" s="32"/>
    </row>
    <row r="22" spans="1:6" ht="15" thickBot="1" x14ac:dyDescent="0.4">
      <c r="A22" s="25" t="s">
        <v>4633</v>
      </c>
      <c r="B22" s="26">
        <v>14</v>
      </c>
      <c r="C22" s="36">
        <v>3.3999999999999998E-3</v>
      </c>
      <c r="D22" s="28">
        <v>50706.66</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5BCB-F627-485B-AD95-E94B01FD9FA8}">
  <sheetPr codeName="Sheet15"/>
  <dimension ref="A1:M33"/>
  <sheetViews>
    <sheetView topLeftCell="A3" zoomScale="90" zoomScaleNormal="90" workbookViewId="0">
      <selection activeCell="I18" sqref="I18"/>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889</v>
      </c>
      <c r="C2" s="19">
        <f>B2/$B$7</f>
        <v>0.92991631799163177</v>
      </c>
      <c r="D2" s="20">
        <f>SUM(D3:D5)</f>
        <v>39087152</v>
      </c>
      <c r="E2" s="21">
        <f t="shared" ref="E2:E7" si="0">D2/B2</f>
        <v>43967.550056242966</v>
      </c>
      <c r="G2" s="82" t="s">
        <v>4599</v>
      </c>
      <c r="H2" s="83">
        <v>412</v>
      </c>
      <c r="I2" s="84">
        <f>H2/$H$12</f>
        <v>0.43096234309623432</v>
      </c>
      <c r="J2" s="85"/>
      <c r="K2" s="86">
        <f>L2/$L$12</f>
        <v>0.44660194174757284</v>
      </c>
      <c r="L2" s="83">
        <f t="shared" ref="L2:L9" si="1">H2-H3</f>
        <v>184</v>
      </c>
      <c r="M2" s="87" t="s">
        <v>4600</v>
      </c>
    </row>
    <row r="3" spans="1:13" x14ac:dyDescent="0.35">
      <c r="A3" s="22" t="s">
        <v>13</v>
      </c>
      <c r="B3" s="6">
        <v>747</v>
      </c>
      <c r="C3" s="19">
        <f>B3/$B$7</f>
        <v>0.78138075313807531</v>
      </c>
      <c r="D3" s="24">
        <v>34129652</v>
      </c>
      <c r="E3" s="21">
        <f t="shared" si="0"/>
        <v>45688.958500669345</v>
      </c>
      <c r="F3" s="37"/>
      <c r="G3" s="66" t="s">
        <v>4601</v>
      </c>
      <c r="H3" s="65">
        <v>228</v>
      </c>
      <c r="I3" s="75">
        <f t="shared" ref="I3:I11" si="2">H3/$H$12</f>
        <v>0.2384937238493724</v>
      </c>
      <c r="J3" s="77"/>
      <c r="K3" s="72">
        <f t="shared" ref="K3:K11" si="3">L3/$L$12</f>
        <v>0.25242718446601942</v>
      </c>
      <c r="L3" s="65">
        <f t="shared" si="1"/>
        <v>104</v>
      </c>
      <c r="M3" s="69" t="s">
        <v>4602</v>
      </c>
    </row>
    <row r="4" spans="1:13" x14ac:dyDescent="0.35">
      <c r="A4" s="22" t="s">
        <v>55</v>
      </c>
      <c r="B4" s="6">
        <v>26</v>
      </c>
      <c r="C4" s="19">
        <f>B4/$B$7</f>
        <v>2.7196652719665274E-2</v>
      </c>
      <c r="D4" s="24">
        <v>602000</v>
      </c>
      <c r="E4" s="21">
        <f t="shared" si="0"/>
        <v>23153.846153846152</v>
      </c>
      <c r="G4" s="88" t="s">
        <v>4603</v>
      </c>
      <c r="H4" s="89">
        <v>124</v>
      </c>
      <c r="I4" s="90">
        <f t="shared" si="2"/>
        <v>0.1297071129707113</v>
      </c>
      <c r="J4" s="85"/>
      <c r="K4" s="91">
        <f t="shared" si="3"/>
        <v>0.11893203883495146</v>
      </c>
      <c r="L4" s="89">
        <f t="shared" si="1"/>
        <v>49</v>
      </c>
      <c r="M4" s="92" t="s">
        <v>4604</v>
      </c>
    </row>
    <row r="5" spans="1:13" x14ac:dyDescent="0.35">
      <c r="A5" s="22" t="s">
        <v>70</v>
      </c>
      <c r="B5" s="6">
        <v>116</v>
      </c>
      <c r="C5" s="19">
        <f>B5/$B$7</f>
        <v>0.12133891213389121</v>
      </c>
      <c r="D5" s="24">
        <v>4355500</v>
      </c>
      <c r="E5" s="21">
        <f t="shared" si="0"/>
        <v>37547.413793103449</v>
      </c>
      <c r="F5" s="37"/>
      <c r="G5" s="66" t="s">
        <v>4605</v>
      </c>
      <c r="H5" s="65">
        <v>75</v>
      </c>
      <c r="I5" s="75">
        <f t="shared" si="2"/>
        <v>7.8451882845188281E-2</v>
      </c>
      <c r="J5" s="77"/>
      <c r="K5" s="72">
        <f t="shared" si="3"/>
        <v>6.7961165048543687E-2</v>
      </c>
      <c r="L5" s="65">
        <f t="shared" si="1"/>
        <v>28</v>
      </c>
      <c r="M5" s="69" t="s">
        <v>4606</v>
      </c>
    </row>
    <row r="6" spans="1:13" x14ac:dyDescent="0.35">
      <c r="A6" s="22" t="s">
        <v>4648</v>
      </c>
      <c r="B6" s="6">
        <v>67</v>
      </c>
      <c r="C6" s="19">
        <f>B6/$B$7</f>
        <v>7.0083682008368203E-2</v>
      </c>
      <c r="D6" s="24">
        <v>412700</v>
      </c>
      <c r="E6" s="21">
        <f t="shared" si="0"/>
        <v>6159.7014925373132</v>
      </c>
      <c r="G6" s="88" t="s">
        <v>4607</v>
      </c>
      <c r="H6" s="89">
        <v>47</v>
      </c>
      <c r="I6" s="90">
        <f t="shared" si="2"/>
        <v>4.9163179916317995E-2</v>
      </c>
      <c r="J6" s="85"/>
      <c r="K6" s="91">
        <f t="shared" si="3"/>
        <v>4.12621359223301E-2</v>
      </c>
      <c r="L6" s="89">
        <f t="shared" si="1"/>
        <v>17</v>
      </c>
      <c r="M6" s="92" t="s">
        <v>4608</v>
      </c>
    </row>
    <row r="7" spans="1:13" ht="15" thickBot="1" x14ac:dyDescent="0.4">
      <c r="A7" s="55" t="s">
        <v>633</v>
      </c>
      <c r="B7" s="56">
        <f>B2+B6</f>
        <v>956</v>
      </c>
      <c r="C7" s="56"/>
      <c r="D7" s="53">
        <f>D2+D6</f>
        <v>39499852</v>
      </c>
      <c r="E7" s="54">
        <f t="shared" si="0"/>
        <v>41317.836820083685</v>
      </c>
      <c r="G7" s="66" t="s">
        <v>4609</v>
      </c>
      <c r="H7" s="65">
        <v>30</v>
      </c>
      <c r="I7" s="75">
        <f t="shared" si="2"/>
        <v>3.1380753138075312E-2</v>
      </c>
      <c r="J7" s="77"/>
      <c r="K7" s="72">
        <f t="shared" si="3"/>
        <v>3.3980582524271843E-2</v>
      </c>
      <c r="L7" s="65">
        <f t="shared" si="1"/>
        <v>14</v>
      </c>
      <c r="M7" s="69" t="s">
        <v>4610</v>
      </c>
    </row>
    <row r="8" spans="1:13" ht="15" thickBot="1" x14ac:dyDescent="0.4">
      <c r="G8" s="88" t="s">
        <v>4611</v>
      </c>
      <c r="H8" s="89">
        <v>16</v>
      </c>
      <c r="I8" s="90">
        <f t="shared" si="2"/>
        <v>1.6736401673640166E-2</v>
      </c>
      <c r="J8" s="85"/>
      <c r="K8" s="91">
        <f t="shared" si="3"/>
        <v>1.6990291262135922E-2</v>
      </c>
      <c r="L8" s="89">
        <f t="shared" si="1"/>
        <v>7</v>
      </c>
      <c r="M8" s="92" t="s">
        <v>4612</v>
      </c>
    </row>
    <row r="9" spans="1:13" x14ac:dyDescent="0.35">
      <c r="A9" s="29" t="s">
        <v>4615</v>
      </c>
      <c r="B9" s="13" t="s">
        <v>4592</v>
      </c>
      <c r="C9" s="100" t="s">
        <v>4593</v>
      </c>
      <c r="G9" s="66" t="s">
        <v>4613</v>
      </c>
      <c r="H9" s="65">
        <v>9</v>
      </c>
      <c r="I9" s="75">
        <f t="shared" si="2"/>
        <v>9.4142259414225944E-3</v>
      </c>
      <c r="J9" s="77"/>
      <c r="K9" s="72">
        <f t="shared" si="3"/>
        <v>7.2815533980582527E-3</v>
      </c>
      <c r="L9" s="65">
        <f t="shared" si="1"/>
        <v>3</v>
      </c>
      <c r="M9" s="69" t="s">
        <v>4614</v>
      </c>
    </row>
    <row r="10" spans="1:13" x14ac:dyDescent="0.35">
      <c r="A10" s="17" t="s">
        <v>4618</v>
      </c>
      <c r="B10" s="6">
        <v>3</v>
      </c>
      <c r="C10" s="31"/>
      <c r="G10" s="88" t="s">
        <v>4616</v>
      </c>
      <c r="H10" s="89">
        <v>6</v>
      </c>
      <c r="I10" s="90">
        <f t="shared" si="2"/>
        <v>6.2761506276150627E-3</v>
      </c>
      <c r="J10" s="85"/>
      <c r="K10" s="91">
        <f t="shared" si="3"/>
        <v>7.2815533980582527E-3</v>
      </c>
      <c r="L10" s="89">
        <v>3</v>
      </c>
      <c r="M10" s="92" t="s">
        <v>4617</v>
      </c>
    </row>
    <row r="11" spans="1:13" ht="15" thickBot="1" x14ac:dyDescent="0.4">
      <c r="A11" s="101" t="s">
        <v>4621</v>
      </c>
      <c r="B11" s="26">
        <v>462</v>
      </c>
      <c r="C11" s="104">
        <f>B11/1077</f>
        <v>0.42896935933147634</v>
      </c>
      <c r="G11" s="67" t="s">
        <v>4619</v>
      </c>
      <c r="H11" s="74">
        <v>9</v>
      </c>
      <c r="I11" s="76">
        <f t="shared" si="2"/>
        <v>9.4142259414225944E-3</v>
      </c>
      <c r="J11" s="77"/>
      <c r="K11" s="73">
        <f t="shared" si="3"/>
        <v>7.2815533980582527E-3</v>
      </c>
      <c r="L11" s="74">
        <v>3</v>
      </c>
      <c r="M11" s="70" t="s">
        <v>4620</v>
      </c>
    </row>
    <row r="12" spans="1:13" ht="15" thickBot="1" x14ac:dyDescent="0.4">
      <c r="A12" s="103" t="s">
        <v>4624</v>
      </c>
      <c r="G12" s="93" t="s">
        <v>4622</v>
      </c>
      <c r="H12" s="78">
        <f>SUM(H2:H11)</f>
        <v>956</v>
      </c>
      <c r="I12" s="79">
        <f>SUM(I2:I11)</f>
        <v>1</v>
      </c>
      <c r="J12" s="71"/>
      <c r="K12" s="80">
        <f>SUM(K2:K11)</f>
        <v>0.99999999999999989</v>
      </c>
      <c r="L12" s="117">
        <f>SUM(L2:L11)</f>
        <v>412</v>
      </c>
      <c r="M12" s="118" t="s">
        <v>4623</v>
      </c>
    </row>
    <row r="13" spans="1:13" ht="15" thickBot="1" x14ac:dyDescent="0.4">
      <c r="E13" s="37"/>
      <c r="L13" s="119">
        <f>L12/1077</f>
        <v>0.38254410399257194</v>
      </c>
      <c r="M13" s="120" t="s">
        <v>4625</v>
      </c>
    </row>
    <row r="14" spans="1:13" x14ac:dyDescent="0.35">
      <c r="A14" s="29" t="s">
        <v>4626</v>
      </c>
      <c r="B14" s="13" t="s">
        <v>4592</v>
      </c>
      <c r="C14" s="13" t="s">
        <v>4593</v>
      </c>
      <c r="D14" s="15" t="s">
        <v>4594</v>
      </c>
    </row>
    <row r="15" spans="1:13" x14ac:dyDescent="0.35">
      <c r="A15" s="22" t="s">
        <v>4627</v>
      </c>
      <c r="B15" s="6">
        <v>214</v>
      </c>
      <c r="C15" s="30"/>
      <c r="D15" s="31"/>
    </row>
    <row r="16" spans="1:13" x14ac:dyDescent="0.35">
      <c r="A16" s="22" t="s">
        <v>4626</v>
      </c>
      <c r="B16" s="30"/>
      <c r="C16" s="52">
        <v>0.96</v>
      </c>
      <c r="D16" s="42">
        <v>24536806</v>
      </c>
    </row>
    <row r="17" spans="1:7" x14ac:dyDescent="0.35">
      <c r="A17" s="22" t="s">
        <v>4628</v>
      </c>
      <c r="B17" s="30"/>
      <c r="C17" s="34">
        <v>0.04</v>
      </c>
      <c r="D17" s="42">
        <v>936661</v>
      </c>
      <c r="F17" s="34"/>
      <c r="G17" s="37"/>
    </row>
    <row r="18" spans="1:7" x14ac:dyDescent="0.35">
      <c r="A18" s="22" t="s">
        <v>4629</v>
      </c>
      <c r="B18" s="30"/>
      <c r="C18" s="23">
        <v>7.0000000000000007E-2</v>
      </c>
      <c r="D18" s="42">
        <v>984350</v>
      </c>
    </row>
    <row r="19" spans="1:7" x14ac:dyDescent="0.35">
      <c r="A19" s="22" t="s">
        <v>4630</v>
      </c>
      <c r="B19" s="30"/>
      <c r="C19" s="30"/>
      <c r="D19" s="42">
        <v>14963046</v>
      </c>
      <c r="E19" s="34"/>
      <c r="F19" s="111"/>
    </row>
    <row r="20" spans="1:7" x14ac:dyDescent="0.35">
      <c r="A20" s="22" t="s">
        <v>4631</v>
      </c>
      <c r="B20" s="6">
        <v>30</v>
      </c>
      <c r="C20" s="23">
        <v>0.14000000000000001</v>
      </c>
      <c r="D20" s="32"/>
    </row>
    <row r="21" spans="1:7" x14ac:dyDescent="0.35">
      <c r="A21" s="22" t="s">
        <v>4632</v>
      </c>
      <c r="B21" s="33"/>
      <c r="C21" s="23">
        <v>0.4</v>
      </c>
      <c r="D21" s="32"/>
    </row>
    <row r="22" spans="1:7" ht="15" thickBot="1" x14ac:dyDescent="0.4">
      <c r="A22" s="25" t="s">
        <v>4633</v>
      </c>
      <c r="B22" s="26">
        <v>14</v>
      </c>
      <c r="C22" s="36">
        <v>0</v>
      </c>
      <c r="D22" s="28">
        <v>50707</v>
      </c>
    </row>
    <row r="23" spans="1:7" ht="15" thickBot="1" x14ac:dyDescent="0.4">
      <c r="E23" s="37"/>
    </row>
    <row r="24" spans="1:7" x14ac:dyDescent="0.35">
      <c r="A24" s="122" t="s">
        <v>4634</v>
      </c>
      <c r="B24" s="123" t="s">
        <v>4635</v>
      </c>
      <c r="C24" s="124" t="s">
        <v>4636</v>
      </c>
    </row>
    <row r="25" spans="1:7" x14ac:dyDescent="0.35">
      <c r="A25" s="125" t="s">
        <v>4637</v>
      </c>
      <c r="B25" s="126">
        <v>0.4</v>
      </c>
      <c r="C25" s="127"/>
    </row>
    <row r="26" spans="1:7" x14ac:dyDescent="0.35">
      <c r="A26" s="125" t="s">
        <v>4638</v>
      </c>
      <c r="B26" s="128" t="s">
        <v>4639</v>
      </c>
      <c r="C26" s="127"/>
    </row>
    <row r="27" spans="1:7" x14ac:dyDescent="0.35">
      <c r="A27" s="125" t="s">
        <v>4640</v>
      </c>
      <c r="B27" s="126">
        <v>0.1</v>
      </c>
      <c r="C27" s="127"/>
    </row>
    <row r="28" spans="1:7" x14ac:dyDescent="0.35">
      <c r="A28" s="125" t="s">
        <v>4641</v>
      </c>
      <c r="B28" s="126">
        <v>0.04</v>
      </c>
      <c r="C28" s="127"/>
    </row>
    <row r="29" spans="1:7" x14ac:dyDescent="0.35">
      <c r="A29" s="125" t="s">
        <v>4642</v>
      </c>
      <c r="B29" s="129">
        <v>50</v>
      </c>
      <c r="C29" s="127"/>
    </row>
    <row r="30" spans="1:7" x14ac:dyDescent="0.35">
      <c r="A30" s="125" t="s">
        <v>4643</v>
      </c>
      <c r="B30" s="128" t="s">
        <v>4644</v>
      </c>
      <c r="C30" s="127"/>
    </row>
    <row r="31" spans="1:7" x14ac:dyDescent="0.35">
      <c r="A31" s="125" t="s">
        <v>4645</v>
      </c>
      <c r="B31" s="126">
        <v>0.01</v>
      </c>
      <c r="C31" s="127"/>
    </row>
    <row r="32" spans="1:7"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833DE-A34D-49C2-9C2B-870269E902E3}">
  <sheetPr codeName="Sheet16"/>
  <dimension ref="A1:M33"/>
  <sheetViews>
    <sheetView zoomScale="90" zoomScaleNormal="90" workbookViewId="0">
      <selection activeCell="G16" sqref="G16"/>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4591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883</v>
      </c>
      <c r="C2" s="19">
        <f>B2/$B$7</f>
        <v>0.92947368421052634</v>
      </c>
      <c r="D2" s="20">
        <f>SUM(D3:D5)</f>
        <v>37725152</v>
      </c>
      <c r="E2" s="21">
        <f t="shared" ref="E2:E7" si="0">D2/B2</f>
        <v>42723.841449603628</v>
      </c>
      <c r="G2" s="82" t="s">
        <v>4599</v>
      </c>
      <c r="H2" s="83">
        <v>411</v>
      </c>
      <c r="I2" s="84">
        <f>H2/$H$12</f>
        <v>0.43263157894736842</v>
      </c>
      <c r="J2" s="85"/>
      <c r="K2" s="86">
        <f>L2/$L$12</f>
        <v>0.44768856447688565</v>
      </c>
      <c r="L2" s="83">
        <f t="shared" ref="L2:L9" si="1">H2-H3</f>
        <v>184</v>
      </c>
      <c r="M2" s="87" t="s">
        <v>4600</v>
      </c>
    </row>
    <row r="3" spans="1:13" x14ac:dyDescent="0.35">
      <c r="A3" s="22" t="s">
        <v>13</v>
      </c>
      <c r="B3" s="6">
        <v>741</v>
      </c>
      <c r="C3" s="19">
        <f>B3/$B$7</f>
        <v>0.78</v>
      </c>
      <c r="D3" s="24">
        <v>32767652</v>
      </c>
      <c r="E3" s="21">
        <f t="shared" si="0"/>
        <v>44220.852901484483</v>
      </c>
      <c r="F3" s="37"/>
      <c r="G3" s="66" t="s">
        <v>4601</v>
      </c>
      <c r="H3" s="65">
        <v>227</v>
      </c>
      <c r="I3" s="75">
        <f t="shared" ref="I3:I11" si="2">H3/$H$12</f>
        <v>0.23894736842105263</v>
      </c>
      <c r="J3" s="77"/>
      <c r="K3" s="72">
        <f t="shared" ref="K3:K11" si="3">L3/$L$12</f>
        <v>0.25060827250608275</v>
      </c>
      <c r="L3" s="65">
        <f t="shared" si="1"/>
        <v>103</v>
      </c>
      <c r="M3" s="69" t="s">
        <v>4602</v>
      </c>
    </row>
    <row r="4" spans="1:13" x14ac:dyDescent="0.35">
      <c r="A4" s="22" t="s">
        <v>55</v>
      </c>
      <c r="B4" s="6">
        <v>26</v>
      </c>
      <c r="C4" s="19">
        <f>B4/$B$7</f>
        <v>2.736842105263158E-2</v>
      </c>
      <c r="D4" s="24">
        <v>602000</v>
      </c>
      <c r="E4" s="21">
        <f t="shared" si="0"/>
        <v>23153.846153846152</v>
      </c>
      <c r="G4" s="88" t="s">
        <v>4603</v>
      </c>
      <c r="H4" s="89">
        <v>124</v>
      </c>
      <c r="I4" s="90">
        <f t="shared" si="2"/>
        <v>0.13052631578947368</v>
      </c>
      <c r="J4" s="85"/>
      <c r="K4" s="91">
        <f t="shared" si="3"/>
        <v>0.12408759124087591</v>
      </c>
      <c r="L4" s="89">
        <f t="shared" si="1"/>
        <v>51</v>
      </c>
      <c r="M4" s="92" t="s">
        <v>4604</v>
      </c>
    </row>
    <row r="5" spans="1:13" x14ac:dyDescent="0.35">
      <c r="A5" s="22" t="s">
        <v>70</v>
      </c>
      <c r="B5" s="6">
        <v>116</v>
      </c>
      <c r="C5" s="19">
        <f>B5/$B$7</f>
        <v>0.12210526315789473</v>
      </c>
      <c r="D5" s="24">
        <v>4355500</v>
      </c>
      <c r="E5" s="21">
        <f t="shared" si="0"/>
        <v>37547.413793103449</v>
      </c>
      <c r="F5" s="37"/>
      <c r="G5" s="66" t="s">
        <v>4605</v>
      </c>
      <c r="H5" s="65">
        <v>73</v>
      </c>
      <c r="I5" s="75">
        <f t="shared" si="2"/>
        <v>7.6842105263157892E-2</v>
      </c>
      <c r="J5" s="77"/>
      <c r="K5" s="72">
        <f t="shared" si="3"/>
        <v>6.3260340632603412E-2</v>
      </c>
      <c r="L5" s="65">
        <f t="shared" si="1"/>
        <v>26</v>
      </c>
      <c r="M5" s="69" t="s">
        <v>4606</v>
      </c>
    </row>
    <row r="6" spans="1:13" x14ac:dyDescent="0.35">
      <c r="A6" s="22" t="s">
        <v>4648</v>
      </c>
      <c r="B6" s="6">
        <v>67</v>
      </c>
      <c r="C6" s="19">
        <f>B6/$B$7</f>
        <v>7.0526315789473687E-2</v>
      </c>
      <c r="D6" s="24">
        <v>412700</v>
      </c>
      <c r="E6" s="21">
        <f t="shared" si="0"/>
        <v>6159.7014925373132</v>
      </c>
      <c r="G6" s="88" t="s">
        <v>4607</v>
      </c>
      <c r="H6" s="89">
        <v>47</v>
      </c>
      <c r="I6" s="90">
        <f t="shared" si="2"/>
        <v>4.9473684210526316E-2</v>
      </c>
      <c r="J6" s="85"/>
      <c r="K6" s="91">
        <f t="shared" si="3"/>
        <v>4.1362530413625302E-2</v>
      </c>
      <c r="L6" s="89">
        <f t="shared" si="1"/>
        <v>17</v>
      </c>
      <c r="M6" s="92" t="s">
        <v>4608</v>
      </c>
    </row>
    <row r="7" spans="1:13" ht="15" thickBot="1" x14ac:dyDescent="0.4">
      <c r="A7" s="55" t="s">
        <v>633</v>
      </c>
      <c r="B7" s="56">
        <f>B2+B6</f>
        <v>950</v>
      </c>
      <c r="C7" s="56"/>
      <c r="D7" s="53">
        <f>D2+D6</f>
        <v>38137852</v>
      </c>
      <c r="E7" s="54">
        <f t="shared" si="0"/>
        <v>40145.10736842105</v>
      </c>
      <c r="G7" s="66" t="s">
        <v>4609</v>
      </c>
      <c r="H7" s="65">
        <v>30</v>
      </c>
      <c r="I7" s="75">
        <f t="shared" si="2"/>
        <v>3.1578947368421054E-2</v>
      </c>
      <c r="J7" s="77"/>
      <c r="K7" s="72">
        <f t="shared" si="3"/>
        <v>3.6496350364963501E-2</v>
      </c>
      <c r="L7" s="65">
        <f t="shared" si="1"/>
        <v>15</v>
      </c>
      <c r="M7" s="69" t="s">
        <v>4610</v>
      </c>
    </row>
    <row r="8" spans="1:13" ht="15" thickBot="1" x14ac:dyDescent="0.4">
      <c r="G8" s="88" t="s">
        <v>4611</v>
      </c>
      <c r="H8" s="89">
        <v>15</v>
      </c>
      <c r="I8" s="90">
        <f t="shared" si="2"/>
        <v>1.5789473684210527E-2</v>
      </c>
      <c r="J8" s="85"/>
      <c r="K8" s="91">
        <f t="shared" si="3"/>
        <v>1.4598540145985401E-2</v>
      </c>
      <c r="L8" s="89">
        <f t="shared" si="1"/>
        <v>6</v>
      </c>
      <c r="M8" s="92" t="s">
        <v>4612</v>
      </c>
    </row>
    <row r="9" spans="1:13" x14ac:dyDescent="0.35">
      <c r="A9" s="29" t="s">
        <v>4615</v>
      </c>
      <c r="B9" s="13" t="s">
        <v>4592</v>
      </c>
      <c r="C9" s="100" t="s">
        <v>4593</v>
      </c>
      <c r="G9" s="66" t="s">
        <v>4613</v>
      </c>
      <c r="H9" s="65">
        <v>9</v>
      </c>
      <c r="I9" s="75">
        <f t="shared" si="2"/>
        <v>9.4736842105263164E-3</v>
      </c>
      <c r="J9" s="77"/>
      <c r="K9" s="72">
        <f t="shared" si="3"/>
        <v>7.2992700729927005E-3</v>
      </c>
      <c r="L9" s="65">
        <f t="shared" si="1"/>
        <v>3</v>
      </c>
      <c r="M9" s="69" t="s">
        <v>4614</v>
      </c>
    </row>
    <row r="10" spans="1:13" x14ac:dyDescent="0.35">
      <c r="A10" s="17" t="s">
        <v>4618</v>
      </c>
      <c r="B10" s="6">
        <v>2</v>
      </c>
      <c r="C10" s="31"/>
      <c r="G10" s="88" t="s">
        <v>4616</v>
      </c>
      <c r="H10" s="89">
        <v>6</v>
      </c>
      <c r="I10" s="90">
        <f t="shared" si="2"/>
        <v>6.3157894736842104E-3</v>
      </c>
      <c r="J10" s="85"/>
      <c r="K10" s="91">
        <f t="shared" si="3"/>
        <v>7.2992700729927005E-3</v>
      </c>
      <c r="L10" s="89">
        <v>3</v>
      </c>
      <c r="M10" s="92" t="s">
        <v>4617</v>
      </c>
    </row>
    <row r="11" spans="1:13" ht="15" thickBot="1" x14ac:dyDescent="0.4">
      <c r="A11" s="101" t="s">
        <v>4621</v>
      </c>
      <c r="B11" s="26">
        <v>459</v>
      </c>
      <c r="C11" s="104">
        <f>B11/1077</f>
        <v>0.42618384401114207</v>
      </c>
      <c r="G11" s="67" t="s">
        <v>4619</v>
      </c>
      <c r="H11" s="74">
        <v>8</v>
      </c>
      <c r="I11" s="76">
        <f t="shared" si="2"/>
        <v>8.4210526315789472E-3</v>
      </c>
      <c r="J11" s="77"/>
      <c r="K11" s="73">
        <f t="shared" si="3"/>
        <v>7.2992700729927005E-3</v>
      </c>
      <c r="L11" s="74">
        <v>3</v>
      </c>
      <c r="M11" s="70" t="s">
        <v>4620</v>
      </c>
    </row>
    <row r="12" spans="1:13" ht="15" thickBot="1" x14ac:dyDescent="0.4">
      <c r="A12" s="103" t="s">
        <v>4624</v>
      </c>
      <c r="G12" s="93" t="s">
        <v>4622</v>
      </c>
      <c r="H12" s="78">
        <f>SUM(H2:H11)</f>
        <v>950</v>
      </c>
      <c r="I12" s="79">
        <f>SUM(I2:I11)</f>
        <v>1</v>
      </c>
      <c r="J12" s="71"/>
      <c r="K12" s="80">
        <f>SUM(K2:K11)</f>
        <v>0.99999999999999989</v>
      </c>
      <c r="L12" s="117">
        <f>SUM(L2:L11)</f>
        <v>411</v>
      </c>
      <c r="M12" s="118" t="s">
        <v>4623</v>
      </c>
    </row>
    <row r="13" spans="1:13" ht="15" thickBot="1" x14ac:dyDescent="0.4">
      <c r="E13" s="37"/>
      <c r="L13" s="119">
        <f>L12/1077</f>
        <v>0.38161559888579388</v>
      </c>
      <c r="M13" s="120" t="s">
        <v>4625</v>
      </c>
    </row>
    <row r="14" spans="1:13" x14ac:dyDescent="0.35">
      <c r="A14" s="29" t="s">
        <v>4626</v>
      </c>
      <c r="B14" s="13" t="s">
        <v>4592</v>
      </c>
      <c r="C14" s="13" t="s">
        <v>4593</v>
      </c>
      <c r="D14" s="15" t="s">
        <v>4594</v>
      </c>
    </row>
    <row r="15" spans="1:13" x14ac:dyDescent="0.35">
      <c r="A15" s="22" t="s">
        <v>4627</v>
      </c>
      <c r="B15" s="6">
        <v>219</v>
      </c>
      <c r="C15" s="30"/>
      <c r="D15" s="31"/>
    </row>
    <row r="16" spans="1:13" x14ac:dyDescent="0.35">
      <c r="A16" s="22" t="s">
        <v>4626</v>
      </c>
      <c r="B16" s="30"/>
      <c r="C16" s="52">
        <v>0.96</v>
      </c>
      <c r="D16" s="42">
        <v>24148636</v>
      </c>
    </row>
    <row r="17" spans="1:6" x14ac:dyDescent="0.35">
      <c r="A17" s="22" t="s">
        <v>4628</v>
      </c>
      <c r="B17" s="30"/>
      <c r="C17" s="34">
        <v>0.04</v>
      </c>
      <c r="D17" s="42">
        <v>881677</v>
      </c>
      <c r="F17" s="34"/>
    </row>
    <row r="18" spans="1:6" x14ac:dyDescent="0.35">
      <c r="A18" s="22" t="s">
        <v>4629</v>
      </c>
      <c r="B18" s="30"/>
      <c r="C18" s="23">
        <v>7.0000000000000007E-2</v>
      </c>
      <c r="D18" s="42">
        <v>915056</v>
      </c>
    </row>
    <row r="19" spans="1:6" x14ac:dyDescent="0.35">
      <c r="A19" s="22" t="s">
        <v>4630</v>
      </c>
      <c r="B19" s="30"/>
      <c r="C19" s="30"/>
      <c r="D19" s="42">
        <v>13989216</v>
      </c>
      <c r="E19" s="34"/>
      <c r="F19" s="111"/>
    </row>
    <row r="20" spans="1:6" x14ac:dyDescent="0.35">
      <c r="A20" s="22" t="s">
        <v>4631</v>
      </c>
      <c r="B20" s="6">
        <v>32</v>
      </c>
      <c r="C20" s="23">
        <v>0.15</v>
      </c>
      <c r="D20" s="32"/>
    </row>
    <row r="21" spans="1:6" x14ac:dyDescent="0.35">
      <c r="A21" s="22" t="s">
        <v>4632</v>
      </c>
      <c r="B21" s="33"/>
      <c r="C21" s="23">
        <v>0.4</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A8917-B590-4ADC-817E-1C181830644C}">
  <sheetPr codeName="Sheet17"/>
  <dimension ref="A1:M33"/>
  <sheetViews>
    <sheetView zoomScale="90" zoomScaleNormal="90" workbookViewId="0">
      <selection activeCell="B5" sqref="B5"/>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868</v>
      </c>
      <c r="C2" s="19">
        <f>B2/$B$7</f>
        <v>0.92834224598930482</v>
      </c>
      <c r="D2" s="20">
        <f>SUM(D3:D5)</f>
        <v>36155152</v>
      </c>
      <c r="E2" s="21">
        <f t="shared" ref="E2:E7" si="0">D2/B2</f>
        <v>41653.400921658984</v>
      </c>
      <c r="G2" s="82" t="s">
        <v>4599</v>
      </c>
      <c r="H2" s="83">
        <v>408</v>
      </c>
      <c r="I2" s="84">
        <f>H2/$H$12</f>
        <v>0.43636363636363634</v>
      </c>
      <c r="J2" s="85"/>
      <c r="K2" s="86">
        <f>L2/$L$12</f>
        <v>0.45588235294117646</v>
      </c>
      <c r="L2" s="83">
        <f t="shared" ref="L2:L9" si="1">H2-H3</f>
        <v>186</v>
      </c>
      <c r="M2" s="87" t="s">
        <v>4600</v>
      </c>
    </row>
    <row r="3" spans="1:13" x14ac:dyDescent="0.35">
      <c r="A3" s="22" t="s">
        <v>13</v>
      </c>
      <c r="B3" s="6">
        <v>727</v>
      </c>
      <c r="C3" s="19">
        <f>B3/$B$7</f>
        <v>0.7775401069518717</v>
      </c>
      <c r="D3" s="24">
        <v>31297652</v>
      </c>
      <c r="E3" s="21">
        <f t="shared" si="0"/>
        <v>43050.415405777167</v>
      </c>
      <c r="F3" s="37"/>
      <c r="G3" s="66" t="s">
        <v>4601</v>
      </c>
      <c r="H3" s="65">
        <v>222</v>
      </c>
      <c r="I3" s="75">
        <f t="shared" ref="I3:I11" si="2">H3/$H$12</f>
        <v>0.2374331550802139</v>
      </c>
      <c r="J3" s="77"/>
      <c r="K3" s="72">
        <f t="shared" ref="K3:K11" si="3">L3/$L$12</f>
        <v>0.24509803921568626</v>
      </c>
      <c r="L3" s="65">
        <f t="shared" si="1"/>
        <v>100</v>
      </c>
      <c r="M3" s="69" t="s">
        <v>4602</v>
      </c>
    </row>
    <row r="4" spans="1:13" x14ac:dyDescent="0.35">
      <c r="A4" s="22" t="s">
        <v>55</v>
      </c>
      <c r="B4" s="6">
        <v>26</v>
      </c>
      <c r="C4" s="19">
        <f>B4/$B$7</f>
        <v>2.7807486631016044E-2</v>
      </c>
      <c r="D4" s="24">
        <v>602000</v>
      </c>
      <c r="E4" s="21">
        <f t="shared" si="0"/>
        <v>23153.846153846152</v>
      </c>
      <c r="G4" s="88" t="s">
        <v>4603</v>
      </c>
      <c r="H4" s="89">
        <v>122</v>
      </c>
      <c r="I4" s="90">
        <f t="shared" si="2"/>
        <v>0.1304812834224599</v>
      </c>
      <c r="J4" s="85"/>
      <c r="K4" s="91">
        <f t="shared" si="3"/>
        <v>0.125</v>
      </c>
      <c r="L4" s="89">
        <f t="shared" si="1"/>
        <v>51</v>
      </c>
      <c r="M4" s="92" t="s">
        <v>4604</v>
      </c>
    </row>
    <row r="5" spans="1:13" x14ac:dyDescent="0.35">
      <c r="A5" s="22" t="s">
        <v>70</v>
      </c>
      <c r="B5" s="6">
        <v>115</v>
      </c>
      <c r="C5" s="19">
        <f>B5/$B$7</f>
        <v>0.12299465240641712</v>
      </c>
      <c r="D5" s="24">
        <v>4255500</v>
      </c>
      <c r="E5" s="21">
        <f t="shared" si="0"/>
        <v>37004.34782608696</v>
      </c>
      <c r="F5" s="37"/>
      <c r="G5" s="66" t="s">
        <v>4605</v>
      </c>
      <c r="H5" s="65">
        <v>71</v>
      </c>
      <c r="I5" s="75">
        <f t="shared" si="2"/>
        <v>7.5935828877005354E-2</v>
      </c>
      <c r="J5" s="77"/>
      <c r="K5" s="72">
        <f t="shared" si="3"/>
        <v>6.3725490196078427E-2</v>
      </c>
      <c r="L5" s="65">
        <f t="shared" si="1"/>
        <v>26</v>
      </c>
      <c r="M5" s="69" t="s">
        <v>4606</v>
      </c>
    </row>
    <row r="6" spans="1:13" x14ac:dyDescent="0.35">
      <c r="A6" s="22" t="s">
        <v>4648</v>
      </c>
      <c r="B6" s="6">
        <v>67</v>
      </c>
      <c r="C6" s="19">
        <f>B6/$B$7</f>
        <v>7.1657754010695185E-2</v>
      </c>
      <c r="D6" s="24">
        <v>412700</v>
      </c>
      <c r="E6" s="21">
        <f t="shared" si="0"/>
        <v>6159.7014925373132</v>
      </c>
      <c r="G6" s="88" t="s">
        <v>4607</v>
      </c>
      <c r="H6" s="89">
        <v>45</v>
      </c>
      <c r="I6" s="90">
        <f t="shared" si="2"/>
        <v>4.8128342245989303E-2</v>
      </c>
      <c r="J6" s="85"/>
      <c r="K6" s="91">
        <f t="shared" si="3"/>
        <v>3.6764705882352942E-2</v>
      </c>
      <c r="L6" s="89">
        <f t="shared" si="1"/>
        <v>15</v>
      </c>
      <c r="M6" s="92" t="s">
        <v>4608</v>
      </c>
    </row>
    <row r="7" spans="1:13" ht="15" thickBot="1" x14ac:dyDescent="0.4">
      <c r="A7" s="55" t="s">
        <v>633</v>
      </c>
      <c r="B7" s="56">
        <f>B2+B6</f>
        <v>935</v>
      </c>
      <c r="C7" s="56"/>
      <c r="D7" s="53">
        <f>D2+D6</f>
        <v>36567852</v>
      </c>
      <c r="E7" s="54">
        <f t="shared" si="0"/>
        <v>39110.002139037431</v>
      </c>
      <c r="G7" s="66" t="s">
        <v>4609</v>
      </c>
      <c r="H7" s="65">
        <v>30</v>
      </c>
      <c r="I7" s="75">
        <f t="shared" si="2"/>
        <v>3.2085561497326207E-2</v>
      </c>
      <c r="J7" s="77"/>
      <c r="K7" s="72">
        <f t="shared" si="3"/>
        <v>3.6764705882352942E-2</v>
      </c>
      <c r="L7" s="65">
        <f t="shared" si="1"/>
        <v>15</v>
      </c>
      <c r="M7" s="69" t="s">
        <v>4610</v>
      </c>
    </row>
    <row r="8" spans="1:13" ht="15" thickBot="1" x14ac:dyDescent="0.4">
      <c r="G8" s="88" t="s">
        <v>4611</v>
      </c>
      <c r="H8" s="89">
        <v>15</v>
      </c>
      <c r="I8" s="90">
        <f t="shared" si="2"/>
        <v>1.6042780748663103E-2</v>
      </c>
      <c r="J8" s="85"/>
      <c r="K8" s="91">
        <f t="shared" si="3"/>
        <v>1.4705882352941176E-2</v>
      </c>
      <c r="L8" s="89">
        <f t="shared" si="1"/>
        <v>6</v>
      </c>
      <c r="M8" s="92" t="s">
        <v>4612</v>
      </c>
    </row>
    <row r="9" spans="1:13" x14ac:dyDescent="0.35">
      <c r="A9" s="29" t="s">
        <v>4615</v>
      </c>
      <c r="B9" s="13" t="s">
        <v>4592</v>
      </c>
      <c r="C9" s="100" t="s">
        <v>4593</v>
      </c>
      <c r="G9" s="66" t="s">
        <v>4613</v>
      </c>
      <c r="H9" s="65">
        <v>9</v>
      </c>
      <c r="I9" s="75">
        <f t="shared" si="2"/>
        <v>9.6256684491978616E-3</v>
      </c>
      <c r="J9" s="77"/>
      <c r="K9" s="72">
        <f t="shared" si="3"/>
        <v>9.8039215686274508E-3</v>
      </c>
      <c r="L9" s="65">
        <f t="shared" si="1"/>
        <v>4</v>
      </c>
      <c r="M9" s="69" t="s">
        <v>4614</v>
      </c>
    </row>
    <row r="10" spans="1:13" x14ac:dyDescent="0.35">
      <c r="A10" s="17" t="s">
        <v>4618</v>
      </c>
      <c r="B10" s="6">
        <v>3</v>
      </c>
      <c r="C10" s="31"/>
      <c r="G10" s="88" t="s">
        <v>4616</v>
      </c>
      <c r="H10" s="89">
        <v>5</v>
      </c>
      <c r="I10" s="90">
        <f t="shared" si="2"/>
        <v>5.3475935828877002E-3</v>
      </c>
      <c r="J10" s="85"/>
      <c r="K10" s="91">
        <f t="shared" si="3"/>
        <v>4.9019607843137254E-3</v>
      </c>
      <c r="L10" s="89">
        <v>2</v>
      </c>
      <c r="M10" s="92" t="s">
        <v>4617</v>
      </c>
    </row>
    <row r="11" spans="1:13" ht="15" thickBot="1" x14ac:dyDescent="0.4">
      <c r="A11" s="101" t="s">
        <v>4621</v>
      </c>
      <c r="B11" s="26">
        <v>457</v>
      </c>
      <c r="C11" s="104">
        <f>B11/1077</f>
        <v>0.4243268337975859</v>
      </c>
      <c r="G11" s="67" t="s">
        <v>4619</v>
      </c>
      <c r="H11" s="74">
        <v>8</v>
      </c>
      <c r="I11" s="76">
        <f t="shared" si="2"/>
        <v>8.5561497326203211E-3</v>
      </c>
      <c r="J11" s="77"/>
      <c r="K11" s="73">
        <f t="shared" si="3"/>
        <v>7.3529411764705881E-3</v>
      </c>
      <c r="L11" s="74">
        <v>3</v>
      </c>
      <c r="M11" s="70" t="s">
        <v>4620</v>
      </c>
    </row>
    <row r="12" spans="1:13" ht="15" thickBot="1" x14ac:dyDescent="0.4">
      <c r="A12" s="103" t="s">
        <v>4624</v>
      </c>
      <c r="G12" s="93" t="s">
        <v>4622</v>
      </c>
      <c r="H12" s="78">
        <f>SUM(H2:H11)</f>
        <v>935</v>
      </c>
      <c r="I12" s="79">
        <f>SUM(I2:I11)</f>
        <v>1</v>
      </c>
      <c r="J12" s="71"/>
      <c r="K12" s="80">
        <f>SUM(K2:K11)</f>
        <v>0.99999999999999978</v>
      </c>
      <c r="L12" s="117">
        <f>SUM(L2:L11)</f>
        <v>408</v>
      </c>
      <c r="M12" s="118" t="s">
        <v>4623</v>
      </c>
    </row>
    <row r="13" spans="1:13" ht="15" thickBot="1" x14ac:dyDescent="0.4">
      <c r="E13" s="37"/>
      <c r="L13" s="119">
        <f>L12/1077</f>
        <v>0.37883008356545961</v>
      </c>
      <c r="M13" s="120" t="s">
        <v>4625</v>
      </c>
    </row>
    <row r="14" spans="1:13" x14ac:dyDescent="0.35">
      <c r="A14" s="29" t="s">
        <v>4626</v>
      </c>
      <c r="B14" s="13" t="s">
        <v>4592</v>
      </c>
      <c r="C14" s="13" t="s">
        <v>4593</v>
      </c>
      <c r="D14" s="15" t="s">
        <v>4594</v>
      </c>
    </row>
    <row r="15" spans="1:13" x14ac:dyDescent="0.35">
      <c r="A15" s="22" t="s">
        <v>4627</v>
      </c>
      <c r="B15" s="6">
        <v>210</v>
      </c>
      <c r="C15" s="30"/>
      <c r="D15" s="31"/>
    </row>
    <row r="16" spans="1:13" x14ac:dyDescent="0.35">
      <c r="A16" s="22" t="s">
        <v>4626</v>
      </c>
      <c r="B16" s="30"/>
      <c r="C16" s="52">
        <v>0.96211257043128395</v>
      </c>
      <c r="D16" s="42">
        <v>23701185.673</v>
      </c>
    </row>
    <row r="17" spans="1:6" x14ac:dyDescent="0.35">
      <c r="A17" s="22" t="s">
        <v>4628</v>
      </c>
      <c r="B17" s="30"/>
      <c r="C17" s="34">
        <v>3.7887429568716019E-2</v>
      </c>
      <c r="D17" s="42">
        <v>933338.81135999982</v>
      </c>
      <c r="F17" s="34"/>
    </row>
    <row r="18" spans="1:6" x14ac:dyDescent="0.35">
      <c r="A18" s="22" t="s">
        <v>4629</v>
      </c>
      <c r="B18" s="30"/>
      <c r="C18" s="23">
        <v>7.6630810466497307E-2</v>
      </c>
      <c r="D18" s="42">
        <v>985983.06863999995</v>
      </c>
    </row>
    <row r="19" spans="1:6" x14ac:dyDescent="0.35">
      <c r="A19" s="22" t="s">
        <v>4630</v>
      </c>
      <c r="B19" s="30"/>
      <c r="C19" s="30"/>
      <c r="D19" s="42">
        <v>12866666.327</v>
      </c>
      <c r="E19" s="34"/>
      <c r="F19" s="111"/>
    </row>
    <row r="20" spans="1:6" x14ac:dyDescent="0.35">
      <c r="A20" s="22" t="s">
        <v>4631</v>
      </c>
      <c r="B20" s="6">
        <v>33</v>
      </c>
      <c r="C20" s="23">
        <v>0.15709999999999999</v>
      </c>
      <c r="D20" s="32"/>
    </row>
    <row r="21" spans="1:6" x14ac:dyDescent="0.35">
      <c r="A21" s="22" t="s">
        <v>4632</v>
      </c>
      <c r="B21" s="33"/>
      <c r="C21" s="23">
        <v>0.4</v>
      </c>
      <c r="D21" s="32"/>
    </row>
    <row r="22" spans="1:6" ht="15" thickBot="1" x14ac:dyDescent="0.4">
      <c r="A22" s="25" t="s">
        <v>4633</v>
      </c>
      <c r="B22" s="26">
        <v>14</v>
      </c>
      <c r="C22" s="36">
        <v>3.8999999999999998E-3</v>
      </c>
      <c r="D22" s="28">
        <v>50706.66</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4BA1B-77F0-4CBB-91CB-CA5AAD12F9DA}">
  <sheetPr codeName="Sheet18"/>
  <dimension ref="A1:M33"/>
  <sheetViews>
    <sheetView topLeftCell="A3" zoomScale="90" zoomScaleNormal="90" workbookViewId="0">
      <selection activeCell="G18" sqref="G18"/>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857</v>
      </c>
      <c r="C2" s="19">
        <f>B2/$B$7</f>
        <v>0.92849404117009748</v>
      </c>
      <c r="D2" s="20">
        <f>SUM(D3:D5)</f>
        <v>34745152</v>
      </c>
      <c r="E2" s="21">
        <f t="shared" ref="E2:E7" si="0">D2/B2</f>
        <v>40542.76779463244</v>
      </c>
      <c r="G2" s="82" t="s">
        <v>4599</v>
      </c>
      <c r="H2" s="83">
        <v>405</v>
      </c>
      <c r="I2" s="84">
        <f>H2/$H$12</f>
        <v>0.43878656554712892</v>
      </c>
      <c r="J2" s="85"/>
      <c r="K2" s="86">
        <f>L2/$L$12</f>
        <v>0.4567901234567901</v>
      </c>
      <c r="L2" s="83">
        <f t="shared" ref="L2:L9" si="1">H2-H3</f>
        <v>185</v>
      </c>
      <c r="M2" s="87" t="s">
        <v>4600</v>
      </c>
    </row>
    <row r="3" spans="1:13" x14ac:dyDescent="0.35">
      <c r="A3" s="22" t="s">
        <v>13</v>
      </c>
      <c r="B3" s="6">
        <v>716</v>
      </c>
      <c r="C3" s="19">
        <f>B3/$B$7</f>
        <v>0.77573131094257852</v>
      </c>
      <c r="D3" s="24">
        <v>29887652</v>
      </c>
      <c r="E3" s="21">
        <f t="shared" si="0"/>
        <v>41742.530726256984</v>
      </c>
      <c r="F3" s="37"/>
      <c r="G3" s="66" t="s">
        <v>4601</v>
      </c>
      <c r="H3" s="65">
        <v>220</v>
      </c>
      <c r="I3" s="75">
        <f t="shared" ref="I3:I11" si="2">H3/$H$12</f>
        <v>0.23835319609967498</v>
      </c>
      <c r="J3" s="77"/>
      <c r="K3" s="72">
        <f t="shared" ref="K3:K11" si="3">L3/$L$12</f>
        <v>0.24938271604938272</v>
      </c>
      <c r="L3" s="65">
        <f t="shared" si="1"/>
        <v>101</v>
      </c>
      <c r="M3" s="69" t="s">
        <v>4602</v>
      </c>
    </row>
    <row r="4" spans="1:13" x14ac:dyDescent="0.35">
      <c r="A4" s="22" t="s">
        <v>55</v>
      </c>
      <c r="B4" s="6">
        <v>26</v>
      </c>
      <c r="C4" s="19">
        <f>B4/$B$7</f>
        <v>2.8169014084507043E-2</v>
      </c>
      <c r="D4" s="24">
        <v>602000</v>
      </c>
      <c r="E4" s="21">
        <f t="shared" si="0"/>
        <v>23153.846153846152</v>
      </c>
      <c r="G4" s="88" t="s">
        <v>4603</v>
      </c>
      <c r="H4" s="89">
        <v>119</v>
      </c>
      <c r="I4" s="90">
        <f t="shared" si="2"/>
        <v>0.12892741061755147</v>
      </c>
      <c r="J4" s="85"/>
      <c r="K4" s="91">
        <f t="shared" si="3"/>
        <v>0.12345679012345678</v>
      </c>
      <c r="L4" s="89">
        <f t="shared" si="1"/>
        <v>50</v>
      </c>
      <c r="M4" s="92" t="s">
        <v>4604</v>
      </c>
    </row>
    <row r="5" spans="1:13" x14ac:dyDescent="0.35">
      <c r="A5" s="22" t="s">
        <v>70</v>
      </c>
      <c r="B5" s="6">
        <v>115</v>
      </c>
      <c r="C5" s="19">
        <f>B5/$B$7</f>
        <v>0.12459371614301191</v>
      </c>
      <c r="D5" s="24">
        <v>4255500</v>
      </c>
      <c r="E5" s="21">
        <f t="shared" si="0"/>
        <v>37004.34782608696</v>
      </c>
      <c r="F5" s="37"/>
      <c r="G5" s="66" t="s">
        <v>4605</v>
      </c>
      <c r="H5" s="65">
        <v>69</v>
      </c>
      <c r="I5" s="75">
        <f t="shared" si="2"/>
        <v>7.4756229685807155E-2</v>
      </c>
      <c r="J5" s="77"/>
      <c r="K5" s="72">
        <f t="shared" si="3"/>
        <v>6.1728395061728392E-2</v>
      </c>
      <c r="L5" s="65">
        <f t="shared" si="1"/>
        <v>25</v>
      </c>
      <c r="M5" s="69" t="s">
        <v>4606</v>
      </c>
    </row>
    <row r="6" spans="1:13" x14ac:dyDescent="0.35">
      <c r="A6" s="22" t="s">
        <v>4648</v>
      </c>
      <c r="B6" s="6">
        <v>66</v>
      </c>
      <c r="C6" s="19">
        <f>B6/$B$7</f>
        <v>7.1505958829902488E-2</v>
      </c>
      <c r="D6" s="24">
        <v>397700</v>
      </c>
      <c r="E6" s="21">
        <f t="shared" si="0"/>
        <v>6025.757575757576</v>
      </c>
      <c r="G6" s="88" t="s">
        <v>4607</v>
      </c>
      <c r="H6" s="89">
        <v>44</v>
      </c>
      <c r="I6" s="90">
        <f t="shared" si="2"/>
        <v>4.7670639219934995E-2</v>
      </c>
      <c r="J6" s="85"/>
      <c r="K6" s="91">
        <f t="shared" si="3"/>
        <v>3.4567901234567898E-2</v>
      </c>
      <c r="L6" s="89">
        <f t="shared" si="1"/>
        <v>14</v>
      </c>
      <c r="M6" s="92" t="s">
        <v>4608</v>
      </c>
    </row>
    <row r="7" spans="1:13" ht="15" thickBot="1" x14ac:dyDescent="0.4">
      <c r="A7" s="55" t="s">
        <v>633</v>
      </c>
      <c r="B7" s="56">
        <f>B2+B6</f>
        <v>923</v>
      </c>
      <c r="C7" s="56"/>
      <c r="D7" s="53">
        <f>D2+D6</f>
        <v>35142852</v>
      </c>
      <c r="E7" s="54">
        <f t="shared" si="0"/>
        <v>38074.595882990252</v>
      </c>
      <c r="G7" s="66" t="s">
        <v>4609</v>
      </c>
      <c r="H7" s="65">
        <v>30</v>
      </c>
      <c r="I7" s="75">
        <f t="shared" si="2"/>
        <v>3.2502708559046585E-2</v>
      </c>
      <c r="J7" s="77"/>
      <c r="K7" s="72">
        <f t="shared" si="3"/>
        <v>3.9506172839506172E-2</v>
      </c>
      <c r="L7" s="65">
        <f t="shared" si="1"/>
        <v>16</v>
      </c>
      <c r="M7" s="69" t="s">
        <v>4610</v>
      </c>
    </row>
    <row r="8" spans="1:13" ht="15" thickBot="1" x14ac:dyDescent="0.4">
      <c r="G8" s="88" t="s">
        <v>4611</v>
      </c>
      <c r="H8" s="89">
        <v>14</v>
      </c>
      <c r="I8" s="90">
        <f t="shared" si="2"/>
        <v>1.5167930660888408E-2</v>
      </c>
      <c r="J8" s="85"/>
      <c r="K8" s="91">
        <f t="shared" si="3"/>
        <v>1.2345679012345678E-2</v>
      </c>
      <c r="L8" s="89">
        <f t="shared" si="1"/>
        <v>5</v>
      </c>
      <c r="M8" s="92" t="s">
        <v>4612</v>
      </c>
    </row>
    <row r="9" spans="1:13" x14ac:dyDescent="0.35">
      <c r="A9" s="29" t="s">
        <v>4615</v>
      </c>
      <c r="B9" s="13" t="s">
        <v>4592</v>
      </c>
      <c r="C9" s="100" t="s">
        <v>4593</v>
      </c>
      <c r="G9" s="66" t="s">
        <v>4613</v>
      </c>
      <c r="H9" s="65">
        <v>9</v>
      </c>
      <c r="I9" s="75">
        <f t="shared" si="2"/>
        <v>9.7508125677139759E-3</v>
      </c>
      <c r="J9" s="77"/>
      <c r="K9" s="72">
        <f t="shared" si="3"/>
        <v>9.876543209876543E-3</v>
      </c>
      <c r="L9" s="65">
        <f t="shared" si="1"/>
        <v>4</v>
      </c>
      <c r="M9" s="69" t="s">
        <v>4614</v>
      </c>
    </row>
    <row r="10" spans="1:13" x14ac:dyDescent="0.35">
      <c r="A10" s="17" t="s">
        <v>4618</v>
      </c>
      <c r="B10" s="6">
        <v>2</v>
      </c>
      <c r="C10" s="31"/>
      <c r="G10" s="88" t="s">
        <v>4616</v>
      </c>
      <c r="H10" s="89">
        <v>5</v>
      </c>
      <c r="I10" s="90">
        <f t="shared" si="2"/>
        <v>5.4171180931744311E-3</v>
      </c>
      <c r="J10" s="85"/>
      <c r="K10" s="91">
        <f t="shared" si="3"/>
        <v>4.9382716049382715E-3</v>
      </c>
      <c r="L10" s="89">
        <v>2</v>
      </c>
      <c r="M10" s="92" t="s">
        <v>4617</v>
      </c>
    </row>
    <row r="11" spans="1:13" ht="15" thickBot="1" x14ac:dyDescent="0.4">
      <c r="A11" s="101" t="s">
        <v>4621</v>
      </c>
      <c r="B11" s="26">
        <v>454</v>
      </c>
      <c r="C11" s="104">
        <f>B11/1077</f>
        <v>0.42154131847725163</v>
      </c>
      <c r="G11" s="67" t="s">
        <v>4619</v>
      </c>
      <c r="H11" s="74">
        <v>8</v>
      </c>
      <c r="I11" s="76">
        <f t="shared" si="2"/>
        <v>8.6673889490790895E-3</v>
      </c>
      <c r="J11" s="77"/>
      <c r="K11" s="73">
        <f t="shared" si="3"/>
        <v>7.4074074074074077E-3</v>
      </c>
      <c r="L11" s="74">
        <v>3</v>
      </c>
      <c r="M11" s="70" t="s">
        <v>4620</v>
      </c>
    </row>
    <row r="12" spans="1:13" ht="15" thickBot="1" x14ac:dyDescent="0.4">
      <c r="A12" s="103" t="s">
        <v>4624</v>
      </c>
      <c r="G12" s="93" t="s">
        <v>4622</v>
      </c>
      <c r="H12" s="78">
        <f>SUM(H2:H11)</f>
        <v>923</v>
      </c>
      <c r="I12" s="79">
        <f>SUM(I2:I11)</f>
        <v>0.99999999999999989</v>
      </c>
      <c r="J12" s="71"/>
      <c r="K12" s="80">
        <f>SUM(K2:K11)</f>
        <v>0.99999999999999989</v>
      </c>
      <c r="L12" s="117">
        <f>SUM(L2:L11)</f>
        <v>405</v>
      </c>
      <c r="M12" s="118" t="s">
        <v>4623</v>
      </c>
    </row>
    <row r="13" spans="1:13" ht="15" thickBot="1" x14ac:dyDescent="0.4">
      <c r="E13" s="37"/>
      <c r="L13" s="119">
        <f>L12/1077</f>
        <v>0.37604456824512533</v>
      </c>
      <c r="M13" s="120" t="s">
        <v>4625</v>
      </c>
    </row>
    <row r="14" spans="1:13" x14ac:dyDescent="0.35">
      <c r="A14" s="29" t="s">
        <v>4626</v>
      </c>
      <c r="B14" s="13" t="s">
        <v>4592</v>
      </c>
      <c r="C14" s="13" t="s">
        <v>4593</v>
      </c>
      <c r="D14" s="15" t="s">
        <v>4594</v>
      </c>
    </row>
    <row r="15" spans="1:13" x14ac:dyDescent="0.35">
      <c r="A15" s="22" t="s">
        <v>4627</v>
      </c>
      <c r="B15" s="6">
        <v>209</v>
      </c>
      <c r="C15" s="30"/>
      <c r="D15" s="31"/>
    </row>
    <row r="16" spans="1:13" x14ac:dyDescent="0.35">
      <c r="A16" s="22" t="s">
        <v>4626</v>
      </c>
      <c r="B16" s="30"/>
      <c r="C16" s="52">
        <v>0.96</v>
      </c>
      <c r="D16" s="42">
        <v>23266561</v>
      </c>
    </row>
    <row r="17" spans="1:6" x14ac:dyDescent="0.35">
      <c r="A17" s="22" t="s">
        <v>4628</v>
      </c>
      <c r="B17" s="30"/>
      <c r="C17" s="34">
        <v>0.04</v>
      </c>
      <c r="D17" s="42">
        <v>967729</v>
      </c>
      <c r="F17" s="34"/>
    </row>
    <row r="18" spans="1:6" x14ac:dyDescent="0.35">
      <c r="A18" s="22" t="s">
        <v>4629</v>
      </c>
      <c r="B18" s="30"/>
      <c r="C18" s="23">
        <v>0.09</v>
      </c>
      <c r="D18" s="42">
        <v>1022313</v>
      </c>
    </row>
    <row r="19" spans="1:6" x14ac:dyDescent="0.35">
      <c r="A19" s="22" t="s">
        <v>4630</v>
      </c>
      <c r="B19" s="30"/>
      <c r="C19" s="30"/>
      <c r="D19" s="42">
        <v>11876291</v>
      </c>
      <c r="E19" s="34"/>
      <c r="F19" s="111"/>
    </row>
    <row r="20" spans="1:6" x14ac:dyDescent="0.35">
      <c r="A20" s="22" t="s">
        <v>4631</v>
      </c>
      <c r="B20" s="6">
        <v>32</v>
      </c>
      <c r="C20" s="23">
        <v>0.15</v>
      </c>
      <c r="D20" s="32"/>
    </row>
    <row r="21" spans="1:6" x14ac:dyDescent="0.35">
      <c r="A21" s="22" t="s">
        <v>4632</v>
      </c>
      <c r="B21" s="33"/>
      <c r="C21" s="23">
        <v>0.4</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D34A-44E5-43A2-ACF9-FEDF1B2012D1}">
  <sheetPr codeName="Sheet19"/>
  <dimension ref="A1:M33"/>
  <sheetViews>
    <sheetView topLeftCell="A12" zoomScale="90" zoomScaleNormal="90" workbookViewId="0">
      <selection activeCell="K16" sqref="K16"/>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850</v>
      </c>
      <c r="C2" s="19">
        <f>B2/$B$7</f>
        <v>0.92794759825327511</v>
      </c>
      <c r="D2" s="20">
        <f>SUM(D3:D5)</f>
        <v>33795152</v>
      </c>
      <c r="E2" s="21">
        <f t="shared" ref="E2:E7" si="0">D2/B2</f>
        <v>39759.002352941177</v>
      </c>
      <c r="G2" s="82" t="s">
        <v>4599</v>
      </c>
      <c r="H2" s="83">
        <v>404</v>
      </c>
      <c r="I2" s="84">
        <f>H2/$H$12</f>
        <v>0.44104803493449779</v>
      </c>
      <c r="J2" s="85"/>
      <c r="K2" s="86">
        <f>L2/$L$12</f>
        <v>0.46039603960396042</v>
      </c>
      <c r="L2" s="83">
        <f t="shared" ref="L2:L9" si="1">H2-H3</f>
        <v>186</v>
      </c>
      <c r="M2" s="87" t="s">
        <v>4600</v>
      </c>
    </row>
    <row r="3" spans="1:13" x14ac:dyDescent="0.35">
      <c r="A3" s="22" t="s">
        <v>13</v>
      </c>
      <c r="B3" s="6">
        <v>709</v>
      </c>
      <c r="C3" s="19">
        <f>B3/$B$7</f>
        <v>0.7740174672489083</v>
      </c>
      <c r="D3" s="24">
        <v>28937652</v>
      </c>
      <c r="E3" s="21">
        <f t="shared" si="0"/>
        <v>40814.741889985897</v>
      </c>
      <c r="F3" s="37"/>
      <c r="G3" s="66" t="s">
        <v>4601</v>
      </c>
      <c r="H3" s="65">
        <v>218</v>
      </c>
      <c r="I3" s="75">
        <f t="shared" ref="I3:I11" si="2">H3/$H$12</f>
        <v>0.23799126637554585</v>
      </c>
      <c r="J3" s="77"/>
      <c r="K3" s="72">
        <f t="shared" ref="K3:K11" si="3">L3/$L$12</f>
        <v>0.25</v>
      </c>
      <c r="L3" s="65">
        <f t="shared" si="1"/>
        <v>101</v>
      </c>
      <c r="M3" s="69" t="s">
        <v>4602</v>
      </c>
    </row>
    <row r="4" spans="1:13" x14ac:dyDescent="0.35">
      <c r="A4" s="22" t="s">
        <v>55</v>
      </c>
      <c r="B4" s="6">
        <v>26</v>
      </c>
      <c r="C4" s="19">
        <f>B4/$B$7</f>
        <v>2.8384279475982533E-2</v>
      </c>
      <c r="D4" s="24">
        <v>602000</v>
      </c>
      <c r="E4" s="21">
        <f t="shared" si="0"/>
        <v>23153.846153846152</v>
      </c>
      <c r="G4" s="88" t="s">
        <v>4603</v>
      </c>
      <c r="H4" s="89">
        <v>117</v>
      </c>
      <c r="I4" s="90">
        <f t="shared" si="2"/>
        <v>0.12772925764192139</v>
      </c>
      <c r="J4" s="85"/>
      <c r="K4" s="91">
        <f t="shared" si="3"/>
        <v>0.11881188118811881</v>
      </c>
      <c r="L4" s="89">
        <f t="shared" si="1"/>
        <v>48</v>
      </c>
      <c r="M4" s="92" t="s">
        <v>4604</v>
      </c>
    </row>
    <row r="5" spans="1:13" x14ac:dyDescent="0.35">
      <c r="A5" s="22" t="s">
        <v>70</v>
      </c>
      <c r="B5" s="6">
        <v>115</v>
      </c>
      <c r="C5" s="19">
        <f>B5/$B$7</f>
        <v>0.12554585152838427</v>
      </c>
      <c r="D5" s="24">
        <v>4255500</v>
      </c>
      <c r="E5" s="21">
        <f t="shared" si="0"/>
        <v>37004.34782608696</v>
      </c>
      <c r="F5" s="37"/>
      <c r="G5" s="66" t="s">
        <v>4605</v>
      </c>
      <c r="H5" s="65">
        <v>69</v>
      </c>
      <c r="I5" s="75">
        <f t="shared" si="2"/>
        <v>7.5327510917030563E-2</v>
      </c>
      <c r="J5" s="77"/>
      <c r="K5" s="72">
        <f t="shared" si="3"/>
        <v>6.1881188118811881E-2</v>
      </c>
      <c r="L5" s="65">
        <f t="shared" si="1"/>
        <v>25</v>
      </c>
      <c r="M5" s="69" t="s">
        <v>4606</v>
      </c>
    </row>
    <row r="6" spans="1:13" x14ac:dyDescent="0.35">
      <c r="A6" s="22" t="s">
        <v>4648</v>
      </c>
      <c r="B6" s="6">
        <v>66</v>
      </c>
      <c r="C6" s="19">
        <f>B6/$B$7</f>
        <v>7.2052401746724892E-2</v>
      </c>
      <c r="D6" s="24">
        <v>397700</v>
      </c>
      <c r="E6" s="21">
        <f t="shared" si="0"/>
        <v>6025.757575757576</v>
      </c>
      <c r="G6" s="88" t="s">
        <v>4607</v>
      </c>
      <c r="H6" s="89">
        <v>44</v>
      </c>
      <c r="I6" s="90">
        <f t="shared" si="2"/>
        <v>4.8034934497816595E-2</v>
      </c>
      <c r="J6" s="85"/>
      <c r="K6" s="91">
        <f t="shared" si="3"/>
        <v>3.4653465346534656E-2</v>
      </c>
      <c r="L6" s="89">
        <f t="shared" si="1"/>
        <v>14</v>
      </c>
      <c r="M6" s="92" t="s">
        <v>4608</v>
      </c>
    </row>
    <row r="7" spans="1:13" ht="15" thickBot="1" x14ac:dyDescent="0.4">
      <c r="A7" s="55" t="s">
        <v>633</v>
      </c>
      <c r="B7" s="56">
        <f>B2+B6</f>
        <v>916</v>
      </c>
      <c r="C7" s="56"/>
      <c r="D7" s="53">
        <f>D2+D6</f>
        <v>34192852</v>
      </c>
      <c r="E7" s="54">
        <f t="shared" si="0"/>
        <v>37328.441048034932</v>
      </c>
      <c r="G7" s="66" t="s">
        <v>4609</v>
      </c>
      <c r="H7" s="65">
        <v>30</v>
      </c>
      <c r="I7" s="75">
        <f t="shared" si="2"/>
        <v>3.2751091703056769E-2</v>
      </c>
      <c r="J7" s="77"/>
      <c r="K7" s="72">
        <f t="shared" si="3"/>
        <v>4.2079207920792082E-2</v>
      </c>
      <c r="L7" s="65">
        <f t="shared" si="1"/>
        <v>17</v>
      </c>
      <c r="M7" s="69" t="s">
        <v>4610</v>
      </c>
    </row>
    <row r="8" spans="1:13" ht="15" thickBot="1" x14ac:dyDescent="0.4">
      <c r="G8" s="88" t="s">
        <v>4611</v>
      </c>
      <c r="H8" s="89">
        <v>13</v>
      </c>
      <c r="I8" s="90">
        <f t="shared" si="2"/>
        <v>1.4192139737991267E-2</v>
      </c>
      <c r="J8" s="85"/>
      <c r="K8" s="91">
        <f t="shared" si="3"/>
        <v>9.9009900990099011E-3</v>
      </c>
      <c r="L8" s="89">
        <f t="shared" si="1"/>
        <v>4</v>
      </c>
      <c r="M8" s="92" t="s">
        <v>4612</v>
      </c>
    </row>
    <row r="9" spans="1:13" x14ac:dyDescent="0.35">
      <c r="A9" s="29" t="s">
        <v>4615</v>
      </c>
      <c r="B9" s="13" t="s">
        <v>4592</v>
      </c>
      <c r="C9" s="100" t="s">
        <v>4593</v>
      </c>
      <c r="G9" s="66" t="s">
        <v>4613</v>
      </c>
      <c r="H9" s="65">
        <v>9</v>
      </c>
      <c r="I9" s="75">
        <f t="shared" si="2"/>
        <v>9.8253275109170309E-3</v>
      </c>
      <c r="J9" s="77"/>
      <c r="K9" s="72">
        <f t="shared" si="3"/>
        <v>9.9009900990099011E-3</v>
      </c>
      <c r="L9" s="65">
        <f t="shared" si="1"/>
        <v>4</v>
      </c>
      <c r="M9" s="69" t="s">
        <v>4614</v>
      </c>
    </row>
    <row r="10" spans="1:13" x14ac:dyDescent="0.35">
      <c r="A10" s="17" t="s">
        <v>4618</v>
      </c>
      <c r="B10" s="6">
        <v>3</v>
      </c>
      <c r="C10" s="31"/>
      <c r="G10" s="88" t="s">
        <v>4616</v>
      </c>
      <c r="H10" s="89">
        <v>5</v>
      </c>
      <c r="I10" s="90">
        <f t="shared" si="2"/>
        <v>5.4585152838427945E-3</v>
      </c>
      <c r="J10" s="85"/>
      <c r="K10" s="91">
        <f t="shared" si="3"/>
        <v>4.9504950495049506E-3</v>
      </c>
      <c r="L10" s="89">
        <v>2</v>
      </c>
      <c r="M10" s="92" t="s">
        <v>4617</v>
      </c>
    </row>
    <row r="11" spans="1:13" ht="15" thickBot="1" x14ac:dyDescent="0.4">
      <c r="A11" s="101" t="s">
        <v>4621</v>
      </c>
      <c r="B11" s="26">
        <v>452</v>
      </c>
      <c r="C11" s="104">
        <f>B11/1077</f>
        <v>0.41968430826369546</v>
      </c>
      <c r="G11" s="67" t="s">
        <v>4619</v>
      </c>
      <c r="H11" s="74">
        <v>7</v>
      </c>
      <c r="I11" s="76">
        <f t="shared" si="2"/>
        <v>7.6419213973799123E-3</v>
      </c>
      <c r="J11" s="77"/>
      <c r="K11" s="73">
        <f t="shared" si="3"/>
        <v>7.4257425742574254E-3</v>
      </c>
      <c r="L11" s="74">
        <v>3</v>
      </c>
      <c r="M11" s="70" t="s">
        <v>4620</v>
      </c>
    </row>
    <row r="12" spans="1:13" ht="15" thickBot="1" x14ac:dyDescent="0.4">
      <c r="A12" s="103" t="s">
        <v>4624</v>
      </c>
      <c r="G12" s="93" t="s">
        <v>4622</v>
      </c>
      <c r="H12" s="78">
        <f>SUM(H2:H11)</f>
        <v>916</v>
      </c>
      <c r="I12" s="79">
        <f>SUM(I2:I11)</f>
        <v>1</v>
      </c>
      <c r="J12" s="71"/>
      <c r="K12" s="80">
        <f>SUM(K2:K11)</f>
        <v>1</v>
      </c>
      <c r="L12" s="117">
        <f>SUM(L2:L11)</f>
        <v>404</v>
      </c>
      <c r="M12" s="118" t="s">
        <v>4623</v>
      </c>
    </row>
    <row r="13" spans="1:13" ht="15" thickBot="1" x14ac:dyDescent="0.4">
      <c r="E13" s="37"/>
      <c r="L13" s="119">
        <f>L12/1077</f>
        <v>0.37511606313834728</v>
      </c>
      <c r="M13" s="120" t="s">
        <v>4625</v>
      </c>
    </row>
    <row r="14" spans="1:13" x14ac:dyDescent="0.35">
      <c r="A14" s="29" t="s">
        <v>4626</v>
      </c>
      <c r="B14" s="13" t="s">
        <v>4592</v>
      </c>
      <c r="C14" s="13" t="s">
        <v>4593</v>
      </c>
      <c r="D14" s="15" t="s">
        <v>4594</v>
      </c>
    </row>
    <row r="15" spans="1:13" x14ac:dyDescent="0.35">
      <c r="A15" s="22" t="s">
        <v>4627</v>
      </c>
      <c r="B15" s="6">
        <v>206</v>
      </c>
      <c r="C15" s="30"/>
      <c r="D15" s="31"/>
    </row>
    <row r="16" spans="1:13" x14ac:dyDescent="0.35">
      <c r="A16" s="22" t="s">
        <v>4626</v>
      </c>
      <c r="B16" s="30"/>
      <c r="C16" s="52">
        <v>0.96</v>
      </c>
      <c r="D16" s="42">
        <v>22976811</v>
      </c>
    </row>
    <row r="17" spans="1:6" x14ac:dyDescent="0.35">
      <c r="A17" s="22" t="s">
        <v>4628</v>
      </c>
      <c r="B17" s="30"/>
      <c r="C17" s="34">
        <v>0.04</v>
      </c>
      <c r="D17" s="42">
        <v>869921</v>
      </c>
      <c r="E17" s="34"/>
      <c r="F17" s="34"/>
    </row>
    <row r="18" spans="1:6" x14ac:dyDescent="0.35">
      <c r="A18" s="22" t="s">
        <v>4629</v>
      </c>
      <c r="B18" s="30"/>
      <c r="C18" s="23">
        <v>0.08</v>
      </c>
      <c r="D18" s="42">
        <v>918988</v>
      </c>
      <c r="E18" s="34"/>
    </row>
    <row r="19" spans="1:6" x14ac:dyDescent="0.35">
      <c r="A19" s="22" t="s">
        <v>4630</v>
      </c>
      <c r="B19" s="30"/>
      <c r="C19" s="30"/>
      <c r="D19" s="42">
        <v>11216041</v>
      </c>
      <c r="E19" s="34"/>
      <c r="F19" s="111"/>
    </row>
    <row r="20" spans="1:6" x14ac:dyDescent="0.35">
      <c r="A20" s="22" t="s">
        <v>4631</v>
      </c>
      <c r="B20" s="6">
        <v>30</v>
      </c>
      <c r="C20" s="23">
        <v>0.15</v>
      </c>
      <c r="D20" s="32"/>
    </row>
    <row r="21" spans="1:6" x14ac:dyDescent="0.35">
      <c r="A21" s="22" t="s">
        <v>4632</v>
      </c>
      <c r="B21" s="33"/>
      <c r="C21" s="23">
        <v>0.39</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7207D-B3BA-417E-B5DF-4E70FE07802C}">
  <sheetPr codeName="Sheet20"/>
  <dimension ref="A1:M33"/>
  <sheetViews>
    <sheetView topLeftCell="A9" zoomScale="90" zoomScaleNormal="90" workbookViewId="0">
      <selection activeCell="H16" sqref="H16"/>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843</v>
      </c>
      <c r="C2" s="19">
        <f>B2/$B$7</f>
        <v>0.9273927392739274</v>
      </c>
      <c r="D2" s="20">
        <f>SUM(D3:D5)</f>
        <v>32970152</v>
      </c>
      <c r="E2" s="21">
        <f t="shared" ref="E2:E7" si="0">D2/B2</f>
        <v>39110.50059311981</v>
      </c>
      <c r="G2" s="82" t="s">
        <v>4599</v>
      </c>
      <c r="H2" s="83">
        <v>401</v>
      </c>
      <c r="I2" s="84">
        <f>H2/$H$12</f>
        <v>0.44114411441144114</v>
      </c>
      <c r="J2" s="85"/>
      <c r="K2" s="86">
        <f>L2/$L$12</f>
        <v>0.45885286783042395</v>
      </c>
      <c r="L2" s="83">
        <f t="shared" ref="L2:L9" si="1">H2-H3</f>
        <v>184</v>
      </c>
      <c r="M2" s="87" t="s">
        <v>4600</v>
      </c>
    </row>
    <row r="3" spans="1:13" x14ac:dyDescent="0.35">
      <c r="A3" s="22" t="s">
        <v>13</v>
      </c>
      <c r="B3" s="6">
        <v>702</v>
      </c>
      <c r="C3" s="19">
        <f>B3/$B$7</f>
        <v>0.7722772277227723</v>
      </c>
      <c r="D3" s="24">
        <v>28112652</v>
      </c>
      <c r="E3" s="21">
        <f t="shared" si="0"/>
        <v>40046.51282051282</v>
      </c>
      <c r="F3" s="37"/>
      <c r="G3" s="66" t="s">
        <v>4601</v>
      </c>
      <c r="H3" s="65">
        <v>217</v>
      </c>
      <c r="I3" s="75">
        <f t="shared" ref="I3:I11" si="2">H3/$H$12</f>
        <v>0.23872387238723872</v>
      </c>
      <c r="J3" s="77"/>
      <c r="K3" s="72">
        <f t="shared" ref="K3:K11" si="3">L3/$L$12</f>
        <v>0.25187032418952621</v>
      </c>
      <c r="L3" s="65">
        <f t="shared" si="1"/>
        <v>101</v>
      </c>
      <c r="M3" s="69" t="s">
        <v>4602</v>
      </c>
    </row>
    <row r="4" spans="1:13" x14ac:dyDescent="0.35">
      <c r="A4" s="22" t="s">
        <v>55</v>
      </c>
      <c r="B4" s="6">
        <v>26</v>
      </c>
      <c r="C4" s="19">
        <f>B4/$B$7</f>
        <v>2.8602860286028604E-2</v>
      </c>
      <c r="D4" s="24">
        <v>602000</v>
      </c>
      <c r="E4" s="21">
        <f t="shared" si="0"/>
        <v>23153.846153846152</v>
      </c>
      <c r="G4" s="88" t="s">
        <v>4603</v>
      </c>
      <c r="H4" s="89">
        <v>116</v>
      </c>
      <c r="I4" s="90">
        <f t="shared" si="2"/>
        <v>0.12761276127612761</v>
      </c>
      <c r="J4" s="85"/>
      <c r="K4" s="91">
        <f t="shared" si="3"/>
        <v>0.11970074812967581</v>
      </c>
      <c r="L4" s="89">
        <f t="shared" si="1"/>
        <v>48</v>
      </c>
      <c r="M4" s="92" t="s">
        <v>4604</v>
      </c>
    </row>
    <row r="5" spans="1:13" x14ac:dyDescent="0.35">
      <c r="A5" s="22" t="s">
        <v>70</v>
      </c>
      <c r="B5" s="6">
        <v>115</v>
      </c>
      <c r="C5" s="19">
        <f>B5/$B$7</f>
        <v>0.12651265126512651</v>
      </c>
      <c r="D5" s="24">
        <v>4255500</v>
      </c>
      <c r="E5" s="21">
        <f t="shared" si="0"/>
        <v>37004.34782608696</v>
      </c>
      <c r="F5" s="37"/>
      <c r="G5" s="66" t="s">
        <v>4605</v>
      </c>
      <c r="H5" s="65">
        <v>68</v>
      </c>
      <c r="I5" s="75">
        <f t="shared" si="2"/>
        <v>7.4807480748074806E-2</v>
      </c>
      <c r="J5" s="77"/>
      <c r="K5" s="72">
        <f t="shared" si="3"/>
        <v>6.2344139650872821E-2</v>
      </c>
      <c r="L5" s="65">
        <f t="shared" si="1"/>
        <v>25</v>
      </c>
      <c r="M5" s="69" t="s">
        <v>4606</v>
      </c>
    </row>
    <row r="6" spans="1:13" x14ac:dyDescent="0.35">
      <c r="A6" s="22" t="s">
        <v>4648</v>
      </c>
      <c r="B6" s="6">
        <v>66</v>
      </c>
      <c r="C6" s="19">
        <f>B6/$B$7</f>
        <v>7.2607260726072612E-2</v>
      </c>
      <c r="D6" s="24">
        <v>397700</v>
      </c>
      <c r="E6" s="21">
        <f t="shared" si="0"/>
        <v>6025.757575757576</v>
      </c>
      <c r="G6" s="88" t="s">
        <v>4607</v>
      </c>
      <c r="H6" s="89">
        <v>43</v>
      </c>
      <c r="I6" s="90">
        <f t="shared" si="2"/>
        <v>4.7304730473047306E-2</v>
      </c>
      <c r="J6" s="85"/>
      <c r="K6" s="91">
        <f t="shared" si="3"/>
        <v>3.2418952618453865E-2</v>
      </c>
      <c r="L6" s="89">
        <f t="shared" si="1"/>
        <v>13</v>
      </c>
      <c r="M6" s="92" t="s">
        <v>4608</v>
      </c>
    </row>
    <row r="7" spans="1:13" ht="15" thickBot="1" x14ac:dyDescent="0.4">
      <c r="A7" s="55" t="s">
        <v>633</v>
      </c>
      <c r="B7" s="56">
        <f>B2+B6</f>
        <v>909</v>
      </c>
      <c r="C7" s="56"/>
      <c r="D7" s="53">
        <f>D2+D6</f>
        <v>33367852</v>
      </c>
      <c r="E7" s="54">
        <f t="shared" si="0"/>
        <v>36708.308030803077</v>
      </c>
      <c r="G7" s="66" t="s">
        <v>4609</v>
      </c>
      <c r="H7" s="65">
        <v>30</v>
      </c>
      <c r="I7" s="75">
        <f t="shared" si="2"/>
        <v>3.3003300330033E-2</v>
      </c>
      <c r="J7" s="77"/>
      <c r="K7" s="72">
        <f t="shared" si="3"/>
        <v>4.2394014962593519E-2</v>
      </c>
      <c r="L7" s="65">
        <f t="shared" si="1"/>
        <v>17</v>
      </c>
      <c r="M7" s="69" t="s">
        <v>4610</v>
      </c>
    </row>
    <row r="8" spans="1:13" ht="15" thickBot="1" x14ac:dyDescent="0.4">
      <c r="G8" s="88" t="s">
        <v>4611</v>
      </c>
      <c r="H8" s="89">
        <v>13</v>
      </c>
      <c r="I8" s="90">
        <f t="shared" si="2"/>
        <v>1.4301430143014302E-2</v>
      </c>
      <c r="J8" s="85"/>
      <c r="K8" s="91">
        <f t="shared" si="3"/>
        <v>9.9750623441396506E-3</v>
      </c>
      <c r="L8" s="89">
        <f t="shared" si="1"/>
        <v>4</v>
      </c>
      <c r="M8" s="92" t="s">
        <v>4612</v>
      </c>
    </row>
    <row r="9" spans="1:13" x14ac:dyDescent="0.35">
      <c r="A9" s="29" t="s">
        <v>4615</v>
      </c>
      <c r="B9" s="13" t="s">
        <v>4592</v>
      </c>
      <c r="C9" s="100" t="s">
        <v>4593</v>
      </c>
      <c r="G9" s="66" t="s">
        <v>4613</v>
      </c>
      <c r="H9" s="65">
        <v>9</v>
      </c>
      <c r="I9" s="75">
        <f t="shared" si="2"/>
        <v>9.9009900990099011E-3</v>
      </c>
      <c r="J9" s="77"/>
      <c r="K9" s="72">
        <f t="shared" si="3"/>
        <v>9.9750623441396506E-3</v>
      </c>
      <c r="L9" s="65">
        <f t="shared" si="1"/>
        <v>4</v>
      </c>
      <c r="M9" s="69" t="s">
        <v>4614</v>
      </c>
    </row>
    <row r="10" spans="1:13" x14ac:dyDescent="0.35">
      <c r="A10" s="17" t="s">
        <v>4618</v>
      </c>
      <c r="B10" s="6">
        <v>4</v>
      </c>
      <c r="C10" s="31"/>
      <c r="G10" s="88" t="s">
        <v>4616</v>
      </c>
      <c r="H10" s="89">
        <v>5</v>
      </c>
      <c r="I10" s="90">
        <f t="shared" si="2"/>
        <v>5.5005500550055009E-3</v>
      </c>
      <c r="J10" s="85"/>
      <c r="K10" s="91">
        <f t="shared" si="3"/>
        <v>4.9875311720698253E-3</v>
      </c>
      <c r="L10" s="89">
        <v>2</v>
      </c>
      <c r="M10" s="92" t="s">
        <v>4617</v>
      </c>
    </row>
    <row r="11" spans="1:13" ht="15" thickBot="1" x14ac:dyDescent="0.4">
      <c r="A11" s="101" t="s">
        <v>4621</v>
      </c>
      <c r="B11" s="26">
        <v>449</v>
      </c>
      <c r="C11" s="104">
        <f>B11/1077</f>
        <v>0.41689879294336118</v>
      </c>
      <c r="G11" s="67" t="s">
        <v>4619</v>
      </c>
      <c r="H11" s="74">
        <v>7</v>
      </c>
      <c r="I11" s="76">
        <f t="shared" si="2"/>
        <v>7.7007700770077006E-3</v>
      </c>
      <c r="J11" s="77"/>
      <c r="K11" s="73">
        <f t="shared" si="3"/>
        <v>7.481296758104738E-3</v>
      </c>
      <c r="L11" s="74">
        <v>3</v>
      </c>
      <c r="M11" s="70" t="s">
        <v>4620</v>
      </c>
    </row>
    <row r="12" spans="1:13" ht="15" thickBot="1" x14ac:dyDescent="0.4">
      <c r="A12" s="103" t="s">
        <v>4624</v>
      </c>
      <c r="G12" s="93" t="s">
        <v>4622</v>
      </c>
      <c r="H12" s="78">
        <f>SUM(H2:H11)</f>
        <v>909</v>
      </c>
      <c r="I12" s="79">
        <f>SUM(I2:I11)</f>
        <v>1</v>
      </c>
      <c r="J12" s="71"/>
      <c r="K12" s="80">
        <f>SUM(K2:K11)</f>
        <v>1.0000000000000002</v>
      </c>
      <c r="L12" s="117">
        <f>SUM(L2:L11)</f>
        <v>401</v>
      </c>
      <c r="M12" s="118" t="s">
        <v>4623</v>
      </c>
    </row>
    <row r="13" spans="1:13" ht="15" thickBot="1" x14ac:dyDescent="0.4">
      <c r="E13" s="37"/>
      <c r="L13" s="119">
        <f>L12/1077</f>
        <v>0.372330547818013</v>
      </c>
      <c r="M13" s="120" t="s">
        <v>4625</v>
      </c>
    </row>
    <row r="14" spans="1:13" x14ac:dyDescent="0.35">
      <c r="A14" s="29" t="s">
        <v>4626</v>
      </c>
      <c r="B14" s="13" t="s">
        <v>4592</v>
      </c>
      <c r="C14" s="13" t="s">
        <v>4593</v>
      </c>
      <c r="D14" s="15" t="s">
        <v>4594</v>
      </c>
    </row>
    <row r="15" spans="1:13" x14ac:dyDescent="0.35">
      <c r="A15" s="22" t="s">
        <v>4627</v>
      </c>
      <c r="B15" s="6">
        <v>205</v>
      </c>
      <c r="C15" s="30"/>
      <c r="D15" s="31"/>
    </row>
    <row r="16" spans="1:13" x14ac:dyDescent="0.35">
      <c r="A16" s="22" t="s">
        <v>4626</v>
      </c>
      <c r="B16" s="30"/>
      <c r="C16" s="52">
        <v>0.96</v>
      </c>
      <c r="D16" s="42">
        <v>22280310</v>
      </c>
    </row>
    <row r="17" spans="1:6" x14ac:dyDescent="0.35">
      <c r="A17" s="22" t="s">
        <v>4628</v>
      </c>
      <c r="B17" s="30"/>
      <c r="C17" s="34">
        <v>0.04</v>
      </c>
      <c r="D17" s="42">
        <v>817207</v>
      </c>
      <c r="E17" s="34"/>
      <c r="F17" s="34"/>
    </row>
    <row r="18" spans="1:6" x14ac:dyDescent="0.35">
      <c r="A18" s="22" t="s">
        <v>4629</v>
      </c>
      <c r="B18" s="30"/>
      <c r="C18" s="23">
        <v>7.0000000000000007E-2</v>
      </c>
      <c r="D18" s="42">
        <v>778807</v>
      </c>
      <c r="E18" s="34"/>
    </row>
    <row r="19" spans="1:6" x14ac:dyDescent="0.35">
      <c r="A19" s="22" t="s">
        <v>4630</v>
      </c>
      <c r="B19" s="30"/>
      <c r="C19" s="30"/>
      <c r="D19" s="42">
        <v>11087542</v>
      </c>
      <c r="E19" s="34"/>
      <c r="F19" s="111"/>
    </row>
    <row r="20" spans="1:6" x14ac:dyDescent="0.35">
      <c r="A20" s="22" t="s">
        <v>4631</v>
      </c>
      <c r="B20" s="6">
        <v>28</v>
      </c>
      <c r="C20" s="23">
        <v>0.14000000000000001</v>
      </c>
      <c r="D20" s="32"/>
    </row>
    <row r="21" spans="1:6" x14ac:dyDescent="0.35">
      <c r="A21" s="22" t="s">
        <v>4632</v>
      </c>
      <c r="B21" s="33"/>
      <c r="C21" s="23">
        <v>0.39</v>
      </c>
      <c r="D21" s="32"/>
    </row>
    <row r="22" spans="1:6" ht="15" thickBot="1" x14ac:dyDescent="0.4">
      <c r="A22" s="25" t="s">
        <v>4650</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6105-4FDE-494B-92F9-8FC800228B2D}">
  <sheetPr codeName="Sheet21"/>
  <dimension ref="A1:M33"/>
  <sheetViews>
    <sheetView topLeftCell="A6" zoomScale="90" zoomScaleNormal="90" workbookViewId="0">
      <selection activeCell="F18" sqref="F18"/>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835</v>
      </c>
      <c r="C2" s="19">
        <f>B2/$B$7</f>
        <v>0.92674805771365154</v>
      </c>
      <c r="D2" s="20">
        <f>SUM(D3:D5)</f>
        <v>31875152</v>
      </c>
      <c r="E2" s="21">
        <f t="shared" ref="E2:E7" si="0">D2/B2</f>
        <v>38173.834730538925</v>
      </c>
      <c r="G2" s="82" t="s">
        <v>4599</v>
      </c>
      <c r="H2" s="83">
        <v>397</v>
      </c>
      <c r="I2" s="84">
        <f>H2/$H$12</f>
        <v>0.44062153163152051</v>
      </c>
      <c r="J2" s="85"/>
      <c r="K2" s="86">
        <f>L2/$L$12</f>
        <v>0.45843828715365237</v>
      </c>
      <c r="L2" s="83">
        <f t="shared" ref="L2:L9" si="1">H2-H3</f>
        <v>182</v>
      </c>
      <c r="M2" s="87" t="s">
        <v>4600</v>
      </c>
    </row>
    <row r="3" spans="1:13" x14ac:dyDescent="0.35">
      <c r="A3" s="22" t="s">
        <v>13</v>
      </c>
      <c r="B3" s="6">
        <v>694</v>
      </c>
      <c r="C3" s="19">
        <f>B3/$B$7</f>
        <v>0.7702552719200888</v>
      </c>
      <c r="D3" s="24">
        <v>27017652</v>
      </c>
      <c r="E3" s="21">
        <f t="shared" si="0"/>
        <v>38930.33429394813</v>
      </c>
      <c r="F3" s="37"/>
      <c r="G3" s="66" t="s">
        <v>4601</v>
      </c>
      <c r="H3" s="65">
        <v>215</v>
      </c>
      <c r="I3" s="75">
        <f t="shared" ref="I3:I11" si="2">H3/$H$12</f>
        <v>0.2386237513873474</v>
      </c>
      <c r="J3" s="77"/>
      <c r="K3" s="72">
        <f t="shared" ref="K3:K11" si="3">L3/$L$12</f>
        <v>0.25440806045340053</v>
      </c>
      <c r="L3" s="65">
        <f t="shared" si="1"/>
        <v>101</v>
      </c>
      <c r="M3" s="69" t="s">
        <v>4602</v>
      </c>
    </row>
    <row r="4" spans="1:13" x14ac:dyDescent="0.35">
      <c r="A4" s="22" t="s">
        <v>55</v>
      </c>
      <c r="B4" s="6">
        <v>26</v>
      </c>
      <c r="C4" s="19">
        <f>B4/$B$7</f>
        <v>2.8856825749167592E-2</v>
      </c>
      <c r="D4" s="24">
        <v>602000</v>
      </c>
      <c r="E4" s="21">
        <f t="shared" si="0"/>
        <v>23153.846153846152</v>
      </c>
      <c r="G4" s="88" t="s">
        <v>4603</v>
      </c>
      <c r="H4" s="89">
        <v>114</v>
      </c>
      <c r="I4" s="90">
        <f t="shared" si="2"/>
        <v>0.12652608213096558</v>
      </c>
      <c r="J4" s="85"/>
      <c r="K4" s="91">
        <f t="shared" si="3"/>
        <v>0.11586901763224182</v>
      </c>
      <c r="L4" s="89">
        <f t="shared" si="1"/>
        <v>46</v>
      </c>
      <c r="M4" s="92" t="s">
        <v>4604</v>
      </c>
    </row>
    <row r="5" spans="1:13" x14ac:dyDescent="0.35">
      <c r="A5" s="22" t="s">
        <v>70</v>
      </c>
      <c r="B5" s="6">
        <v>115</v>
      </c>
      <c r="C5" s="19">
        <f>B5/$B$7</f>
        <v>0.12763596004439512</v>
      </c>
      <c r="D5" s="24">
        <v>4255500</v>
      </c>
      <c r="E5" s="21">
        <f t="shared" si="0"/>
        <v>37004.34782608696</v>
      </c>
      <c r="F5" s="37"/>
      <c r="G5" s="66" t="s">
        <v>4605</v>
      </c>
      <c r="H5" s="65">
        <v>68</v>
      </c>
      <c r="I5" s="75">
        <f t="shared" si="2"/>
        <v>7.5471698113207544E-2</v>
      </c>
      <c r="J5" s="77"/>
      <c r="K5" s="72">
        <f t="shared" si="3"/>
        <v>6.2972292191435769E-2</v>
      </c>
      <c r="L5" s="65">
        <f t="shared" si="1"/>
        <v>25</v>
      </c>
      <c r="M5" s="69" t="s">
        <v>4606</v>
      </c>
    </row>
    <row r="6" spans="1:13" x14ac:dyDescent="0.35">
      <c r="A6" s="22" t="s">
        <v>4648</v>
      </c>
      <c r="B6" s="6">
        <v>66</v>
      </c>
      <c r="C6" s="19">
        <f>B6/$B$7</f>
        <v>7.3251942286348501E-2</v>
      </c>
      <c r="D6" s="24">
        <v>397700</v>
      </c>
      <c r="E6" s="21">
        <f t="shared" si="0"/>
        <v>6025.757575757576</v>
      </c>
      <c r="G6" s="88" t="s">
        <v>4607</v>
      </c>
      <c r="H6" s="89">
        <v>43</v>
      </c>
      <c r="I6" s="90">
        <f t="shared" si="2"/>
        <v>4.7724750277469481E-2</v>
      </c>
      <c r="J6" s="85"/>
      <c r="K6" s="91">
        <f t="shared" si="3"/>
        <v>3.2745591939546598E-2</v>
      </c>
      <c r="L6" s="89">
        <f t="shared" si="1"/>
        <v>13</v>
      </c>
      <c r="M6" s="92" t="s">
        <v>4608</v>
      </c>
    </row>
    <row r="7" spans="1:13" ht="15" thickBot="1" x14ac:dyDescent="0.4">
      <c r="A7" s="55" t="s">
        <v>633</v>
      </c>
      <c r="B7" s="56">
        <f>B2+B6</f>
        <v>901</v>
      </c>
      <c r="C7" s="56"/>
      <c r="D7" s="53">
        <f>D2+D6</f>
        <v>32272852</v>
      </c>
      <c r="E7" s="54">
        <f t="shared" si="0"/>
        <v>35818.925638179797</v>
      </c>
      <c r="G7" s="66" t="s">
        <v>4609</v>
      </c>
      <c r="H7" s="65">
        <v>30</v>
      </c>
      <c r="I7" s="75">
        <f t="shared" si="2"/>
        <v>3.3296337402885685E-2</v>
      </c>
      <c r="J7" s="77"/>
      <c r="K7" s="72">
        <f t="shared" si="3"/>
        <v>4.2821158690176324E-2</v>
      </c>
      <c r="L7" s="65">
        <f t="shared" si="1"/>
        <v>17</v>
      </c>
      <c r="M7" s="69" t="s">
        <v>4610</v>
      </c>
    </row>
    <row r="8" spans="1:13" ht="15" thickBot="1" x14ac:dyDescent="0.4">
      <c r="G8" s="88" t="s">
        <v>4611</v>
      </c>
      <c r="H8" s="89">
        <v>13</v>
      </c>
      <c r="I8" s="90">
        <f t="shared" si="2"/>
        <v>1.4428412874583796E-2</v>
      </c>
      <c r="J8" s="85"/>
      <c r="K8" s="91">
        <f t="shared" si="3"/>
        <v>1.0075566750629723E-2</v>
      </c>
      <c r="L8" s="89">
        <f t="shared" si="1"/>
        <v>4</v>
      </c>
      <c r="M8" s="92" t="s">
        <v>4612</v>
      </c>
    </row>
    <row r="9" spans="1:13" x14ac:dyDescent="0.35">
      <c r="A9" s="29" t="s">
        <v>4615</v>
      </c>
      <c r="B9" s="13" t="s">
        <v>4592</v>
      </c>
      <c r="C9" s="100" t="s">
        <v>4593</v>
      </c>
      <c r="G9" s="66" t="s">
        <v>4613</v>
      </c>
      <c r="H9" s="65">
        <v>9</v>
      </c>
      <c r="I9" s="75">
        <f t="shared" si="2"/>
        <v>9.9889012208657056E-3</v>
      </c>
      <c r="J9" s="77"/>
      <c r="K9" s="72">
        <f t="shared" si="3"/>
        <v>1.0075566750629723E-2</v>
      </c>
      <c r="L9" s="65">
        <f t="shared" si="1"/>
        <v>4</v>
      </c>
      <c r="M9" s="69" t="s">
        <v>4614</v>
      </c>
    </row>
    <row r="10" spans="1:13" x14ac:dyDescent="0.35">
      <c r="A10" s="17" t="s">
        <v>4618</v>
      </c>
      <c r="B10" s="6">
        <v>4</v>
      </c>
      <c r="C10" s="31"/>
      <c r="G10" s="88" t="s">
        <v>4616</v>
      </c>
      <c r="H10" s="89">
        <v>5</v>
      </c>
      <c r="I10" s="90">
        <f t="shared" si="2"/>
        <v>5.5493895671476137E-3</v>
      </c>
      <c r="J10" s="85"/>
      <c r="K10" s="91">
        <f t="shared" si="3"/>
        <v>5.0377833753148613E-3</v>
      </c>
      <c r="L10" s="89">
        <v>2</v>
      </c>
      <c r="M10" s="92" t="s">
        <v>4617</v>
      </c>
    </row>
    <row r="11" spans="1:13" ht="15" thickBot="1" x14ac:dyDescent="0.4">
      <c r="A11" s="101" t="s">
        <v>4621</v>
      </c>
      <c r="B11" s="26">
        <v>445</v>
      </c>
      <c r="C11" s="104">
        <f>B11/1077</f>
        <v>0.41318477251624885</v>
      </c>
      <c r="G11" s="67" t="s">
        <v>4619</v>
      </c>
      <c r="H11" s="74">
        <v>7</v>
      </c>
      <c r="I11" s="76">
        <f t="shared" si="2"/>
        <v>7.7691453940066596E-3</v>
      </c>
      <c r="J11" s="77"/>
      <c r="K11" s="73">
        <f t="shared" si="3"/>
        <v>7.556675062972292E-3</v>
      </c>
      <c r="L11" s="74">
        <v>3</v>
      </c>
      <c r="M11" s="70" t="s">
        <v>4620</v>
      </c>
    </row>
    <row r="12" spans="1:13" ht="15" thickBot="1" x14ac:dyDescent="0.4">
      <c r="A12" s="103" t="s">
        <v>4624</v>
      </c>
      <c r="G12" s="93" t="s">
        <v>4622</v>
      </c>
      <c r="H12" s="78">
        <f>SUM(H2:H11)</f>
        <v>901</v>
      </c>
      <c r="I12" s="79">
        <f>SUM(I2:I11)</f>
        <v>0.99999999999999989</v>
      </c>
      <c r="J12" s="71"/>
      <c r="K12" s="80">
        <f>SUM(K2:K11)</f>
        <v>1</v>
      </c>
      <c r="L12" s="117">
        <f>SUM(L2:L11)</f>
        <v>397</v>
      </c>
      <c r="M12" s="118" t="s">
        <v>4623</v>
      </c>
    </row>
    <row r="13" spans="1:13" ht="15" thickBot="1" x14ac:dyDescent="0.4">
      <c r="E13" s="37"/>
      <c r="L13" s="119">
        <f>L12/1077</f>
        <v>0.36861652739090067</v>
      </c>
      <c r="M13" s="120" t="s">
        <v>4625</v>
      </c>
    </row>
    <row r="14" spans="1:13" x14ac:dyDescent="0.35">
      <c r="A14" s="29" t="s">
        <v>4626</v>
      </c>
      <c r="B14" s="13" t="s">
        <v>4592</v>
      </c>
      <c r="C14" s="13" t="s">
        <v>4593</v>
      </c>
      <c r="D14" s="15" t="s">
        <v>4594</v>
      </c>
    </row>
    <row r="15" spans="1:13" x14ac:dyDescent="0.35">
      <c r="A15" s="22" t="s">
        <v>4627</v>
      </c>
      <c r="B15" s="6">
        <v>203</v>
      </c>
      <c r="C15" s="30"/>
      <c r="D15" s="31"/>
    </row>
    <row r="16" spans="1:13" x14ac:dyDescent="0.35">
      <c r="A16" s="22" t="s">
        <v>4626</v>
      </c>
      <c r="B16" s="30"/>
      <c r="C16" s="52">
        <v>0.96449274990039813</v>
      </c>
      <c r="D16" s="42">
        <v>21580106.920000002</v>
      </c>
    </row>
    <row r="17" spans="1:6" x14ac:dyDescent="0.35">
      <c r="A17" s="22" t="s">
        <v>4628</v>
      </c>
      <c r="B17" s="30"/>
      <c r="C17" s="34">
        <v>3.5507250099601921E-2</v>
      </c>
      <c r="D17" s="42">
        <v>794459.31932999997</v>
      </c>
      <c r="E17" s="34"/>
      <c r="F17" s="34"/>
    </row>
    <row r="18" spans="1:6" x14ac:dyDescent="0.35">
      <c r="A18" s="22" t="s">
        <v>4629</v>
      </c>
      <c r="B18" s="30"/>
      <c r="C18" s="23">
        <v>7.080762628355862E-2</v>
      </c>
      <c r="D18" s="42">
        <v>757127.89757000003</v>
      </c>
      <c r="E18" s="34"/>
    </row>
    <row r="19" spans="1:6" x14ac:dyDescent="0.35">
      <c r="A19" s="22" t="s">
        <v>4630</v>
      </c>
      <c r="B19" s="30"/>
      <c r="C19" s="30"/>
      <c r="D19" s="42">
        <v>10692745.079999998</v>
      </c>
      <c r="E19" s="34"/>
      <c r="F19" s="111"/>
    </row>
    <row r="20" spans="1:6" x14ac:dyDescent="0.35">
      <c r="A20" s="22" t="s">
        <v>4631</v>
      </c>
      <c r="B20" s="6">
        <v>29</v>
      </c>
      <c r="C20" s="23">
        <v>0.1429</v>
      </c>
      <c r="D20" s="32"/>
    </row>
    <row r="21" spans="1:6" x14ac:dyDescent="0.35">
      <c r="A21" s="22" t="s">
        <v>4632</v>
      </c>
      <c r="B21" s="33"/>
      <c r="C21" s="23">
        <v>0.39</v>
      </c>
      <c r="D21" s="32"/>
    </row>
    <row r="22" spans="1:6" ht="15" thickBot="1" x14ac:dyDescent="0.4">
      <c r="A22" s="25" t="s">
        <v>4633</v>
      </c>
      <c r="B22" s="26">
        <v>14</v>
      </c>
      <c r="C22" s="36">
        <v>4.7000000000000002E-3</v>
      </c>
      <c r="D22" s="28">
        <v>50706.66</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81DBE-AEE6-4B12-B66C-1A6FDEB88154}">
  <sheetPr codeName="Sheet22"/>
  <dimension ref="A1:M33"/>
  <sheetViews>
    <sheetView zoomScale="90" zoomScaleNormal="90" workbookViewId="0">
      <selection activeCell="I17" sqref="I17"/>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822</v>
      </c>
      <c r="C2" s="19">
        <f>B2/$B$7</f>
        <v>0.92567567567567566</v>
      </c>
      <c r="D2" s="20">
        <f>SUM(D3:D5)</f>
        <v>29895152</v>
      </c>
      <c r="E2" s="21">
        <f t="shared" ref="E2:E7" si="0">D2/B2</f>
        <v>36368.798053527978</v>
      </c>
      <c r="G2" s="82" t="s">
        <v>4599</v>
      </c>
      <c r="H2" s="83">
        <v>393</v>
      </c>
      <c r="I2" s="84">
        <f>H2/$H$12</f>
        <v>0.44256756756756754</v>
      </c>
      <c r="J2" s="85"/>
      <c r="K2" s="86">
        <f>L2/$L$12</f>
        <v>0.46055979643765904</v>
      </c>
      <c r="L2" s="83">
        <f t="shared" ref="L2:L9" si="1">H2-H3</f>
        <v>181</v>
      </c>
      <c r="M2" s="87" t="s">
        <v>4600</v>
      </c>
    </row>
    <row r="3" spans="1:13" x14ac:dyDescent="0.35">
      <c r="A3" s="22" t="s">
        <v>13</v>
      </c>
      <c r="B3" s="6">
        <v>682</v>
      </c>
      <c r="C3" s="19">
        <f>B3/$B$7</f>
        <v>0.76801801801801806</v>
      </c>
      <c r="D3" s="24">
        <v>25137652</v>
      </c>
      <c r="E3" s="21">
        <f t="shared" si="0"/>
        <v>36858.727272727272</v>
      </c>
      <c r="F3" s="37"/>
      <c r="G3" s="66" t="s">
        <v>4601</v>
      </c>
      <c r="H3" s="65">
        <v>212</v>
      </c>
      <c r="I3" s="75">
        <f t="shared" ref="I3:I11" si="2">H3/$H$12</f>
        <v>0.23873873873873874</v>
      </c>
      <c r="J3" s="77"/>
      <c r="K3" s="72">
        <f t="shared" ref="K3:K11" si="3">L3/$L$12</f>
        <v>0.25190839694656486</v>
      </c>
      <c r="L3" s="65">
        <f t="shared" si="1"/>
        <v>99</v>
      </c>
      <c r="M3" s="69" t="s">
        <v>4602</v>
      </c>
    </row>
    <row r="4" spans="1:13" x14ac:dyDescent="0.35">
      <c r="A4" s="22" t="s">
        <v>55</v>
      </c>
      <c r="B4" s="6">
        <v>26</v>
      </c>
      <c r="C4" s="19">
        <f>B4/$B$7</f>
        <v>2.9279279279279279E-2</v>
      </c>
      <c r="D4" s="24">
        <v>602000</v>
      </c>
      <c r="E4" s="21">
        <f t="shared" si="0"/>
        <v>23153.846153846152</v>
      </c>
      <c r="G4" s="88" t="s">
        <v>4603</v>
      </c>
      <c r="H4" s="89">
        <v>113</v>
      </c>
      <c r="I4" s="90">
        <f t="shared" si="2"/>
        <v>0.12725225225225226</v>
      </c>
      <c r="J4" s="85"/>
      <c r="K4" s="91">
        <f t="shared" si="3"/>
        <v>0.11704834605597965</v>
      </c>
      <c r="L4" s="89">
        <f t="shared" si="1"/>
        <v>46</v>
      </c>
      <c r="M4" s="92" t="s">
        <v>4604</v>
      </c>
    </row>
    <row r="5" spans="1:13" x14ac:dyDescent="0.35">
      <c r="A5" s="22" t="s">
        <v>70</v>
      </c>
      <c r="B5" s="6">
        <v>114</v>
      </c>
      <c r="C5" s="19">
        <f>B5/$B$7</f>
        <v>0.12837837837837837</v>
      </c>
      <c r="D5" s="24">
        <v>4155500</v>
      </c>
      <c r="E5" s="21">
        <f t="shared" si="0"/>
        <v>36451.754385964916</v>
      </c>
      <c r="F5" s="37"/>
      <c r="G5" s="66" t="s">
        <v>4605</v>
      </c>
      <c r="H5" s="65">
        <v>67</v>
      </c>
      <c r="I5" s="75">
        <f t="shared" si="2"/>
        <v>7.5450450450450457E-2</v>
      </c>
      <c r="J5" s="77"/>
      <c r="K5" s="72">
        <f t="shared" si="3"/>
        <v>6.3613231552162849E-2</v>
      </c>
      <c r="L5" s="65">
        <f t="shared" si="1"/>
        <v>25</v>
      </c>
      <c r="M5" s="69" t="s">
        <v>4606</v>
      </c>
    </row>
    <row r="6" spans="1:13" x14ac:dyDescent="0.35">
      <c r="A6" s="22" t="s">
        <v>4648</v>
      </c>
      <c r="B6" s="6">
        <v>66</v>
      </c>
      <c r="C6" s="19">
        <f>B6/$B$7</f>
        <v>7.4324324324324328E-2</v>
      </c>
      <c r="D6" s="24">
        <v>397700</v>
      </c>
      <c r="E6" s="21">
        <f t="shared" si="0"/>
        <v>6025.757575757576</v>
      </c>
      <c r="G6" s="88" t="s">
        <v>4607</v>
      </c>
      <c r="H6" s="89">
        <v>42</v>
      </c>
      <c r="I6" s="90">
        <f t="shared" si="2"/>
        <v>4.72972972972973E-2</v>
      </c>
      <c r="J6" s="85"/>
      <c r="K6" s="91">
        <f t="shared" si="3"/>
        <v>3.5623409669211195E-2</v>
      </c>
      <c r="L6" s="89">
        <f t="shared" si="1"/>
        <v>14</v>
      </c>
      <c r="M6" s="92" t="s">
        <v>4608</v>
      </c>
    </row>
    <row r="7" spans="1:13" ht="15" thickBot="1" x14ac:dyDescent="0.4">
      <c r="A7" s="55" t="s">
        <v>633</v>
      </c>
      <c r="B7" s="56">
        <f>B2+B6</f>
        <v>888</v>
      </c>
      <c r="C7" s="56"/>
      <c r="D7" s="53">
        <f>D2+D6</f>
        <v>30292852</v>
      </c>
      <c r="E7" s="54">
        <f t="shared" si="0"/>
        <v>34113.572072072071</v>
      </c>
      <c r="G7" s="66" t="s">
        <v>4609</v>
      </c>
      <c r="H7" s="65">
        <v>28</v>
      </c>
      <c r="I7" s="75">
        <f t="shared" si="2"/>
        <v>3.1531531531531529E-2</v>
      </c>
      <c r="J7" s="77"/>
      <c r="K7" s="72">
        <f t="shared" si="3"/>
        <v>4.0712468193384227E-2</v>
      </c>
      <c r="L7" s="65">
        <f t="shared" si="1"/>
        <v>16</v>
      </c>
      <c r="M7" s="69" t="s">
        <v>4610</v>
      </c>
    </row>
    <row r="8" spans="1:13" ht="15" thickBot="1" x14ac:dyDescent="0.4">
      <c r="G8" s="88" t="s">
        <v>4611</v>
      </c>
      <c r="H8" s="89">
        <v>12</v>
      </c>
      <c r="I8" s="90">
        <f t="shared" si="2"/>
        <v>1.3513513513513514E-2</v>
      </c>
      <c r="J8" s="85"/>
      <c r="K8" s="91">
        <f t="shared" si="3"/>
        <v>7.6335877862595417E-3</v>
      </c>
      <c r="L8" s="89">
        <f t="shared" si="1"/>
        <v>3</v>
      </c>
      <c r="M8" s="92" t="s">
        <v>4612</v>
      </c>
    </row>
    <row r="9" spans="1:13" x14ac:dyDescent="0.35">
      <c r="A9" s="29" t="s">
        <v>4615</v>
      </c>
      <c r="B9" s="13" t="s">
        <v>4592</v>
      </c>
      <c r="C9" s="100" t="s">
        <v>4593</v>
      </c>
      <c r="G9" s="66" t="s">
        <v>4613</v>
      </c>
      <c r="H9" s="65">
        <v>9</v>
      </c>
      <c r="I9" s="75">
        <f t="shared" si="2"/>
        <v>1.0135135135135136E-2</v>
      </c>
      <c r="J9" s="77"/>
      <c r="K9" s="72">
        <f t="shared" si="3"/>
        <v>1.0178117048346057E-2</v>
      </c>
      <c r="L9" s="65">
        <f t="shared" si="1"/>
        <v>4</v>
      </c>
      <c r="M9" s="69" t="s">
        <v>4614</v>
      </c>
    </row>
    <row r="10" spans="1:13" x14ac:dyDescent="0.35">
      <c r="A10" s="17" t="s">
        <v>4618</v>
      </c>
      <c r="B10" s="6">
        <v>2</v>
      </c>
      <c r="C10" s="31"/>
      <c r="G10" s="88" t="s">
        <v>4616</v>
      </c>
      <c r="H10" s="89">
        <v>5</v>
      </c>
      <c r="I10" s="90">
        <f t="shared" si="2"/>
        <v>5.6306306306306304E-3</v>
      </c>
      <c r="J10" s="85"/>
      <c r="K10" s="91">
        <f t="shared" si="3"/>
        <v>5.0890585241730284E-3</v>
      </c>
      <c r="L10" s="89">
        <v>2</v>
      </c>
      <c r="M10" s="92" t="s">
        <v>4617</v>
      </c>
    </row>
    <row r="11" spans="1:13" ht="15" thickBot="1" x14ac:dyDescent="0.4">
      <c r="A11" s="101" t="s">
        <v>4621</v>
      </c>
      <c r="B11" s="26">
        <v>441</v>
      </c>
      <c r="C11" s="104">
        <f>B11/1056</f>
        <v>0.41761363636363635</v>
      </c>
      <c r="G11" s="67" t="s">
        <v>4619</v>
      </c>
      <c r="H11" s="74">
        <v>7</v>
      </c>
      <c r="I11" s="76">
        <f t="shared" si="2"/>
        <v>7.8828828828828822E-3</v>
      </c>
      <c r="J11" s="77"/>
      <c r="K11" s="73">
        <f t="shared" si="3"/>
        <v>7.6335877862595417E-3</v>
      </c>
      <c r="L11" s="74">
        <v>3</v>
      </c>
      <c r="M11" s="70" t="s">
        <v>4620</v>
      </c>
    </row>
    <row r="12" spans="1:13" ht="15" thickBot="1" x14ac:dyDescent="0.4">
      <c r="A12" s="103" t="s">
        <v>4624</v>
      </c>
      <c r="G12" s="93" t="s">
        <v>4622</v>
      </c>
      <c r="H12" s="78">
        <f>SUM(H2:H11)</f>
        <v>888</v>
      </c>
      <c r="I12" s="79">
        <f>SUM(I2:I11)</f>
        <v>0.99999999999999978</v>
      </c>
      <c r="J12" s="71"/>
      <c r="K12" s="80">
        <f>SUM(K2:K11)</f>
        <v>1</v>
      </c>
      <c r="L12" s="117">
        <f>SUM(L2:L11)</f>
        <v>393</v>
      </c>
      <c r="M12" s="118" t="s">
        <v>4623</v>
      </c>
    </row>
    <row r="13" spans="1:13" ht="15" thickBot="1" x14ac:dyDescent="0.4">
      <c r="E13" s="37"/>
      <c r="L13" s="119">
        <f>L12/1056</f>
        <v>0.37215909090909088</v>
      </c>
      <c r="M13" s="120" t="s">
        <v>4625</v>
      </c>
    </row>
    <row r="14" spans="1:13" x14ac:dyDescent="0.35">
      <c r="A14" s="29" t="s">
        <v>4626</v>
      </c>
      <c r="B14" s="13" t="s">
        <v>4592</v>
      </c>
      <c r="C14" s="13" t="s">
        <v>4593</v>
      </c>
      <c r="D14" s="15" t="s">
        <v>4594</v>
      </c>
    </row>
    <row r="15" spans="1:13" x14ac:dyDescent="0.35">
      <c r="A15" s="22" t="s">
        <v>4627</v>
      </c>
      <c r="B15" s="6">
        <v>201</v>
      </c>
      <c r="C15" s="30"/>
      <c r="D15" s="31"/>
    </row>
    <row r="16" spans="1:13" x14ac:dyDescent="0.35">
      <c r="A16" s="22" t="s">
        <v>4626</v>
      </c>
      <c r="B16" s="30"/>
      <c r="C16" s="52">
        <v>0.96</v>
      </c>
      <c r="D16" s="42">
        <v>20504104</v>
      </c>
    </row>
    <row r="17" spans="1:6" x14ac:dyDescent="0.35">
      <c r="A17" s="22" t="s">
        <v>4628</v>
      </c>
      <c r="B17" s="30"/>
      <c r="C17" s="34">
        <v>0.04</v>
      </c>
      <c r="D17" s="42">
        <v>855291</v>
      </c>
      <c r="E17" s="34"/>
      <c r="F17" s="34"/>
    </row>
    <row r="18" spans="1:6" x14ac:dyDescent="0.35">
      <c r="A18" s="22" t="s">
        <v>4629</v>
      </c>
      <c r="B18" s="30"/>
      <c r="C18" s="23">
        <v>0.09</v>
      </c>
      <c r="D18" s="42">
        <v>894860</v>
      </c>
      <c r="E18" s="34"/>
    </row>
    <row r="19" spans="1:6" x14ac:dyDescent="0.35">
      <c r="A19" s="22" t="s">
        <v>4630</v>
      </c>
      <c r="B19" s="30"/>
      <c r="C19" s="30"/>
      <c r="D19" s="42">
        <v>9788748</v>
      </c>
      <c r="E19" s="34"/>
      <c r="F19" s="111"/>
    </row>
    <row r="20" spans="1:6" x14ac:dyDescent="0.35">
      <c r="A20" s="22" t="s">
        <v>4631</v>
      </c>
      <c r="B20" s="6">
        <v>28</v>
      </c>
      <c r="C20" s="23">
        <v>0.14000000000000001</v>
      </c>
      <c r="D20" s="32"/>
    </row>
    <row r="21" spans="1:6" x14ac:dyDescent="0.35">
      <c r="A21" s="22" t="s">
        <v>4632</v>
      </c>
      <c r="B21" s="33"/>
      <c r="C21" s="23">
        <v>0.38</v>
      </c>
      <c r="D21" s="32"/>
    </row>
    <row r="22" spans="1:6" ht="15" thickBot="1" x14ac:dyDescent="0.4">
      <c r="A22" s="25" t="s">
        <v>4633</v>
      </c>
      <c r="B22" s="26">
        <v>14</v>
      </c>
      <c r="C22" s="36">
        <v>0.01</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91C4A-346C-423A-BEC9-E91DB093BC77}">
  <sheetPr codeName="Sheet23"/>
  <dimension ref="A1:M33"/>
  <sheetViews>
    <sheetView zoomScale="90" zoomScaleNormal="90" workbookViewId="0">
      <selection activeCell="E24" sqref="E24"/>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817</v>
      </c>
      <c r="C2" s="19">
        <f>B2/$B$7</f>
        <v>0.92525481313703284</v>
      </c>
      <c r="D2" s="20">
        <f>SUM(D3:D5)</f>
        <v>29557152</v>
      </c>
      <c r="E2" s="21">
        <f t="shared" ref="E2:E7" si="0">D2/B2</f>
        <v>36177.664626682985</v>
      </c>
      <c r="G2" s="82" t="s">
        <v>4599</v>
      </c>
      <c r="H2" s="83">
        <v>391</v>
      </c>
      <c r="I2" s="84">
        <f>H2/$H$12</f>
        <v>0.44280860702151753</v>
      </c>
      <c r="J2" s="85"/>
      <c r="K2" s="86">
        <f>L2/$L$12</f>
        <v>0.46291560102301788</v>
      </c>
      <c r="L2" s="83">
        <f t="shared" ref="L2:L9" si="1">H2-H3</f>
        <v>181</v>
      </c>
      <c r="M2" s="87" t="s">
        <v>4600</v>
      </c>
    </row>
    <row r="3" spans="1:13" x14ac:dyDescent="0.35">
      <c r="A3" s="22" t="s">
        <v>13</v>
      </c>
      <c r="B3" s="6">
        <v>677</v>
      </c>
      <c r="C3" s="19">
        <f>B3/$B$7</f>
        <v>0.76670441676104195</v>
      </c>
      <c r="D3" s="24">
        <v>24799652</v>
      </c>
      <c r="E3" s="21">
        <f t="shared" si="0"/>
        <v>36631.686853766616</v>
      </c>
      <c r="F3" s="37"/>
      <c r="G3" s="66" t="s">
        <v>4601</v>
      </c>
      <c r="H3" s="65">
        <v>210</v>
      </c>
      <c r="I3" s="75">
        <f t="shared" ref="I3:I11" si="2">H3/$H$12</f>
        <v>0.23782559456398641</v>
      </c>
      <c r="J3" s="77"/>
      <c r="K3" s="72">
        <f t="shared" ref="K3:K11" si="3">L3/$L$12</f>
        <v>0.24808184143222506</v>
      </c>
      <c r="L3" s="65">
        <f t="shared" si="1"/>
        <v>97</v>
      </c>
      <c r="M3" s="69" t="s">
        <v>4602</v>
      </c>
    </row>
    <row r="4" spans="1:13" x14ac:dyDescent="0.35">
      <c r="A4" s="22" t="s">
        <v>55</v>
      </c>
      <c r="B4" s="6">
        <v>26</v>
      </c>
      <c r="C4" s="19">
        <f>B4/$B$7</f>
        <v>2.9445073612684031E-2</v>
      </c>
      <c r="D4" s="24">
        <v>602000</v>
      </c>
      <c r="E4" s="21">
        <f t="shared" si="0"/>
        <v>23153.846153846152</v>
      </c>
      <c r="G4" s="88" t="s">
        <v>4603</v>
      </c>
      <c r="H4" s="89">
        <v>113</v>
      </c>
      <c r="I4" s="90">
        <f t="shared" si="2"/>
        <v>0.12797281993204984</v>
      </c>
      <c r="J4" s="85"/>
      <c r="K4" s="91">
        <f t="shared" si="3"/>
        <v>0.11764705882352941</v>
      </c>
      <c r="L4" s="89">
        <f t="shared" si="1"/>
        <v>46</v>
      </c>
      <c r="M4" s="92" t="s">
        <v>4604</v>
      </c>
    </row>
    <row r="5" spans="1:13" x14ac:dyDescent="0.35">
      <c r="A5" s="22" t="s">
        <v>70</v>
      </c>
      <c r="B5" s="6">
        <v>114</v>
      </c>
      <c r="C5" s="19">
        <f>B5/$B$7</f>
        <v>0.12910532276330691</v>
      </c>
      <c r="D5" s="24">
        <v>4155500</v>
      </c>
      <c r="E5" s="21">
        <f t="shared" si="0"/>
        <v>36451.754385964916</v>
      </c>
      <c r="F5" s="37"/>
      <c r="G5" s="66" t="s">
        <v>4605</v>
      </c>
      <c r="H5" s="65">
        <v>67</v>
      </c>
      <c r="I5" s="75">
        <f t="shared" si="2"/>
        <v>7.5877689694224232E-2</v>
      </c>
      <c r="J5" s="77"/>
      <c r="K5" s="72">
        <f t="shared" si="3"/>
        <v>6.3938618925831206E-2</v>
      </c>
      <c r="L5" s="65">
        <f t="shared" si="1"/>
        <v>25</v>
      </c>
      <c r="M5" s="69" t="s">
        <v>4606</v>
      </c>
    </row>
    <row r="6" spans="1:13" x14ac:dyDescent="0.35">
      <c r="A6" s="22" t="s">
        <v>4648</v>
      </c>
      <c r="B6" s="6">
        <v>66</v>
      </c>
      <c r="C6" s="19">
        <f>B6/$B$7</f>
        <v>7.4745186862967161E-2</v>
      </c>
      <c r="D6" s="24">
        <v>397700</v>
      </c>
      <c r="E6" s="21">
        <f t="shared" si="0"/>
        <v>6025.757575757576</v>
      </c>
      <c r="G6" s="88" t="s">
        <v>4607</v>
      </c>
      <c r="H6" s="89">
        <v>42</v>
      </c>
      <c r="I6" s="90">
        <f t="shared" si="2"/>
        <v>4.7565118912797279E-2</v>
      </c>
      <c r="J6" s="85"/>
      <c r="K6" s="91">
        <f t="shared" si="3"/>
        <v>3.8363171355498722E-2</v>
      </c>
      <c r="L6" s="89">
        <f t="shared" si="1"/>
        <v>15</v>
      </c>
      <c r="M6" s="92" t="s">
        <v>4608</v>
      </c>
    </row>
    <row r="7" spans="1:13" ht="15" thickBot="1" x14ac:dyDescent="0.4">
      <c r="A7" s="55" t="s">
        <v>633</v>
      </c>
      <c r="B7" s="56">
        <f>B2+B6</f>
        <v>883</v>
      </c>
      <c r="C7" s="56"/>
      <c r="D7" s="53">
        <f>D2+D6</f>
        <v>29954852</v>
      </c>
      <c r="E7" s="54">
        <f t="shared" si="0"/>
        <v>33923.954699886752</v>
      </c>
      <c r="G7" s="66" t="s">
        <v>4609</v>
      </c>
      <c r="H7" s="65">
        <v>27</v>
      </c>
      <c r="I7" s="75">
        <f t="shared" si="2"/>
        <v>3.0577576443941108E-2</v>
      </c>
      <c r="J7" s="77"/>
      <c r="K7" s="72">
        <f t="shared" si="3"/>
        <v>3.8363171355498722E-2</v>
      </c>
      <c r="L7" s="65">
        <f t="shared" si="1"/>
        <v>15</v>
      </c>
      <c r="M7" s="69" t="s">
        <v>4610</v>
      </c>
    </row>
    <row r="8" spans="1:13" ht="15" thickBot="1" x14ac:dyDescent="0.4">
      <c r="G8" s="88" t="s">
        <v>4611</v>
      </c>
      <c r="H8" s="89">
        <v>12</v>
      </c>
      <c r="I8" s="90">
        <f t="shared" si="2"/>
        <v>1.3590033975084938E-2</v>
      </c>
      <c r="J8" s="85"/>
      <c r="K8" s="91">
        <f t="shared" si="3"/>
        <v>7.6726342710997444E-3</v>
      </c>
      <c r="L8" s="89">
        <f t="shared" si="1"/>
        <v>3</v>
      </c>
      <c r="M8" s="92" t="s">
        <v>4612</v>
      </c>
    </row>
    <row r="9" spans="1:13" x14ac:dyDescent="0.35">
      <c r="A9" s="29" t="s">
        <v>4615</v>
      </c>
      <c r="B9" s="13" t="s">
        <v>4592</v>
      </c>
      <c r="C9" s="100" t="s">
        <v>4593</v>
      </c>
      <c r="G9" s="66" t="s">
        <v>4613</v>
      </c>
      <c r="H9" s="65">
        <v>9</v>
      </c>
      <c r="I9" s="75">
        <f t="shared" si="2"/>
        <v>1.0192525481313703E-2</v>
      </c>
      <c r="J9" s="77"/>
      <c r="K9" s="72">
        <f t="shared" si="3"/>
        <v>1.0230179028132993E-2</v>
      </c>
      <c r="L9" s="65">
        <f t="shared" si="1"/>
        <v>4</v>
      </c>
      <c r="M9" s="69" t="s">
        <v>4614</v>
      </c>
    </row>
    <row r="10" spans="1:13" x14ac:dyDescent="0.35">
      <c r="A10" s="17" t="s">
        <v>4618</v>
      </c>
      <c r="B10" s="6">
        <v>4</v>
      </c>
      <c r="C10" s="31"/>
      <c r="G10" s="88" t="s">
        <v>4616</v>
      </c>
      <c r="H10" s="89">
        <v>5</v>
      </c>
      <c r="I10" s="90">
        <f t="shared" si="2"/>
        <v>5.6625141562853904E-3</v>
      </c>
      <c r="J10" s="85"/>
      <c r="K10" s="91">
        <f t="shared" si="3"/>
        <v>5.1150895140664966E-3</v>
      </c>
      <c r="L10" s="89">
        <v>2</v>
      </c>
      <c r="M10" s="92" t="s">
        <v>4617</v>
      </c>
    </row>
    <row r="11" spans="1:13" ht="15" thickBot="1" x14ac:dyDescent="0.4">
      <c r="A11" s="101" t="s">
        <v>4621</v>
      </c>
      <c r="B11" s="26">
        <v>439</v>
      </c>
      <c r="C11" s="104">
        <f>B11/1056</f>
        <v>0.41571969696969696</v>
      </c>
      <c r="G11" s="67" t="s">
        <v>4619</v>
      </c>
      <c r="H11" s="74">
        <v>7</v>
      </c>
      <c r="I11" s="76">
        <f t="shared" si="2"/>
        <v>7.9275198187995465E-3</v>
      </c>
      <c r="J11" s="77"/>
      <c r="K11" s="73">
        <f t="shared" si="3"/>
        <v>7.6726342710997444E-3</v>
      </c>
      <c r="L11" s="74">
        <v>3</v>
      </c>
      <c r="M11" s="70" t="s">
        <v>4620</v>
      </c>
    </row>
    <row r="12" spans="1:13" ht="15" thickBot="1" x14ac:dyDescent="0.4">
      <c r="A12" s="103" t="s">
        <v>4624</v>
      </c>
      <c r="G12" s="93" t="s">
        <v>4622</v>
      </c>
      <c r="H12" s="78">
        <f>SUM(H2:H11)</f>
        <v>883</v>
      </c>
      <c r="I12" s="79">
        <f>SUM(I2:I11)</f>
        <v>1</v>
      </c>
      <c r="J12" s="71"/>
      <c r="K12" s="80">
        <f>SUM(K2:K11)</f>
        <v>1</v>
      </c>
      <c r="L12" s="117">
        <f>SUM(L2:L11)</f>
        <v>391</v>
      </c>
      <c r="M12" s="118" t="s">
        <v>4623</v>
      </c>
    </row>
    <row r="13" spans="1:13" ht="15" thickBot="1" x14ac:dyDescent="0.4">
      <c r="E13" s="37"/>
      <c r="L13" s="119">
        <f>L12/1056</f>
        <v>0.37026515151515149</v>
      </c>
      <c r="M13" s="120" t="s">
        <v>4625</v>
      </c>
    </row>
    <row r="14" spans="1:13" x14ac:dyDescent="0.35">
      <c r="A14" s="29" t="s">
        <v>4626</v>
      </c>
      <c r="B14" s="13" t="s">
        <v>4592</v>
      </c>
      <c r="C14" s="13" t="s">
        <v>4593</v>
      </c>
      <c r="D14" s="15" t="s">
        <v>4594</v>
      </c>
    </row>
    <row r="15" spans="1:13" x14ac:dyDescent="0.35">
      <c r="A15" s="22" t="s">
        <v>4627</v>
      </c>
      <c r="B15" s="6">
        <v>210</v>
      </c>
      <c r="C15" s="30"/>
      <c r="D15" s="31"/>
    </row>
    <row r="16" spans="1:13" x14ac:dyDescent="0.35">
      <c r="A16" s="22" t="s">
        <v>4626</v>
      </c>
      <c r="B16" s="30"/>
      <c r="C16" s="52">
        <v>0.96</v>
      </c>
      <c r="D16" s="42">
        <v>19428100</v>
      </c>
    </row>
    <row r="17" spans="1:6" x14ac:dyDescent="0.35">
      <c r="A17" s="22" t="s">
        <v>4628</v>
      </c>
      <c r="B17" s="30"/>
      <c r="C17" s="34">
        <v>0.04</v>
      </c>
      <c r="D17" s="42">
        <v>713250</v>
      </c>
      <c r="E17" s="34"/>
      <c r="F17" s="34"/>
    </row>
    <row r="18" spans="1:6" x14ac:dyDescent="0.35">
      <c r="A18" s="22" t="s">
        <v>4629</v>
      </c>
      <c r="B18" s="30"/>
      <c r="C18" s="23">
        <v>7.0000000000000007E-2</v>
      </c>
      <c r="D18" s="42">
        <v>732527</v>
      </c>
      <c r="E18" s="34"/>
    </row>
    <row r="19" spans="1:6" x14ac:dyDescent="0.35">
      <c r="A19" s="22" t="s">
        <v>4630</v>
      </c>
      <c r="B19" s="30"/>
      <c r="C19" s="30"/>
      <c r="D19" s="42">
        <v>10526752</v>
      </c>
      <c r="E19" s="34"/>
      <c r="F19" s="111"/>
    </row>
    <row r="20" spans="1:6" x14ac:dyDescent="0.35">
      <c r="A20" s="22" t="s">
        <v>4631</v>
      </c>
      <c r="B20" s="6">
        <v>20</v>
      </c>
      <c r="C20" s="23">
        <v>0.1</v>
      </c>
      <c r="D20" s="32"/>
    </row>
    <row r="21" spans="1:6" x14ac:dyDescent="0.35">
      <c r="A21" s="22" t="s">
        <v>4632</v>
      </c>
      <c r="B21" s="33"/>
      <c r="C21" s="23">
        <v>0.37</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CB7A-5340-4A09-A82E-4DE182136EFB}">
  <sheetPr codeName="Sheet24"/>
  <dimension ref="A1:M33"/>
  <sheetViews>
    <sheetView zoomScale="90" zoomScaleNormal="90" workbookViewId="0">
      <selection activeCell="C25" sqref="C25"/>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807</v>
      </c>
      <c r="C2" s="19">
        <f>B2/$B$7</f>
        <v>0.92439862542955331</v>
      </c>
      <c r="D2" s="20">
        <f>SUM(D3:D5)</f>
        <v>28846152</v>
      </c>
      <c r="E2" s="21">
        <f t="shared" ref="E2:E7" si="0">D2/B2</f>
        <v>35744.921933085505</v>
      </c>
      <c r="G2" s="82" t="s">
        <v>4599</v>
      </c>
      <c r="H2" s="83">
        <v>390</v>
      </c>
      <c r="I2" s="84">
        <f>H2/$H$12</f>
        <v>0.44673539518900346</v>
      </c>
      <c r="J2" s="85"/>
      <c r="K2" s="86">
        <f>L2/$L$12</f>
        <v>0.46923076923076923</v>
      </c>
      <c r="L2" s="83">
        <f t="shared" ref="L2:L9" si="1">H2-H3</f>
        <v>183</v>
      </c>
      <c r="M2" s="87" t="s">
        <v>4600</v>
      </c>
    </row>
    <row r="3" spans="1:13" x14ac:dyDescent="0.35">
      <c r="A3" s="22" t="s">
        <v>13</v>
      </c>
      <c r="B3" s="6">
        <v>668</v>
      </c>
      <c r="C3" s="19">
        <f>B3/$B$7</f>
        <v>0.76517754868270327</v>
      </c>
      <c r="D3" s="24">
        <v>24096652</v>
      </c>
      <c r="E3" s="21">
        <f t="shared" si="0"/>
        <v>36072.832335329338</v>
      </c>
      <c r="F3" s="37"/>
      <c r="G3" s="66" t="s">
        <v>4601</v>
      </c>
      <c r="H3" s="65">
        <v>207</v>
      </c>
      <c r="I3" s="75">
        <f t="shared" ref="I3:I11" si="2">H3/$H$12</f>
        <v>0.23711340206185566</v>
      </c>
      <c r="J3" s="77"/>
      <c r="K3" s="72">
        <f t="shared" ref="K3:K11" si="3">L3/$L$12</f>
        <v>0.24615384615384617</v>
      </c>
      <c r="L3" s="65">
        <f t="shared" si="1"/>
        <v>96</v>
      </c>
      <c r="M3" s="69" t="s">
        <v>4602</v>
      </c>
    </row>
    <row r="4" spans="1:13" x14ac:dyDescent="0.35">
      <c r="A4" s="22" t="s">
        <v>55</v>
      </c>
      <c r="B4" s="6">
        <v>26</v>
      </c>
      <c r="C4" s="19">
        <f>B4/$B$7</f>
        <v>2.9782359679266894E-2</v>
      </c>
      <c r="D4" s="24">
        <v>602000</v>
      </c>
      <c r="E4" s="21">
        <f t="shared" si="0"/>
        <v>23153.846153846152</v>
      </c>
      <c r="G4" s="88" t="s">
        <v>4603</v>
      </c>
      <c r="H4" s="89">
        <v>111</v>
      </c>
      <c r="I4" s="90">
        <f t="shared" si="2"/>
        <v>0.12714776632302405</v>
      </c>
      <c r="J4" s="85"/>
      <c r="K4" s="91">
        <f t="shared" si="3"/>
        <v>0.11538461538461539</v>
      </c>
      <c r="L4" s="89">
        <f t="shared" si="1"/>
        <v>45</v>
      </c>
      <c r="M4" s="92" t="s">
        <v>4604</v>
      </c>
    </row>
    <row r="5" spans="1:13" x14ac:dyDescent="0.35">
      <c r="A5" s="22" t="s">
        <v>70</v>
      </c>
      <c r="B5" s="6">
        <v>113</v>
      </c>
      <c r="C5" s="19">
        <f>B5/$B$7</f>
        <v>0.12943871706758306</v>
      </c>
      <c r="D5" s="24">
        <v>4147500</v>
      </c>
      <c r="E5" s="21">
        <f t="shared" si="0"/>
        <v>36703.539823008847</v>
      </c>
      <c r="F5" s="37"/>
      <c r="G5" s="66" t="s">
        <v>4605</v>
      </c>
      <c r="H5" s="65">
        <v>66</v>
      </c>
      <c r="I5" s="75">
        <f t="shared" si="2"/>
        <v>7.560137457044673E-2</v>
      </c>
      <c r="J5" s="77"/>
      <c r="K5" s="72">
        <f t="shared" si="3"/>
        <v>6.1538461538461542E-2</v>
      </c>
      <c r="L5" s="65">
        <f t="shared" si="1"/>
        <v>24</v>
      </c>
      <c r="M5" s="69" t="s">
        <v>4606</v>
      </c>
    </row>
    <row r="6" spans="1:13" x14ac:dyDescent="0.35">
      <c r="A6" s="22" t="s">
        <v>4648</v>
      </c>
      <c r="B6" s="6">
        <v>66</v>
      </c>
      <c r="C6" s="19">
        <f>B6/$B$7</f>
        <v>7.560137457044673E-2</v>
      </c>
      <c r="D6" s="24">
        <v>397700</v>
      </c>
      <c r="E6" s="21">
        <f t="shared" si="0"/>
        <v>6025.757575757576</v>
      </c>
      <c r="G6" s="88" t="s">
        <v>4607</v>
      </c>
      <c r="H6" s="89">
        <v>42</v>
      </c>
      <c r="I6" s="90">
        <f t="shared" si="2"/>
        <v>4.8109965635738834E-2</v>
      </c>
      <c r="J6" s="85"/>
      <c r="K6" s="91">
        <f t="shared" si="3"/>
        <v>4.1025641025641026E-2</v>
      </c>
      <c r="L6" s="89">
        <f t="shared" si="1"/>
        <v>16</v>
      </c>
      <c r="M6" s="92" t="s">
        <v>4608</v>
      </c>
    </row>
    <row r="7" spans="1:13" ht="15" thickBot="1" x14ac:dyDescent="0.4">
      <c r="A7" s="55" t="s">
        <v>633</v>
      </c>
      <c r="B7" s="56">
        <f>B2+B6</f>
        <v>873</v>
      </c>
      <c r="C7" s="56"/>
      <c r="D7" s="53">
        <f>D2+D6</f>
        <v>29243852</v>
      </c>
      <c r="E7" s="54">
        <f t="shared" si="0"/>
        <v>33498.112256586486</v>
      </c>
      <c r="G7" s="66" t="s">
        <v>4609</v>
      </c>
      <c r="H7" s="65">
        <v>26</v>
      </c>
      <c r="I7" s="75">
        <f t="shared" si="2"/>
        <v>2.9782359679266894E-2</v>
      </c>
      <c r="J7" s="77"/>
      <c r="K7" s="72">
        <f t="shared" si="3"/>
        <v>3.5897435897435895E-2</v>
      </c>
      <c r="L7" s="65">
        <f t="shared" si="1"/>
        <v>14</v>
      </c>
      <c r="M7" s="69" t="s">
        <v>4610</v>
      </c>
    </row>
    <row r="8" spans="1:13" ht="15" thickBot="1" x14ac:dyDescent="0.4">
      <c r="G8" s="88" t="s">
        <v>4611</v>
      </c>
      <c r="H8" s="89">
        <v>12</v>
      </c>
      <c r="I8" s="90">
        <f t="shared" si="2"/>
        <v>1.3745704467353952E-2</v>
      </c>
      <c r="J8" s="85"/>
      <c r="K8" s="91">
        <f t="shared" si="3"/>
        <v>7.6923076923076927E-3</v>
      </c>
      <c r="L8" s="89">
        <f t="shared" si="1"/>
        <v>3</v>
      </c>
      <c r="M8" s="92" t="s">
        <v>4612</v>
      </c>
    </row>
    <row r="9" spans="1:13" x14ac:dyDescent="0.35">
      <c r="A9" s="29" t="s">
        <v>4615</v>
      </c>
      <c r="B9" s="13" t="s">
        <v>4592</v>
      </c>
      <c r="C9" s="100" t="s">
        <v>4593</v>
      </c>
      <c r="G9" s="66" t="s">
        <v>4613</v>
      </c>
      <c r="H9" s="65">
        <v>9</v>
      </c>
      <c r="I9" s="75">
        <f t="shared" si="2"/>
        <v>1.0309278350515464E-2</v>
      </c>
      <c r="J9" s="77"/>
      <c r="K9" s="72">
        <f t="shared" si="3"/>
        <v>1.282051282051282E-2</v>
      </c>
      <c r="L9" s="65">
        <f t="shared" si="1"/>
        <v>5</v>
      </c>
      <c r="M9" s="69" t="s">
        <v>4614</v>
      </c>
    </row>
    <row r="10" spans="1:13" x14ac:dyDescent="0.35">
      <c r="A10" s="17" t="s">
        <v>4618</v>
      </c>
      <c r="B10" s="6">
        <v>2</v>
      </c>
      <c r="C10" s="31"/>
      <c r="G10" s="88" t="s">
        <v>4616</v>
      </c>
      <c r="H10" s="89">
        <v>4</v>
      </c>
      <c r="I10" s="90">
        <f t="shared" si="2"/>
        <v>4.5819014891179842E-3</v>
      </c>
      <c r="J10" s="85"/>
      <c r="K10" s="91">
        <f t="shared" si="3"/>
        <v>5.1282051282051282E-3</v>
      </c>
      <c r="L10" s="89">
        <v>2</v>
      </c>
      <c r="M10" s="92" t="s">
        <v>4617</v>
      </c>
    </row>
    <row r="11" spans="1:13" ht="15" thickBot="1" x14ac:dyDescent="0.4">
      <c r="A11" s="101" t="s">
        <v>4621</v>
      </c>
      <c r="B11" s="26">
        <v>435</v>
      </c>
      <c r="C11" s="104">
        <f>B11/1056</f>
        <v>0.41193181818181818</v>
      </c>
      <c r="G11" s="67" t="s">
        <v>4619</v>
      </c>
      <c r="H11" s="74">
        <v>6</v>
      </c>
      <c r="I11" s="76">
        <f t="shared" si="2"/>
        <v>6.8728522336769758E-3</v>
      </c>
      <c r="J11" s="77"/>
      <c r="K11" s="73">
        <f t="shared" si="3"/>
        <v>5.1282051282051282E-3</v>
      </c>
      <c r="L11" s="74">
        <v>2</v>
      </c>
      <c r="M11" s="70" t="s">
        <v>4620</v>
      </c>
    </row>
    <row r="12" spans="1:13" ht="15" thickBot="1" x14ac:dyDescent="0.4">
      <c r="A12" s="103" t="s">
        <v>4624</v>
      </c>
      <c r="G12" s="93" t="s">
        <v>4622</v>
      </c>
      <c r="H12" s="78">
        <f>SUM(H2:H11)</f>
        <v>873</v>
      </c>
      <c r="I12" s="79">
        <f>SUM(I2:I11)</f>
        <v>0.99999999999999989</v>
      </c>
      <c r="J12" s="71"/>
      <c r="K12" s="80">
        <f>SUM(K2:K11)</f>
        <v>0.99999999999999989</v>
      </c>
      <c r="L12" s="117">
        <f>SUM(L2:L11)</f>
        <v>390</v>
      </c>
      <c r="M12" s="118" t="s">
        <v>4623</v>
      </c>
    </row>
    <row r="13" spans="1:13" ht="15" thickBot="1" x14ac:dyDescent="0.4">
      <c r="E13" s="37"/>
      <c r="L13" s="119">
        <f>L12/1056</f>
        <v>0.36931818181818182</v>
      </c>
      <c r="M13" s="120" t="s">
        <v>4625</v>
      </c>
    </row>
    <row r="14" spans="1:13" x14ac:dyDescent="0.35">
      <c r="A14" s="29" t="s">
        <v>4626</v>
      </c>
      <c r="B14" s="13" t="s">
        <v>4592</v>
      </c>
      <c r="C14" s="13" t="s">
        <v>4593</v>
      </c>
      <c r="D14" s="15" t="s">
        <v>4594</v>
      </c>
    </row>
    <row r="15" spans="1:13" x14ac:dyDescent="0.35">
      <c r="A15" s="22" t="s">
        <v>4627</v>
      </c>
      <c r="B15" s="6">
        <v>215</v>
      </c>
      <c r="C15" s="30"/>
      <c r="D15" s="31"/>
    </row>
    <row r="16" spans="1:13" x14ac:dyDescent="0.35">
      <c r="A16" s="22" t="s">
        <v>4626</v>
      </c>
      <c r="B16" s="30"/>
      <c r="C16" s="52">
        <v>0.96</v>
      </c>
      <c r="D16" s="42">
        <v>17752097</v>
      </c>
    </row>
    <row r="17" spans="1:6" x14ac:dyDescent="0.35">
      <c r="A17" s="22" t="s">
        <v>4628</v>
      </c>
      <c r="B17" s="30"/>
      <c r="C17" s="34">
        <v>0.04</v>
      </c>
      <c r="D17" s="42">
        <v>753833</v>
      </c>
      <c r="E17" s="34"/>
      <c r="F17" s="34"/>
    </row>
    <row r="18" spans="1:6" x14ac:dyDescent="0.35">
      <c r="A18" s="22" t="s">
        <v>4629</v>
      </c>
      <c r="B18" s="30"/>
      <c r="C18" s="23">
        <v>7.0000000000000007E-2</v>
      </c>
      <c r="D18" s="42">
        <v>793402</v>
      </c>
      <c r="E18" s="34"/>
    </row>
    <row r="19" spans="1:6" x14ac:dyDescent="0.35">
      <c r="A19" s="22" t="s">
        <v>4630</v>
      </c>
      <c r="B19" s="30"/>
      <c r="C19" s="30"/>
      <c r="D19" s="42">
        <v>11491755</v>
      </c>
      <c r="E19" s="34"/>
      <c r="F19" s="111"/>
    </row>
    <row r="20" spans="1:6" x14ac:dyDescent="0.35">
      <c r="A20" s="22" t="s">
        <v>4631</v>
      </c>
      <c r="B20" s="6">
        <v>24</v>
      </c>
      <c r="C20" s="23">
        <v>0.11</v>
      </c>
      <c r="D20" s="32"/>
    </row>
    <row r="21" spans="1:6" x14ac:dyDescent="0.35">
      <c r="A21" s="22" t="s">
        <v>4632</v>
      </c>
      <c r="B21" s="33"/>
      <c r="C21" s="23">
        <v>0.37</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6E7F-B4C9-412C-A913-4D6427530E02}">
  <sheetPr codeName="Sheet25"/>
  <dimension ref="A1:M33"/>
  <sheetViews>
    <sheetView topLeftCell="A3" zoomScale="90" zoomScaleNormal="90" workbookViewId="0">
      <selection activeCell="K21" sqref="K21"/>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798</v>
      </c>
      <c r="C2" s="19">
        <f>B2/$B$7</f>
        <v>0.92361111111111116</v>
      </c>
      <c r="D2" s="20">
        <f>SUM(D3:D5)</f>
        <v>28046152</v>
      </c>
      <c r="E2" s="21">
        <f t="shared" ref="E2:E7" si="0">D2/B2</f>
        <v>35145.553884711779</v>
      </c>
      <c r="G2" s="82" t="s">
        <v>4599</v>
      </c>
      <c r="H2" s="83">
        <v>388</v>
      </c>
      <c r="I2" s="84">
        <f>H2/$H$12</f>
        <v>0.44907407407407407</v>
      </c>
      <c r="J2" s="85"/>
      <c r="K2" s="86">
        <f>L2/$L$12</f>
        <v>0.47422680412371132</v>
      </c>
      <c r="L2" s="83">
        <f t="shared" ref="L2:L9" si="1">H2-H3</f>
        <v>184</v>
      </c>
      <c r="M2" s="87" t="s">
        <v>4600</v>
      </c>
    </row>
    <row r="3" spans="1:13" x14ac:dyDescent="0.35">
      <c r="A3" s="22" t="s">
        <v>13</v>
      </c>
      <c r="B3" s="6">
        <v>660</v>
      </c>
      <c r="C3" s="19">
        <f>B3/$B$7</f>
        <v>0.76388888888888884</v>
      </c>
      <c r="D3" s="24">
        <v>23346652</v>
      </c>
      <c r="E3" s="21">
        <f t="shared" si="0"/>
        <v>35373.715151515149</v>
      </c>
      <c r="F3" s="37"/>
      <c r="G3" s="66" t="s">
        <v>4601</v>
      </c>
      <c r="H3" s="65">
        <v>204</v>
      </c>
      <c r="I3" s="75">
        <f t="shared" ref="I3:I11" si="2">H3/$H$12</f>
        <v>0.2361111111111111</v>
      </c>
      <c r="J3" s="77"/>
      <c r="K3" s="72">
        <f t="shared" ref="K3:K11" si="3">L3/$L$12</f>
        <v>0.24484536082474226</v>
      </c>
      <c r="L3" s="65">
        <f t="shared" si="1"/>
        <v>95</v>
      </c>
      <c r="M3" s="69" t="s">
        <v>4602</v>
      </c>
    </row>
    <row r="4" spans="1:13" x14ac:dyDescent="0.35">
      <c r="A4" s="22" t="s">
        <v>55</v>
      </c>
      <c r="B4" s="6">
        <v>25</v>
      </c>
      <c r="C4" s="19">
        <f>B4/$B$7</f>
        <v>2.8935185185185185E-2</v>
      </c>
      <c r="D4" s="24">
        <v>552000</v>
      </c>
      <c r="E4" s="21">
        <f t="shared" si="0"/>
        <v>22080</v>
      </c>
      <c r="G4" s="88" t="s">
        <v>4603</v>
      </c>
      <c r="H4" s="89">
        <v>109</v>
      </c>
      <c r="I4" s="90">
        <f t="shared" si="2"/>
        <v>0.12615740740740741</v>
      </c>
      <c r="J4" s="85"/>
      <c r="K4" s="91">
        <f t="shared" si="3"/>
        <v>0.1134020618556701</v>
      </c>
      <c r="L4" s="89">
        <f t="shared" si="1"/>
        <v>44</v>
      </c>
      <c r="M4" s="92" t="s">
        <v>4604</v>
      </c>
    </row>
    <row r="5" spans="1:13" x14ac:dyDescent="0.35">
      <c r="A5" s="22" t="s">
        <v>70</v>
      </c>
      <c r="B5" s="6">
        <v>113</v>
      </c>
      <c r="C5" s="19">
        <f>B5/$B$7</f>
        <v>0.13078703703703703</v>
      </c>
      <c r="D5" s="24">
        <v>4147500</v>
      </c>
      <c r="E5" s="21">
        <f t="shared" si="0"/>
        <v>36703.539823008847</v>
      </c>
      <c r="F5" s="37"/>
      <c r="G5" s="66" t="s">
        <v>4605</v>
      </c>
      <c r="H5" s="65">
        <v>65</v>
      </c>
      <c r="I5" s="75">
        <f t="shared" si="2"/>
        <v>7.5231481481481483E-2</v>
      </c>
      <c r="J5" s="77"/>
      <c r="K5" s="72">
        <f t="shared" si="3"/>
        <v>5.9278350515463915E-2</v>
      </c>
      <c r="L5" s="65">
        <f t="shared" si="1"/>
        <v>23</v>
      </c>
      <c r="M5" s="69" t="s">
        <v>4606</v>
      </c>
    </row>
    <row r="6" spans="1:13" x14ac:dyDescent="0.35">
      <c r="A6" s="22" t="s">
        <v>4648</v>
      </c>
      <c r="B6" s="6">
        <v>66</v>
      </c>
      <c r="C6" s="19">
        <f>B6/$B$7</f>
        <v>7.6388888888888895E-2</v>
      </c>
      <c r="D6" s="24">
        <v>397700</v>
      </c>
      <c r="E6" s="21">
        <f t="shared" si="0"/>
        <v>6025.757575757576</v>
      </c>
      <c r="G6" s="88" t="s">
        <v>4607</v>
      </c>
      <c r="H6" s="89">
        <v>42</v>
      </c>
      <c r="I6" s="90">
        <f t="shared" si="2"/>
        <v>4.8611111111111112E-2</v>
      </c>
      <c r="J6" s="85"/>
      <c r="K6" s="91">
        <f t="shared" si="3"/>
        <v>4.3814432989690719E-2</v>
      </c>
      <c r="L6" s="89">
        <f t="shared" si="1"/>
        <v>17</v>
      </c>
      <c r="M6" s="92" t="s">
        <v>4608</v>
      </c>
    </row>
    <row r="7" spans="1:13" ht="15" thickBot="1" x14ac:dyDescent="0.4">
      <c r="A7" s="55" t="s">
        <v>633</v>
      </c>
      <c r="B7" s="56">
        <f>B2+B6</f>
        <v>864</v>
      </c>
      <c r="C7" s="56"/>
      <c r="D7" s="53">
        <f>D2+D6</f>
        <v>28443852</v>
      </c>
      <c r="E7" s="54">
        <f t="shared" si="0"/>
        <v>32921.125</v>
      </c>
      <c r="G7" s="66" t="s">
        <v>4609</v>
      </c>
      <c r="H7" s="65">
        <v>25</v>
      </c>
      <c r="I7" s="75">
        <f t="shared" si="2"/>
        <v>2.8935185185185185E-2</v>
      </c>
      <c r="J7" s="77"/>
      <c r="K7" s="72">
        <f t="shared" si="3"/>
        <v>3.3505154639175257E-2</v>
      </c>
      <c r="L7" s="65">
        <f t="shared" si="1"/>
        <v>13</v>
      </c>
      <c r="M7" s="69" t="s">
        <v>4610</v>
      </c>
    </row>
    <row r="8" spans="1:13" ht="15" thickBot="1" x14ac:dyDescent="0.4">
      <c r="G8" s="88" t="s">
        <v>4611</v>
      </c>
      <c r="H8" s="89">
        <v>12</v>
      </c>
      <c r="I8" s="90">
        <f t="shared" si="2"/>
        <v>1.3888888888888888E-2</v>
      </c>
      <c r="J8" s="85"/>
      <c r="K8" s="91">
        <f t="shared" si="3"/>
        <v>7.7319587628865982E-3</v>
      </c>
      <c r="L8" s="89">
        <f t="shared" si="1"/>
        <v>3</v>
      </c>
      <c r="M8" s="92" t="s">
        <v>4612</v>
      </c>
    </row>
    <row r="9" spans="1:13" x14ac:dyDescent="0.35">
      <c r="A9" s="29" t="s">
        <v>4615</v>
      </c>
      <c r="B9" s="13" t="s">
        <v>4592</v>
      </c>
      <c r="C9" s="100" t="s">
        <v>4593</v>
      </c>
      <c r="G9" s="66" t="s">
        <v>4613</v>
      </c>
      <c r="H9" s="65">
        <v>9</v>
      </c>
      <c r="I9" s="75">
        <f t="shared" si="2"/>
        <v>1.0416666666666666E-2</v>
      </c>
      <c r="J9" s="77"/>
      <c r="K9" s="72">
        <f t="shared" si="3"/>
        <v>1.2886597938144329E-2</v>
      </c>
      <c r="L9" s="65">
        <f t="shared" si="1"/>
        <v>5</v>
      </c>
      <c r="M9" s="69" t="s">
        <v>4614</v>
      </c>
    </row>
    <row r="10" spans="1:13" x14ac:dyDescent="0.35">
      <c r="A10" s="17" t="s">
        <v>4618</v>
      </c>
      <c r="B10" s="6">
        <v>8</v>
      </c>
      <c r="C10" s="31"/>
      <c r="G10" s="88" t="s">
        <v>4616</v>
      </c>
      <c r="H10" s="89">
        <v>4</v>
      </c>
      <c r="I10" s="90">
        <f t="shared" si="2"/>
        <v>4.6296296296296294E-3</v>
      </c>
      <c r="J10" s="85"/>
      <c r="K10" s="91">
        <f t="shared" si="3"/>
        <v>5.1546391752577319E-3</v>
      </c>
      <c r="L10" s="89">
        <v>2</v>
      </c>
      <c r="M10" s="92" t="s">
        <v>4617</v>
      </c>
    </row>
    <row r="11" spans="1:13" ht="15" thickBot="1" x14ac:dyDescent="0.4">
      <c r="A11" s="101" t="s">
        <v>4621</v>
      </c>
      <c r="B11" s="26">
        <v>433</v>
      </c>
      <c r="C11" s="104">
        <f>B11/1000</f>
        <v>0.433</v>
      </c>
      <c r="G11" s="67" t="s">
        <v>4619</v>
      </c>
      <c r="H11" s="74">
        <v>6</v>
      </c>
      <c r="I11" s="76">
        <f t="shared" si="2"/>
        <v>6.9444444444444441E-3</v>
      </c>
      <c r="J11" s="77"/>
      <c r="K11" s="73">
        <f t="shared" si="3"/>
        <v>5.1546391752577319E-3</v>
      </c>
      <c r="L11" s="74">
        <v>2</v>
      </c>
      <c r="M11" s="70" t="s">
        <v>4620</v>
      </c>
    </row>
    <row r="12" spans="1:13" ht="15" thickBot="1" x14ac:dyDescent="0.4">
      <c r="A12" s="103" t="s">
        <v>4624</v>
      </c>
      <c r="G12" s="93" t="s">
        <v>4622</v>
      </c>
      <c r="H12" s="78">
        <f>SUM(H2:H11)</f>
        <v>864</v>
      </c>
      <c r="I12" s="79">
        <f>SUM(I2:I11)</f>
        <v>1</v>
      </c>
      <c r="J12" s="71"/>
      <c r="K12" s="80">
        <f>SUM(K2:K11)</f>
        <v>0.99999999999999989</v>
      </c>
      <c r="L12" s="117">
        <f>SUM(L2:L11)</f>
        <v>388</v>
      </c>
      <c r="M12" s="118" t="s">
        <v>4623</v>
      </c>
    </row>
    <row r="13" spans="1:13" ht="15" thickBot="1" x14ac:dyDescent="0.4">
      <c r="E13" s="37"/>
      <c r="L13" s="119">
        <f>L12/1056</f>
        <v>0.36742424242424243</v>
      </c>
      <c r="M13" s="120" t="s">
        <v>4625</v>
      </c>
    </row>
    <row r="14" spans="1:13" x14ac:dyDescent="0.35">
      <c r="A14" s="29" t="s">
        <v>4626</v>
      </c>
      <c r="B14" s="13" t="s">
        <v>4592</v>
      </c>
      <c r="C14" s="13" t="s">
        <v>4593</v>
      </c>
      <c r="D14" s="15" t="s">
        <v>4594</v>
      </c>
    </row>
    <row r="15" spans="1:13" x14ac:dyDescent="0.35">
      <c r="A15" s="22" t="s">
        <v>4627</v>
      </c>
      <c r="B15" s="6">
        <v>211</v>
      </c>
      <c r="C15" s="30"/>
      <c r="D15" s="31"/>
    </row>
    <row r="16" spans="1:13" x14ac:dyDescent="0.35">
      <c r="A16" s="22" t="s">
        <v>4626</v>
      </c>
      <c r="B16" s="30"/>
      <c r="C16" s="52">
        <v>0.94</v>
      </c>
      <c r="D16" s="42">
        <v>15876093</v>
      </c>
    </row>
    <row r="17" spans="1:6" x14ac:dyDescent="0.35">
      <c r="A17" s="22" t="s">
        <v>4628</v>
      </c>
      <c r="B17" s="30"/>
      <c r="C17" s="34">
        <v>0.06</v>
      </c>
      <c r="D17" s="42">
        <v>956749</v>
      </c>
      <c r="E17" s="34"/>
      <c r="F17" s="34"/>
    </row>
    <row r="18" spans="1:6" x14ac:dyDescent="0.35">
      <c r="A18" s="22" t="s">
        <v>4629</v>
      </c>
      <c r="B18" s="30"/>
      <c r="C18" s="23">
        <v>0.08</v>
      </c>
      <c r="D18" s="42">
        <v>996318</v>
      </c>
      <c r="E18" s="34"/>
    </row>
    <row r="19" spans="1:6" x14ac:dyDescent="0.35">
      <c r="A19" s="22" t="s">
        <v>4630</v>
      </c>
      <c r="B19" s="30"/>
      <c r="C19" s="30"/>
      <c r="D19" s="42">
        <v>12567759</v>
      </c>
      <c r="E19" s="34"/>
      <c r="F19" s="111"/>
    </row>
    <row r="20" spans="1:6" x14ac:dyDescent="0.35">
      <c r="A20" s="22" t="s">
        <v>4631</v>
      </c>
      <c r="B20" s="6">
        <v>23</v>
      </c>
      <c r="C20" s="23">
        <v>0.11</v>
      </c>
      <c r="D20" s="32"/>
    </row>
    <row r="21" spans="1:6" x14ac:dyDescent="0.35">
      <c r="A21" s="22" t="s">
        <v>4632</v>
      </c>
      <c r="B21" s="33"/>
      <c r="C21" s="23">
        <v>0.36</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E966B-C1E8-44CB-865C-56CA147E6A85}">
  <sheetPr codeName="Sheet26"/>
  <dimension ref="A1:M33"/>
  <sheetViews>
    <sheetView topLeftCell="A6" zoomScale="90" zoomScaleNormal="90" workbookViewId="0">
      <selection activeCell="B11" sqref="B11"/>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787</v>
      </c>
      <c r="C2" s="19">
        <f>B2/$B$7</f>
        <v>0.92370892018779338</v>
      </c>
      <c r="D2" s="20">
        <f>SUM(D3:D5)</f>
        <v>26406152</v>
      </c>
      <c r="E2" s="21">
        <f t="shared" ref="E2:E7" si="0">D2/B2</f>
        <v>33552.925031766201</v>
      </c>
      <c r="G2" s="82" t="s">
        <v>4599</v>
      </c>
      <c r="H2" s="83">
        <v>380</v>
      </c>
      <c r="I2" s="84">
        <f>H2/$H$12</f>
        <v>0.4460093896713615</v>
      </c>
      <c r="J2" s="85"/>
      <c r="K2" s="86">
        <f>L2/$L$12</f>
        <v>0.4631578947368421</v>
      </c>
      <c r="L2" s="83">
        <f t="shared" ref="L2:L9" si="1">H2-H3</f>
        <v>176</v>
      </c>
      <c r="M2" s="87" t="s">
        <v>4600</v>
      </c>
    </row>
    <row r="3" spans="1:13" x14ac:dyDescent="0.35">
      <c r="A3" s="22" t="s">
        <v>13</v>
      </c>
      <c r="B3" s="6">
        <v>649</v>
      </c>
      <c r="C3" s="19">
        <f>B3/$B$7</f>
        <v>0.76173708920187788</v>
      </c>
      <c r="D3" s="24">
        <v>21706652</v>
      </c>
      <c r="E3" s="21">
        <f t="shared" si="0"/>
        <v>33446.305084745763</v>
      </c>
      <c r="F3" s="37"/>
      <c r="G3" s="66" t="s">
        <v>4601</v>
      </c>
      <c r="H3" s="65">
        <v>204</v>
      </c>
      <c r="I3" s="75">
        <f t="shared" ref="I3:I11" si="2">H3/$H$12</f>
        <v>0.23943661971830985</v>
      </c>
      <c r="J3" s="77"/>
      <c r="K3" s="72">
        <f t="shared" ref="K3:K11" si="3">L3/$L$12</f>
        <v>0.25263157894736843</v>
      </c>
      <c r="L3" s="65">
        <f t="shared" si="1"/>
        <v>96</v>
      </c>
      <c r="M3" s="69" t="s">
        <v>4602</v>
      </c>
    </row>
    <row r="4" spans="1:13" x14ac:dyDescent="0.35">
      <c r="A4" s="22" t="s">
        <v>55</v>
      </c>
      <c r="B4" s="6">
        <v>25</v>
      </c>
      <c r="C4" s="19">
        <f>B4/$B$7</f>
        <v>2.9342723004694836E-2</v>
      </c>
      <c r="D4" s="24">
        <v>552000</v>
      </c>
      <c r="E4" s="21">
        <f t="shared" si="0"/>
        <v>22080</v>
      </c>
      <c r="G4" s="88" t="s">
        <v>4603</v>
      </c>
      <c r="H4" s="89">
        <v>108</v>
      </c>
      <c r="I4" s="90">
        <f t="shared" si="2"/>
        <v>0.12676056338028169</v>
      </c>
      <c r="J4" s="85"/>
      <c r="K4" s="91">
        <f t="shared" si="3"/>
        <v>0.11578947368421053</v>
      </c>
      <c r="L4" s="89">
        <f t="shared" si="1"/>
        <v>44</v>
      </c>
      <c r="M4" s="92" t="s">
        <v>4604</v>
      </c>
    </row>
    <row r="5" spans="1:13" x14ac:dyDescent="0.35">
      <c r="A5" s="22" t="s">
        <v>70</v>
      </c>
      <c r="B5" s="6">
        <v>113</v>
      </c>
      <c r="C5" s="19">
        <f>B5/$B$7</f>
        <v>0.13262910798122066</v>
      </c>
      <c r="D5" s="24">
        <v>4147500</v>
      </c>
      <c r="E5" s="21">
        <f t="shared" si="0"/>
        <v>36703.539823008847</v>
      </c>
      <c r="F5" s="37"/>
      <c r="G5" s="66" t="s">
        <v>4605</v>
      </c>
      <c r="H5" s="65">
        <v>64</v>
      </c>
      <c r="I5" s="75">
        <f t="shared" si="2"/>
        <v>7.5117370892018781E-2</v>
      </c>
      <c r="J5" s="77"/>
      <c r="K5" s="72">
        <f t="shared" si="3"/>
        <v>6.0526315789473685E-2</v>
      </c>
      <c r="L5" s="65">
        <f t="shared" si="1"/>
        <v>23</v>
      </c>
      <c r="M5" s="69" t="s">
        <v>4606</v>
      </c>
    </row>
    <row r="6" spans="1:13" x14ac:dyDescent="0.35">
      <c r="A6" s="22" t="s">
        <v>4648</v>
      </c>
      <c r="B6" s="6">
        <v>65</v>
      </c>
      <c r="C6" s="19">
        <f>B6/$B$7</f>
        <v>7.6291079812206578E-2</v>
      </c>
      <c r="D6" s="24">
        <v>386700</v>
      </c>
      <c r="E6" s="21">
        <f t="shared" si="0"/>
        <v>5949.2307692307695</v>
      </c>
      <c r="G6" s="88" t="s">
        <v>4607</v>
      </c>
      <c r="H6" s="89">
        <v>41</v>
      </c>
      <c r="I6" s="90">
        <f t="shared" si="2"/>
        <v>4.8122065727699531E-2</v>
      </c>
      <c r="J6" s="85"/>
      <c r="K6" s="91">
        <f t="shared" si="3"/>
        <v>4.4736842105263158E-2</v>
      </c>
      <c r="L6" s="89">
        <f t="shared" si="1"/>
        <v>17</v>
      </c>
      <c r="M6" s="92" t="s">
        <v>4608</v>
      </c>
    </row>
    <row r="7" spans="1:13" ht="15" thickBot="1" x14ac:dyDescent="0.4">
      <c r="A7" s="55" t="s">
        <v>633</v>
      </c>
      <c r="B7" s="56">
        <f>B2+B6</f>
        <v>852</v>
      </c>
      <c r="C7" s="56"/>
      <c r="D7" s="53">
        <f>D2+D6</f>
        <v>26792852</v>
      </c>
      <c r="E7" s="54">
        <f t="shared" si="0"/>
        <v>31447.009389671362</v>
      </c>
      <c r="G7" s="66" t="s">
        <v>4609</v>
      </c>
      <c r="H7" s="65">
        <v>24</v>
      </c>
      <c r="I7" s="75">
        <f t="shared" si="2"/>
        <v>2.8169014084507043E-2</v>
      </c>
      <c r="J7" s="77"/>
      <c r="K7" s="72">
        <f t="shared" si="3"/>
        <v>3.1578947368421054E-2</v>
      </c>
      <c r="L7" s="65">
        <f t="shared" si="1"/>
        <v>12</v>
      </c>
      <c r="M7" s="69" t="s">
        <v>4610</v>
      </c>
    </row>
    <row r="8" spans="1:13" ht="15" thickBot="1" x14ac:dyDescent="0.4">
      <c r="G8" s="88" t="s">
        <v>4611</v>
      </c>
      <c r="H8" s="89">
        <v>12</v>
      </c>
      <c r="I8" s="90">
        <f t="shared" si="2"/>
        <v>1.4084507042253521E-2</v>
      </c>
      <c r="J8" s="85"/>
      <c r="K8" s="91">
        <f t="shared" si="3"/>
        <v>7.8947368421052634E-3</v>
      </c>
      <c r="L8" s="89">
        <f t="shared" si="1"/>
        <v>3</v>
      </c>
      <c r="M8" s="92" t="s">
        <v>4612</v>
      </c>
    </row>
    <row r="9" spans="1:13" x14ac:dyDescent="0.35">
      <c r="A9" s="29" t="s">
        <v>4615</v>
      </c>
      <c r="B9" s="13" t="s">
        <v>4592</v>
      </c>
      <c r="C9" s="100" t="s">
        <v>4593</v>
      </c>
      <c r="G9" s="66" t="s">
        <v>4613</v>
      </c>
      <c r="H9" s="65">
        <v>9</v>
      </c>
      <c r="I9" s="75">
        <f t="shared" si="2"/>
        <v>1.0563380281690141E-2</v>
      </c>
      <c r="J9" s="77"/>
      <c r="K9" s="72">
        <f t="shared" si="3"/>
        <v>1.3157894736842105E-2</v>
      </c>
      <c r="L9" s="65">
        <f t="shared" si="1"/>
        <v>5</v>
      </c>
      <c r="M9" s="69" t="s">
        <v>4614</v>
      </c>
    </row>
    <row r="10" spans="1:13" x14ac:dyDescent="0.35">
      <c r="A10" s="17" t="s">
        <v>4618</v>
      </c>
      <c r="B10" s="6">
        <v>4</v>
      </c>
      <c r="C10" s="31"/>
      <c r="G10" s="88" t="s">
        <v>4616</v>
      </c>
      <c r="H10" s="89">
        <v>4</v>
      </c>
      <c r="I10" s="90">
        <f t="shared" si="2"/>
        <v>4.6948356807511738E-3</v>
      </c>
      <c r="J10" s="85"/>
      <c r="K10" s="91">
        <f t="shared" si="3"/>
        <v>5.263157894736842E-3</v>
      </c>
      <c r="L10" s="89">
        <v>2</v>
      </c>
      <c r="M10" s="92" t="s">
        <v>4617</v>
      </c>
    </row>
    <row r="11" spans="1:13" ht="15" thickBot="1" x14ac:dyDescent="0.4">
      <c r="A11" s="101" t="s">
        <v>4621</v>
      </c>
      <c r="B11" s="26">
        <v>425</v>
      </c>
      <c r="C11" s="104">
        <f>B11/1000</f>
        <v>0.42499999999999999</v>
      </c>
      <c r="G11" s="67" t="s">
        <v>4619</v>
      </c>
      <c r="H11" s="74">
        <v>6</v>
      </c>
      <c r="I11" s="76">
        <f t="shared" si="2"/>
        <v>7.0422535211267607E-3</v>
      </c>
      <c r="J11" s="77"/>
      <c r="K11" s="73">
        <f t="shared" si="3"/>
        <v>5.263157894736842E-3</v>
      </c>
      <c r="L11" s="74">
        <v>2</v>
      </c>
      <c r="M11" s="70" t="s">
        <v>4620</v>
      </c>
    </row>
    <row r="12" spans="1:13" ht="15" thickBot="1" x14ac:dyDescent="0.4">
      <c r="A12" s="103" t="s">
        <v>4624</v>
      </c>
      <c r="G12" s="93" t="s">
        <v>4622</v>
      </c>
      <c r="H12" s="78">
        <f>SUM(H2:H11)</f>
        <v>852</v>
      </c>
      <c r="I12" s="79">
        <f>SUM(I2:I11)</f>
        <v>0.99999999999999978</v>
      </c>
      <c r="J12" s="71"/>
      <c r="K12" s="80">
        <f>SUM(K2:K11)</f>
        <v>1</v>
      </c>
      <c r="L12" s="117">
        <f>SUM(L2:L11)</f>
        <v>380</v>
      </c>
      <c r="M12" s="118" t="s">
        <v>4623</v>
      </c>
    </row>
    <row r="13" spans="1:13" ht="15" thickBot="1" x14ac:dyDescent="0.4">
      <c r="E13" s="37"/>
      <c r="L13" s="119">
        <f>L12/1024</f>
        <v>0.37109375</v>
      </c>
      <c r="M13" s="120" t="s">
        <v>4625</v>
      </c>
    </row>
    <row r="14" spans="1:13" x14ac:dyDescent="0.35">
      <c r="A14" s="29" t="s">
        <v>4626</v>
      </c>
      <c r="B14" s="13" t="s">
        <v>4592</v>
      </c>
      <c r="C14" s="13" t="s">
        <v>4593</v>
      </c>
      <c r="D14" s="15" t="s">
        <v>4594</v>
      </c>
    </row>
    <row r="15" spans="1:13" x14ac:dyDescent="0.35">
      <c r="A15" s="22" t="s">
        <v>4627</v>
      </c>
      <c r="B15" s="6">
        <v>206</v>
      </c>
      <c r="C15" s="30"/>
      <c r="D15" s="31"/>
    </row>
    <row r="16" spans="1:13" x14ac:dyDescent="0.35">
      <c r="A16" s="22" t="s">
        <v>4626</v>
      </c>
      <c r="B16" s="30"/>
      <c r="C16" s="52">
        <v>0.93</v>
      </c>
      <c r="D16" s="42">
        <v>13870090</v>
      </c>
    </row>
    <row r="17" spans="1:6" x14ac:dyDescent="0.35">
      <c r="A17" s="22" t="s">
        <v>4628</v>
      </c>
      <c r="B17" s="30"/>
      <c r="C17" s="34">
        <v>7.0000000000000007E-2</v>
      </c>
      <c r="D17" s="42">
        <v>1044003</v>
      </c>
      <c r="E17" s="34"/>
      <c r="F17" s="34"/>
    </row>
    <row r="18" spans="1:6" x14ac:dyDescent="0.35">
      <c r="A18" s="22" t="s">
        <v>4629</v>
      </c>
      <c r="B18" s="30"/>
      <c r="C18" s="23">
        <v>0.08</v>
      </c>
      <c r="D18" s="42">
        <v>1070382</v>
      </c>
      <c r="E18" s="34"/>
    </row>
    <row r="19" spans="1:6" x14ac:dyDescent="0.35">
      <c r="A19" s="22" t="s">
        <v>4630</v>
      </c>
      <c r="B19" s="30"/>
      <c r="C19" s="30"/>
      <c r="D19" s="42">
        <v>12922762</v>
      </c>
      <c r="E19" s="34"/>
      <c r="F19" s="111"/>
    </row>
    <row r="20" spans="1:6" x14ac:dyDescent="0.35">
      <c r="A20" s="22" t="s">
        <v>4631</v>
      </c>
      <c r="B20" s="6">
        <v>20</v>
      </c>
      <c r="C20" s="23">
        <v>0.1</v>
      </c>
      <c r="D20" s="32"/>
    </row>
    <row r="21" spans="1:6" x14ac:dyDescent="0.35">
      <c r="A21" s="22" t="s">
        <v>4632</v>
      </c>
      <c r="B21" s="33"/>
      <c r="C21" s="23">
        <v>0.36</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7932-8DCB-406C-8FEA-9C1075A840F4}">
  <sheetPr codeName="Sheet27"/>
  <dimension ref="A1:M33"/>
  <sheetViews>
    <sheetView topLeftCell="A3" zoomScale="90" zoomScaleNormal="90" workbookViewId="0">
      <selection activeCell="D3" sqref="D3"/>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775</v>
      </c>
      <c r="C2" s="19">
        <f>B2/$B$7</f>
        <v>0.92261904761904767</v>
      </c>
      <c r="D2" s="20">
        <f>SUM(D3:D5)</f>
        <v>25704152</v>
      </c>
      <c r="E2" s="21">
        <f t="shared" ref="E2:E7" si="0">D2/B2</f>
        <v>33166.647741935485</v>
      </c>
      <c r="G2" s="82" t="s">
        <v>4599</v>
      </c>
      <c r="H2" s="83">
        <v>376</v>
      </c>
      <c r="I2" s="84">
        <f>H2/$H$12</f>
        <v>0.44761904761904764</v>
      </c>
      <c r="J2" s="85"/>
      <c r="K2" s="86">
        <f>L2/$L$12</f>
        <v>0.46808510638297873</v>
      </c>
      <c r="L2" s="83">
        <f t="shared" ref="L2:L9" si="1">H2-H3</f>
        <v>176</v>
      </c>
      <c r="M2" s="87" t="s">
        <v>4600</v>
      </c>
    </row>
    <row r="3" spans="1:13" x14ac:dyDescent="0.35">
      <c r="A3" s="22" t="s">
        <v>13</v>
      </c>
      <c r="B3" s="6">
        <v>637</v>
      </c>
      <c r="C3" s="19">
        <f>B3/$B$7</f>
        <v>0.7583333333333333</v>
      </c>
      <c r="D3" s="24">
        <v>21004652</v>
      </c>
      <c r="E3" s="21">
        <f t="shared" si="0"/>
        <v>32974.335949764522</v>
      </c>
      <c r="F3" s="37"/>
      <c r="G3" s="66" t="s">
        <v>4601</v>
      </c>
      <c r="H3" s="65">
        <v>200</v>
      </c>
      <c r="I3" s="75">
        <f t="shared" ref="I3:I11" si="2">H3/$H$12</f>
        <v>0.23809523809523808</v>
      </c>
      <c r="J3" s="77"/>
      <c r="K3" s="72">
        <f t="shared" ref="K3:K11" si="3">L3/$L$12</f>
        <v>0.2473404255319149</v>
      </c>
      <c r="L3" s="65">
        <f t="shared" si="1"/>
        <v>93</v>
      </c>
      <c r="M3" s="69" t="s">
        <v>4602</v>
      </c>
    </row>
    <row r="4" spans="1:13" x14ac:dyDescent="0.35">
      <c r="A4" s="22" t="s">
        <v>55</v>
      </c>
      <c r="B4" s="6">
        <v>25</v>
      </c>
      <c r="C4" s="19">
        <f>B4/$B$7</f>
        <v>2.976190476190476E-2</v>
      </c>
      <c r="D4" s="24">
        <v>552000</v>
      </c>
      <c r="E4" s="21">
        <f t="shared" si="0"/>
        <v>22080</v>
      </c>
      <c r="G4" s="88" t="s">
        <v>4603</v>
      </c>
      <c r="H4" s="89">
        <v>107</v>
      </c>
      <c r="I4" s="90">
        <f t="shared" si="2"/>
        <v>0.12738095238095237</v>
      </c>
      <c r="J4" s="85"/>
      <c r="K4" s="91">
        <f t="shared" si="3"/>
        <v>0.11702127659574468</v>
      </c>
      <c r="L4" s="89">
        <f t="shared" si="1"/>
        <v>44</v>
      </c>
      <c r="M4" s="92" t="s">
        <v>4604</v>
      </c>
    </row>
    <row r="5" spans="1:13" x14ac:dyDescent="0.35">
      <c r="A5" s="22" t="s">
        <v>70</v>
      </c>
      <c r="B5" s="6">
        <v>113</v>
      </c>
      <c r="C5" s="19">
        <f>B5/$B$7</f>
        <v>0.13452380952380952</v>
      </c>
      <c r="D5" s="24">
        <v>4147500</v>
      </c>
      <c r="E5" s="21">
        <f t="shared" si="0"/>
        <v>36703.539823008847</v>
      </c>
      <c r="F5" s="37"/>
      <c r="G5" s="66" t="s">
        <v>4605</v>
      </c>
      <c r="H5" s="65">
        <v>63</v>
      </c>
      <c r="I5" s="75">
        <f t="shared" si="2"/>
        <v>7.4999999999999997E-2</v>
      </c>
      <c r="J5" s="77"/>
      <c r="K5" s="72">
        <f t="shared" si="3"/>
        <v>5.8510638297872342E-2</v>
      </c>
      <c r="L5" s="65">
        <f t="shared" si="1"/>
        <v>22</v>
      </c>
      <c r="M5" s="69" t="s">
        <v>4606</v>
      </c>
    </row>
    <row r="6" spans="1:13" x14ac:dyDescent="0.35">
      <c r="A6" s="22" t="s">
        <v>4648</v>
      </c>
      <c r="B6" s="6">
        <v>65</v>
      </c>
      <c r="C6" s="19">
        <f>B6/$B$7</f>
        <v>7.7380952380952384E-2</v>
      </c>
      <c r="D6" s="24">
        <v>386700</v>
      </c>
      <c r="E6" s="21">
        <f t="shared" si="0"/>
        <v>5949.2307692307695</v>
      </c>
      <c r="G6" s="88" t="s">
        <v>4607</v>
      </c>
      <c r="H6" s="89">
        <v>41</v>
      </c>
      <c r="I6" s="90">
        <f t="shared" si="2"/>
        <v>4.880952380952381E-2</v>
      </c>
      <c r="J6" s="85"/>
      <c r="K6" s="91">
        <f t="shared" si="3"/>
        <v>5.0531914893617018E-2</v>
      </c>
      <c r="L6" s="89">
        <f t="shared" si="1"/>
        <v>19</v>
      </c>
      <c r="M6" s="92" t="s">
        <v>4608</v>
      </c>
    </row>
    <row r="7" spans="1:13" ht="15" thickBot="1" x14ac:dyDescent="0.4">
      <c r="A7" s="55" t="s">
        <v>633</v>
      </c>
      <c r="B7" s="56">
        <f>B2+B6</f>
        <v>840</v>
      </c>
      <c r="C7" s="56"/>
      <c r="D7" s="53">
        <f>D2+D6</f>
        <v>26090852</v>
      </c>
      <c r="E7" s="54">
        <f t="shared" si="0"/>
        <v>31060.538095238095</v>
      </c>
      <c r="G7" s="66" t="s">
        <v>4609</v>
      </c>
      <c r="H7" s="65">
        <v>22</v>
      </c>
      <c r="I7" s="75">
        <f t="shared" si="2"/>
        <v>2.6190476190476191E-2</v>
      </c>
      <c r="J7" s="77"/>
      <c r="K7" s="72">
        <f t="shared" si="3"/>
        <v>2.6595744680851064E-2</v>
      </c>
      <c r="L7" s="65">
        <f t="shared" si="1"/>
        <v>10</v>
      </c>
      <c r="M7" s="69" t="s">
        <v>4610</v>
      </c>
    </row>
    <row r="8" spans="1:13" ht="15" thickBot="1" x14ac:dyDescent="0.4">
      <c r="G8" s="88" t="s">
        <v>4611</v>
      </c>
      <c r="H8" s="89">
        <v>12</v>
      </c>
      <c r="I8" s="90">
        <f t="shared" si="2"/>
        <v>1.4285714285714285E-2</v>
      </c>
      <c r="J8" s="85"/>
      <c r="K8" s="91">
        <f t="shared" si="3"/>
        <v>7.9787234042553185E-3</v>
      </c>
      <c r="L8" s="89">
        <f t="shared" si="1"/>
        <v>3</v>
      </c>
      <c r="M8" s="92" t="s">
        <v>4612</v>
      </c>
    </row>
    <row r="9" spans="1:13" x14ac:dyDescent="0.35">
      <c r="A9" s="29" t="s">
        <v>4615</v>
      </c>
      <c r="B9" s="13" t="s">
        <v>4592</v>
      </c>
      <c r="C9" s="100" t="s">
        <v>4593</v>
      </c>
      <c r="G9" s="66" t="s">
        <v>4613</v>
      </c>
      <c r="H9" s="65">
        <v>9</v>
      </c>
      <c r="I9" s="75">
        <f t="shared" si="2"/>
        <v>1.0714285714285714E-2</v>
      </c>
      <c r="J9" s="77"/>
      <c r="K9" s="72">
        <f t="shared" si="3"/>
        <v>1.3297872340425532E-2</v>
      </c>
      <c r="L9" s="65">
        <f t="shared" si="1"/>
        <v>5</v>
      </c>
      <c r="M9" s="69" t="s">
        <v>4614</v>
      </c>
    </row>
    <row r="10" spans="1:13" x14ac:dyDescent="0.35">
      <c r="A10" s="17" t="s">
        <v>4618</v>
      </c>
      <c r="B10" s="6">
        <v>4</v>
      </c>
      <c r="C10" s="31"/>
      <c r="G10" s="88" t="s">
        <v>4616</v>
      </c>
      <c r="H10" s="89">
        <v>4</v>
      </c>
      <c r="I10" s="90">
        <f t="shared" si="2"/>
        <v>4.7619047619047623E-3</v>
      </c>
      <c r="J10" s="85"/>
      <c r="K10" s="91">
        <f t="shared" si="3"/>
        <v>5.3191489361702126E-3</v>
      </c>
      <c r="L10" s="89">
        <v>2</v>
      </c>
      <c r="M10" s="92" t="s">
        <v>4617</v>
      </c>
    </row>
    <row r="11" spans="1:13" ht="15" thickBot="1" x14ac:dyDescent="0.4">
      <c r="A11" s="101" t="s">
        <v>4621</v>
      </c>
      <c r="B11" s="26">
        <v>421</v>
      </c>
      <c r="C11" s="104">
        <f>B11/1000</f>
        <v>0.42099999999999999</v>
      </c>
      <c r="G11" s="67" t="s">
        <v>4619</v>
      </c>
      <c r="H11" s="74">
        <v>6</v>
      </c>
      <c r="I11" s="76">
        <f t="shared" si="2"/>
        <v>7.1428571428571426E-3</v>
      </c>
      <c r="J11" s="77"/>
      <c r="K11" s="73">
        <f t="shared" si="3"/>
        <v>5.3191489361702126E-3</v>
      </c>
      <c r="L11" s="74">
        <v>2</v>
      </c>
      <c r="M11" s="70" t="s">
        <v>4620</v>
      </c>
    </row>
    <row r="12" spans="1:13" ht="15" thickBot="1" x14ac:dyDescent="0.4">
      <c r="A12" s="103" t="s">
        <v>4624</v>
      </c>
      <c r="G12" s="93" t="s">
        <v>4622</v>
      </c>
      <c r="H12" s="78">
        <f>SUM(H2:H11)</f>
        <v>840</v>
      </c>
      <c r="I12" s="79">
        <f>SUM(I2:I11)</f>
        <v>0.99999999999999989</v>
      </c>
      <c r="J12" s="71"/>
      <c r="K12" s="80">
        <f>SUM(K2:K11)</f>
        <v>1</v>
      </c>
      <c r="L12" s="117">
        <f>SUM(L2:L11)</f>
        <v>376</v>
      </c>
      <c r="M12" s="118" t="s">
        <v>4623</v>
      </c>
    </row>
    <row r="13" spans="1:13" ht="15" thickBot="1" x14ac:dyDescent="0.4">
      <c r="E13" s="37"/>
      <c r="L13" s="119">
        <f>L12/1000</f>
        <v>0.376</v>
      </c>
      <c r="M13" s="120" t="s">
        <v>4625</v>
      </c>
    </row>
    <row r="14" spans="1:13" x14ac:dyDescent="0.35">
      <c r="A14" s="29" t="s">
        <v>4626</v>
      </c>
      <c r="B14" s="13" t="s">
        <v>4592</v>
      </c>
      <c r="C14" s="13" t="s">
        <v>4593</v>
      </c>
      <c r="D14" s="15" t="s">
        <v>4594</v>
      </c>
    </row>
    <row r="15" spans="1:13" x14ac:dyDescent="0.35">
      <c r="A15" s="22" t="s">
        <v>4627</v>
      </c>
      <c r="B15" s="6">
        <v>201</v>
      </c>
      <c r="C15" s="30"/>
      <c r="D15" s="31"/>
    </row>
    <row r="16" spans="1:13" x14ac:dyDescent="0.35">
      <c r="A16" s="22" t="s">
        <v>4626</v>
      </c>
      <c r="B16" s="30"/>
      <c r="C16" s="52">
        <v>0.92</v>
      </c>
      <c r="D16" s="42">
        <v>13584086</v>
      </c>
    </row>
    <row r="17" spans="1:6" x14ac:dyDescent="0.35">
      <c r="A17" s="22" t="s">
        <v>4628</v>
      </c>
      <c r="B17" s="30"/>
      <c r="C17" s="34">
        <v>0.08</v>
      </c>
      <c r="D17" s="42">
        <v>1165753</v>
      </c>
      <c r="E17" s="34"/>
      <c r="F17" s="34"/>
    </row>
    <row r="18" spans="1:6" x14ac:dyDescent="0.35">
      <c r="A18" s="22" t="s">
        <v>4629</v>
      </c>
      <c r="B18" s="30"/>
      <c r="C18" s="23">
        <v>0.1</v>
      </c>
      <c r="D18" s="42">
        <v>1192132</v>
      </c>
      <c r="E18" s="34"/>
    </row>
    <row r="19" spans="1:6" x14ac:dyDescent="0.35">
      <c r="A19" s="22" t="s">
        <v>4630</v>
      </c>
      <c r="B19" s="30"/>
      <c r="C19" s="30"/>
      <c r="D19" s="42">
        <v>12506766</v>
      </c>
      <c r="E19" s="34"/>
      <c r="F19" s="111"/>
    </row>
    <row r="20" spans="1:6" x14ac:dyDescent="0.35">
      <c r="A20" s="22" t="s">
        <v>4631</v>
      </c>
      <c r="B20" s="6">
        <v>22</v>
      </c>
      <c r="C20" s="23">
        <v>0.11</v>
      </c>
      <c r="D20" s="32"/>
    </row>
    <row r="21" spans="1:6" x14ac:dyDescent="0.35">
      <c r="A21" s="22" t="s">
        <v>4632</v>
      </c>
      <c r="B21" s="33"/>
      <c r="C21" s="23">
        <v>0.34</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9929F-2E2A-4043-8106-3DD9E4163F59}">
  <sheetPr codeName="Sheet28"/>
  <dimension ref="A1:M33"/>
  <sheetViews>
    <sheetView topLeftCell="A3" zoomScale="90" zoomScaleNormal="90" workbookViewId="0">
      <selection activeCell="G16" sqref="G16"/>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766</v>
      </c>
      <c r="C2" s="19">
        <f>B2/$B$7</f>
        <v>0.92178098676293618</v>
      </c>
      <c r="D2" s="20">
        <f>SUM(D3:D5)</f>
        <v>25084152</v>
      </c>
      <c r="E2" s="21">
        <f t="shared" ref="E2:E7" si="0">D2/B2</f>
        <v>32746.934725848565</v>
      </c>
      <c r="G2" s="82" t="s">
        <v>4599</v>
      </c>
      <c r="H2" s="83">
        <v>376</v>
      </c>
      <c r="I2" s="84">
        <f>H2/$H$12</f>
        <v>0.45246690734055356</v>
      </c>
      <c r="J2" s="85"/>
      <c r="K2" s="86">
        <f>L2/$L$12</f>
        <v>0.47606382978723405</v>
      </c>
      <c r="L2" s="83">
        <f t="shared" ref="L2:L9" si="1">H2-H3</f>
        <v>179</v>
      </c>
      <c r="M2" s="87" t="s">
        <v>4600</v>
      </c>
    </row>
    <row r="3" spans="1:13" x14ac:dyDescent="0.35">
      <c r="A3" s="22" t="s">
        <v>13</v>
      </c>
      <c r="B3" s="6">
        <v>631</v>
      </c>
      <c r="C3" s="19">
        <f>B3/$B$7</f>
        <v>0.75932611311672682</v>
      </c>
      <c r="D3" s="24">
        <v>20544652</v>
      </c>
      <c r="E3" s="21">
        <f t="shared" si="0"/>
        <v>32558.877971473852</v>
      </c>
      <c r="F3" s="37"/>
      <c r="G3" s="66" t="s">
        <v>4601</v>
      </c>
      <c r="H3" s="65">
        <v>197</v>
      </c>
      <c r="I3" s="75">
        <f t="shared" ref="I3:I11" si="2">H3/$H$12</f>
        <v>0.23706377858002406</v>
      </c>
      <c r="J3" s="77"/>
      <c r="K3" s="72">
        <f t="shared" ref="K3:K11" si="3">L3/$L$12</f>
        <v>0.24468085106382978</v>
      </c>
      <c r="L3" s="65">
        <f t="shared" si="1"/>
        <v>92</v>
      </c>
      <c r="M3" s="69" t="s">
        <v>4602</v>
      </c>
    </row>
    <row r="4" spans="1:13" x14ac:dyDescent="0.35">
      <c r="A4" s="22" t="s">
        <v>55</v>
      </c>
      <c r="B4" s="6">
        <v>24</v>
      </c>
      <c r="C4" s="19">
        <f>B4/$B$7</f>
        <v>2.8880866425992781E-2</v>
      </c>
      <c r="D4" s="24">
        <v>492000</v>
      </c>
      <c r="E4" s="21">
        <f t="shared" si="0"/>
        <v>20500</v>
      </c>
      <c r="G4" s="88" t="s">
        <v>4603</v>
      </c>
      <c r="H4" s="89">
        <v>105</v>
      </c>
      <c r="I4" s="90">
        <f t="shared" si="2"/>
        <v>0.1263537906137184</v>
      </c>
      <c r="J4" s="85"/>
      <c r="K4" s="91">
        <f t="shared" si="3"/>
        <v>0.11436170212765957</v>
      </c>
      <c r="L4" s="89">
        <f t="shared" si="1"/>
        <v>43</v>
      </c>
      <c r="M4" s="92" t="s">
        <v>4604</v>
      </c>
    </row>
    <row r="5" spans="1:13" x14ac:dyDescent="0.35">
      <c r="A5" s="22" t="s">
        <v>70</v>
      </c>
      <c r="B5" s="6">
        <v>111</v>
      </c>
      <c r="C5" s="19">
        <f>B5/$B$7</f>
        <v>0.13357400722021662</v>
      </c>
      <c r="D5" s="24">
        <v>4047500</v>
      </c>
      <c r="E5" s="21">
        <f t="shared" si="0"/>
        <v>36463.963963963964</v>
      </c>
      <c r="F5" s="37"/>
      <c r="G5" s="66" t="s">
        <v>4605</v>
      </c>
      <c r="H5" s="65">
        <v>62</v>
      </c>
      <c r="I5" s="75">
        <f t="shared" si="2"/>
        <v>7.4608904933814682E-2</v>
      </c>
      <c r="J5" s="77"/>
      <c r="K5" s="72">
        <f t="shared" si="3"/>
        <v>5.8510638297872342E-2</v>
      </c>
      <c r="L5" s="65">
        <f t="shared" si="1"/>
        <v>22</v>
      </c>
      <c r="M5" s="69" t="s">
        <v>4606</v>
      </c>
    </row>
    <row r="6" spans="1:13" x14ac:dyDescent="0.35">
      <c r="A6" s="22" t="s">
        <v>4648</v>
      </c>
      <c r="B6" s="6">
        <v>65</v>
      </c>
      <c r="C6" s="19">
        <f>B6/$B$7</f>
        <v>7.8219013237063775E-2</v>
      </c>
      <c r="D6" s="24">
        <v>386700</v>
      </c>
      <c r="E6" s="21">
        <f t="shared" si="0"/>
        <v>5949.2307692307695</v>
      </c>
      <c r="G6" s="88" t="s">
        <v>4607</v>
      </c>
      <c r="H6" s="89">
        <v>40</v>
      </c>
      <c r="I6" s="90">
        <f t="shared" si="2"/>
        <v>4.8134777376654635E-2</v>
      </c>
      <c r="J6" s="85"/>
      <c r="K6" s="91">
        <f t="shared" si="3"/>
        <v>4.7872340425531915E-2</v>
      </c>
      <c r="L6" s="89">
        <f t="shared" si="1"/>
        <v>18</v>
      </c>
      <c r="M6" s="92" t="s">
        <v>4608</v>
      </c>
    </row>
    <row r="7" spans="1:13" ht="15" thickBot="1" x14ac:dyDescent="0.4">
      <c r="A7" s="55" t="s">
        <v>633</v>
      </c>
      <c r="B7" s="56">
        <f>B2+B6</f>
        <v>831</v>
      </c>
      <c r="C7" s="56"/>
      <c r="D7" s="53">
        <f>D2+D6</f>
        <v>25470852</v>
      </c>
      <c r="E7" s="54">
        <f t="shared" si="0"/>
        <v>30650.844765342961</v>
      </c>
      <c r="G7" s="66" t="s">
        <v>4609</v>
      </c>
      <c r="H7" s="65">
        <v>22</v>
      </c>
      <c r="I7" s="75">
        <f t="shared" si="2"/>
        <v>2.6474127557160047E-2</v>
      </c>
      <c r="J7" s="77"/>
      <c r="K7" s="72">
        <f t="shared" si="3"/>
        <v>2.6595744680851064E-2</v>
      </c>
      <c r="L7" s="65">
        <f t="shared" si="1"/>
        <v>10</v>
      </c>
      <c r="M7" s="69" t="s">
        <v>4610</v>
      </c>
    </row>
    <row r="8" spans="1:13" ht="15" thickBot="1" x14ac:dyDescent="0.4">
      <c r="G8" s="88" t="s">
        <v>4611</v>
      </c>
      <c r="H8" s="89">
        <v>12</v>
      </c>
      <c r="I8" s="90">
        <f t="shared" si="2"/>
        <v>1.444043321299639E-2</v>
      </c>
      <c r="J8" s="85"/>
      <c r="K8" s="91">
        <f t="shared" si="3"/>
        <v>1.0638297872340425E-2</v>
      </c>
      <c r="L8" s="89">
        <f t="shared" si="1"/>
        <v>4</v>
      </c>
      <c r="M8" s="92" t="s">
        <v>4612</v>
      </c>
    </row>
    <row r="9" spans="1:13" x14ac:dyDescent="0.35">
      <c r="A9" s="29" t="s">
        <v>4615</v>
      </c>
      <c r="B9" s="13" t="s">
        <v>4592</v>
      </c>
      <c r="C9" s="100" t="s">
        <v>4593</v>
      </c>
      <c r="G9" s="66" t="s">
        <v>4613</v>
      </c>
      <c r="H9" s="65">
        <v>8</v>
      </c>
      <c r="I9" s="75">
        <f t="shared" si="2"/>
        <v>9.6269554753309269E-3</v>
      </c>
      <c r="J9" s="77"/>
      <c r="K9" s="72">
        <f t="shared" si="3"/>
        <v>1.0638297872340425E-2</v>
      </c>
      <c r="L9" s="65">
        <f t="shared" si="1"/>
        <v>4</v>
      </c>
      <c r="M9" s="69" t="s">
        <v>4614</v>
      </c>
    </row>
    <row r="10" spans="1:13" x14ac:dyDescent="0.35">
      <c r="A10" s="17" t="s">
        <v>4618</v>
      </c>
      <c r="B10" s="6">
        <v>2</v>
      </c>
      <c r="C10" s="31"/>
      <c r="G10" s="88" t="s">
        <v>4616</v>
      </c>
      <c r="H10" s="89">
        <v>4</v>
      </c>
      <c r="I10" s="90">
        <f t="shared" si="2"/>
        <v>4.8134777376654635E-3</v>
      </c>
      <c r="J10" s="85"/>
      <c r="K10" s="91">
        <f t="shared" si="3"/>
        <v>5.3191489361702126E-3</v>
      </c>
      <c r="L10" s="89">
        <v>2</v>
      </c>
      <c r="M10" s="92" t="s">
        <v>4617</v>
      </c>
    </row>
    <row r="11" spans="1:13" ht="15" thickBot="1" x14ac:dyDescent="0.4">
      <c r="A11" s="101" t="s">
        <v>4621</v>
      </c>
      <c r="B11" s="26">
        <v>417</v>
      </c>
      <c r="C11" s="104">
        <f>B11/1000</f>
        <v>0.41699999999999998</v>
      </c>
      <c r="G11" s="67" t="s">
        <v>4619</v>
      </c>
      <c r="H11" s="74">
        <v>5</v>
      </c>
      <c r="I11" s="76">
        <f t="shared" si="2"/>
        <v>6.0168471720818293E-3</v>
      </c>
      <c r="J11" s="77"/>
      <c r="K11" s="73">
        <f t="shared" si="3"/>
        <v>5.3191489361702126E-3</v>
      </c>
      <c r="L11" s="74">
        <v>2</v>
      </c>
      <c r="M11" s="70" t="s">
        <v>4620</v>
      </c>
    </row>
    <row r="12" spans="1:13" ht="15" thickBot="1" x14ac:dyDescent="0.4">
      <c r="A12" s="103" t="s">
        <v>4624</v>
      </c>
      <c r="G12" s="93" t="s">
        <v>4622</v>
      </c>
      <c r="H12" s="78">
        <f>SUM(H2:H11)</f>
        <v>831</v>
      </c>
      <c r="I12" s="79">
        <f>SUM(I2:I11)</f>
        <v>1</v>
      </c>
      <c r="J12" s="71"/>
      <c r="K12" s="80">
        <f>SUM(K2:K11)</f>
        <v>0.99999999999999989</v>
      </c>
      <c r="L12" s="117">
        <f>SUM(L2:L11)</f>
        <v>376</v>
      </c>
      <c r="M12" s="118" t="s">
        <v>4623</v>
      </c>
    </row>
    <row r="13" spans="1:13" ht="15" thickBot="1" x14ac:dyDescent="0.4">
      <c r="E13" s="37"/>
      <c r="L13" s="119">
        <f>L12/1000</f>
        <v>0.376</v>
      </c>
      <c r="M13" s="120" t="s">
        <v>4625</v>
      </c>
    </row>
    <row r="14" spans="1:13" x14ac:dyDescent="0.35">
      <c r="A14" s="29" t="s">
        <v>4626</v>
      </c>
      <c r="B14" s="13" t="s">
        <v>4592</v>
      </c>
      <c r="C14" s="13" t="s">
        <v>4593</v>
      </c>
      <c r="D14" s="15" t="s">
        <v>4594</v>
      </c>
    </row>
    <row r="15" spans="1:13" x14ac:dyDescent="0.35">
      <c r="A15" s="22" t="s">
        <v>4627</v>
      </c>
      <c r="B15" s="6">
        <v>211</v>
      </c>
      <c r="C15" s="30"/>
      <c r="D15" s="31"/>
    </row>
    <row r="16" spans="1:13" x14ac:dyDescent="0.35">
      <c r="A16" s="22" t="s">
        <v>4626</v>
      </c>
      <c r="B16" s="30"/>
      <c r="C16" s="52">
        <v>0.93</v>
      </c>
      <c r="D16" s="42">
        <v>13344347</v>
      </c>
    </row>
    <row r="17" spans="1:6" x14ac:dyDescent="0.35">
      <c r="A17" s="22" t="s">
        <v>4628</v>
      </c>
      <c r="B17" s="30"/>
      <c r="C17" s="34">
        <v>7.0000000000000007E-2</v>
      </c>
      <c r="D17" s="42">
        <v>1013566</v>
      </c>
      <c r="E17" s="34"/>
      <c r="F17" s="34"/>
    </row>
    <row r="18" spans="1:6" x14ac:dyDescent="0.35">
      <c r="A18" s="22" t="s">
        <v>4629</v>
      </c>
      <c r="B18" s="30"/>
      <c r="C18" s="23">
        <v>0.09</v>
      </c>
      <c r="D18" s="42">
        <v>1100820</v>
      </c>
      <c r="E18" s="34"/>
    </row>
    <row r="19" spans="1:6" x14ac:dyDescent="0.35">
      <c r="A19" s="22" t="s">
        <v>4630</v>
      </c>
      <c r="B19" s="30"/>
      <c r="C19" s="30"/>
      <c r="D19" s="42">
        <v>12126505</v>
      </c>
      <c r="E19" s="34"/>
      <c r="F19" s="111"/>
    </row>
    <row r="20" spans="1:6" x14ac:dyDescent="0.35">
      <c r="A20" s="22" t="s">
        <v>4631</v>
      </c>
      <c r="B20" s="6">
        <v>21</v>
      </c>
      <c r="C20" s="23">
        <v>0.1</v>
      </c>
      <c r="D20" s="32"/>
    </row>
    <row r="21" spans="1:6" x14ac:dyDescent="0.35">
      <c r="A21" s="22" t="s">
        <v>4632</v>
      </c>
      <c r="B21" s="33"/>
      <c r="C21" s="23">
        <v>0.34</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13E8-7A50-4EC9-942B-757A849DDEF6}">
  <sheetPr codeName="Sheet29"/>
  <dimension ref="A1:M33"/>
  <sheetViews>
    <sheetView topLeftCell="A9" zoomScale="90" zoomScaleNormal="90" workbookViewId="0">
      <selection activeCell="G18" sqref="G18"/>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760</v>
      </c>
      <c r="C2" s="19">
        <f>B2/$B$7</f>
        <v>0.92121212121212126</v>
      </c>
      <c r="D2" s="20">
        <f>SUM(D3:D5)</f>
        <v>24746152</v>
      </c>
      <c r="E2" s="21">
        <f t="shared" ref="E2:E7" si="0">D2/B2</f>
        <v>32560.726315789474</v>
      </c>
      <c r="G2" s="82" t="s">
        <v>4599</v>
      </c>
      <c r="H2" s="83">
        <v>375</v>
      </c>
      <c r="I2" s="84">
        <f>H2/$H$12</f>
        <v>0.45454545454545453</v>
      </c>
      <c r="J2" s="85"/>
      <c r="K2" s="86">
        <f>L2/$L$12</f>
        <v>0.47733333333333333</v>
      </c>
      <c r="L2" s="83">
        <f t="shared" ref="L2:L9" si="1">H2-H3</f>
        <v>179</v>
      </c>
      <c r="M2" s="87" t="s">
        <v>4600</v>
      </c>
    </row>
    <row r="3" spans="1:13" x14ac:dyDescent="0.35">
      <c r="A3" s="22" t="s">
        <v>13</v>
      </c>
      <c r="B3" s="6">
        <v>625</v>
      </c>
      <c r="C3" s="19">
        <f>B3/$B$7</f>
        <v>0.75757575757575757</v>
      </c>
      <c r="D3" s="24">
        <v>20206652</v>
      </c>
      <c r="E3" s="21">
        <f t="shared" si="0"/>
        <v>32330.643199999999</v>
      </c>
      <c r="F3" s="37"/>
      <c r="G3" s="66" t="s">
        <v>4601</v>
      </c>
      <c r="H3" s="65">
        <v>196</v>
      </c>
      <c r="I3" s="75">
        <f t="shared" ref="I3:I11" si="2">H3/$H$12</f>
        <v>0.23757575757575758</v>
      </c>
      <c r="J3" s="77"/>
      <c r="K3" s="72">
        <f t="shared" ref="K3:K11" si="3">L3/$L$12</f>
        <v>0.25066666666666665</v>
      </c>
      <c r="L3" s="65">
        <f t="shared" si="1"/>
        <v>94</v>
      </c>
      <c r="M3" s="69" t="s">
        <v>4602</v>
      </c>
    </row>
    <row r="4" spans="1:13" x14ac:dyDescent="0.35">
      <c r="A4" s="22" t="s">
        <v>55</v>
      </c>
      <c r="B4" s="6">
        <v>24</v>
      </c>
      <c r="C4" s="19">
        <f>B4/$B$7</f>
        <v>2.9090909090909091E-2</v>
      </c>
      <c r="D4" s="24">
        <v>492000</v>
      </c>
      <c r="E4" s="21">
        <f t="shared" si="0"/>
        <v>20500</v>
      </c>
      <c r="G4" s="88" t="s">
        <v>4603</v>
      </c>
      <c r="H4" s="89">
        <v>102</v>
      </c>
      <c r="I4" s="90">
        <f t="shared" si="2"/>
        <v>0.12363636363636364</v>
      </c>
      <c r="J4" s="85"/>
      <c r="K4" s="91">
        <f t="shared" si="3"/>
        <v>0.10666666666666667</v>
      </c>
      <c r="L4" s="89">
        <f t="shared" si="1"/>
        <v>40</v>
      </c>
      <c r="M4" s="92" t="s">
        <v>4604</v>
      </c>
    </row>
    <row r="5" spans="1:13" x14ac:dyDescent="0.35">
      <c r="A5" s="22" t="s">
        <v>70</v>
      </c>
      <c r="B5" s="6">
        <v>111</v>
      </c>
      <c r="C5" s="19">
        <f>B5/$B$7</f>
        <v>0.13454545454545455</v>
      </c>
      <c r="D5" s="24">
        <v>4047500</v>
      </c>
      <c r="E5" s="21">
        <f t="shared" si="0"/>
        <v>36463.963963963964</v>
      </c>
      <c r="F5" s="37"/>
      <c r="G5" s="66" t="s">
        <v>4605</v>
      </c>
      <c r="H5" s="65">
        <v>62</v>
      </c>
      <c r="I5" s="75">
        <f t="shared" si="2"/>
        <v>7.515151515151515E-2</v>
      </c>
      <c r="J5" s="77"/>
      <c r="K5" s="72">
        <f t="shared" si="3"/>
        <v>6.133333333333333E-2</v>
      </c>
      <c r="L5" s="65">
        <f t="shared" si="1"/>
        <v>23</v>
      </c>
      <c r="M5" s="69" t="s">
        <v>4606</v>
      </c>
    </row>
    <row r="6" spans="1:13" x14ac:dyDescent="0.35">
      <c r="A6" s="22" t="s">
        <v>4648</v>
      </c>
      <c r="B6" s="6">
        <v>65</v>
      </c>
      <c r="C6" s="19">
        <f>B6/$B$7</f>
        <v>7.8787878787878782E-2</v>
      </c>
      <c r="D6" s="24">
        <v>386700</v>
      </c>
      <c r="E6" s="21">
        <f t="shared" si="0"/>
        <v>5949.2307692307695</v>
      </c>
      <c r="G6" s="88" t="s">
        <v>4607</v>
      </c>
      <c r="H6" s="89">
        <v>39</v>
      </c>
      <c r="I6" s="90">
        <f t="shared" si="2"/>
        <v>4.7272727272727272E-2</v>
      </c>
      <c r="J6" s="85"/>
      <c r="K6" s="91">
        <f t="shared" si="3"/>
        <v>4.5333333333333337E-2</v>
      </c>
      <c r="L6" s="89">
        <f t="shared" si="1"/>
        <v>17</v>
      </c>
      <c r="M6" s="92" t="s">
        <v>4608</v>
      </c>
    </row>
    <row r="7" spans="1:13" ht="15" thickBot="1" x14ac:dyDescent="0.4">
      <c r="A7" s="55" t="s">
        <v>633</v>
      </c>
      <c r="B7" s="56">
        <f>B2+B6</f>
        <v>825</v>
      </c>
      <c r="C7" s="56"/>
      <c r="D7" s="53">
        <f>D2+D6</f>
        <v>25132852</v>
      </c>
      <c r="E7" s="54">
        <f t="shared" si="0"/>
        <v>30464.06303030303</v>
      </c>
      <c r="G7" s="66" t="s">
        <v>4609</v>
      </c>
      <c r="H7" s="65">
        <v>22</v>
      </c>
      <c r="I7" s="75">
        <f t="shared" si="2"/>
        <v>2.6666666666666668E-2</v>
      </c>
      <c r="J7" s="77"/>
      <c r="K7" s="72">
        <f t="shared" si="3"/>
        <v>2.6666666666666668E-2</v>
      </c>
      <c r="L7" s="65">
        <f t="shared" si="1"/>
        <v>10</v>
      </c>
      <c r="M7" s="69" t="s">
        <v>4610</v>
      </c>
    </row>
    <row r="8" spans="1:13" ht="15" thickBot="1" x14ac:dyDescent="0.4">
      <c r="G8" s="88" t="s">
        <v>4611</v>
      </c>
      <c r="H8" s="89">
        <v>12</v>
      </c>
      <c r="I8" s="90">
        <f t="shared" si="2"/>
        <v>1.4545454545454545E-2</v>
      </c>
      <c r="J8" s="85"/>
      <c r="K8" s="91">
        <f t="shared" si="3"/>
        <v>1.0666666666666666E-2</v>
      </c>
      <c r="L8" s="89">
        <f t="shared" si="1"/>
        <v>4</v>
      </c>
      <c r="M8" s="92" t="s">
        <v>4612</v>
      </c>
    </row>
    <row r="9" spans="1:13" x14ac:dyDescent="0.35">
      <c r="A9" s="29" t="s">
        <v>4615</v>
      </c>
      <c r="B9" s="13" t="s">
        <v>4592</v>
      </c>
      <c r="C9" s="100" t="s">
        <v>4593</v>
      </c>
      <c r="G9" s="66" t="s">
        <v>4613</v>
      </c>
      <c r="H9" s="65">
        <v>8</v>
      </c>
      <c r="I9" s="75">
        <f t="shared" si="2"/>
        <v>9.696969696969697E-3</v>
      </c>
      <c r="J9" s="77"/>
      <c r="K9" s="72">
        <f t="shared" si="3"/>
        <v>1.0666666666666666E-2</v>
      </c>
      <c r="L9" s="65">
        <f t="shared" si="1"/>
        <v>4</v>
      </c>
      <c r="M9" s="69" t="s">
        <v>4614</v>
      </c>
    </row>
    <row r="10" spans="1:13" x14ac:dyDescent="0.35">
      <c r="A10" s="17" t="s">
        <v>4618</v>
      </c>
      <c r="B10" s="6">
        <v>4</v>
      </c>
      <c r="C10" s="31"/>
      <c r="G10" s="88" t="s">
        <v>4616</v>
      </c>
      <c r="H10" s="89">
        <v>4</v>
      </c>
      <c r="I10" s="90">
        <f t="shared" si="2"/>
        <v>4.8484848484848485E-3</v>
      </c>
      <c r="J10" s="85"/>
      <c r="K10" s="91">
        <f t="shared" si="3"/>
        <v>5.3333333333333332E-3</v>
      </c>
      <c r="L10" s="89">
        <v>2</v>
      </c>
      <c r="M10" s="92" t="s">
        <v>4617</v>
      </c>
    </row>
    <row r="11" spans="1:13" ht="15" thickBot="1" x14ac:dyDescent="0.4">
      <c r="A11" s="101" t="s">
        <v>4621</v>
      </c>
      <c r="B11" s="26">
        <v>415</v>
      </c>
      <c r="C11" s="104">
        <f>B11/983</f>
        <v>0.42217700915564599</v>
      </c>
      <c r="G11" s="67" t="s">
        <v>4619</v>
      </c>
      <c r="H11" s="74">
        <v>5</v>
      </c>
      <c r="I11" s="76">
        <f t="shared" si="2"/>
        <v>6.0606060606060606E-3</v>
      </c>
      <c r="J11" s="77"/>
      <c r="K11" s="73">
        <f t="shared" si="3"/>
        <v>5.3333333333333332E-3</v>
      </c>
      <c r="L11" s="74">
        <v>2</v>
      </c>
      <c r="M11" s="70" t="s">
        <v>4620</v>
      </c>
    </row>
    <row r="12" spans="1:13" ht="15" thickBot="1" x14ac:dyDescent="0.4">
      <c r="A12" s="103" t="s">
        <v>4624</v>
      </c>
      <c r="G12" s="93" t="s">
        <v>4622</v>
      </c>
      <c r="H12" s="78">
        <f>SUM(H2:H11)</f>
        <v>825</v>
      </c>
      <c r="I12" s="79">
        <f>SUM(I2:I11)</f>
        <v>1</v>
      </c>
      <c r="J12" s="71"/>
      <c r="K12" s="80">
        <f>SUM(K2:K11)</f>
        <v>1</v>
      </c>
      <c r="L12" s="117">
        <f>SUM(L2:L11)</f>
        <v>375</v>
      </c>
      <c r="M12" s="118" t="s">
        <v>4623</v>
      </c>
    </row>
    <row r="13" spans="1:13" ht="15" thickBot="1" x14ac:dyDescent="0.4">
      <c r="E13" s="37"/>
      <c r="L13" s="119">
        <f>L12/983</f>
        <v>0.38148524923702948</v>
      </c>
      <c r="M13" s="120" t="s">
        <v>4625</v>
      </c>
    </row>
    <row r="14" spans="1:13" x14ac:dyDescent="0.35">
      <c r="A14" s="29" t="s">
        <v>4626</v>
      </c>
      <c r="B14" s="13" t="s">
        <v>4592</v>
      </c>
      <c r="C14" s="13" t="s">
        <v>4593</v>
      </c>
      <c r="D14" s="15" t="s">
        <v>4594</v>
      </c>
    </row>
    <row r="15" spans="1:13" x14ac:dyDescent="0.35">
      <c r="A15" s="22" t="s">
        <v>4627</v>
      </c>
      <c r="B15" s="6">
        <v>210</v>
      </c>
      <c r="C15" s="30"/>
      <c r="D15" s="31"/>
    </row>
    <row r="16" spans="1:13" x14ac:dyDescent="0.35">
      <c r="A16" s="22" t="s">
        <v>4626</v>
      </c>
      <c r="B16" s="30"/>
      <c r="C16" s="52">
        <v>0.93</v>
      </c>
      <c r="D16" s="42">
        <v>13122608</v>
      </c>
    </row>
    <row r="17" spans="1:6" x14ac:dyDescent="0.35">
      <c r="A17" s="22" t="s">
        <v>4628</v>
      </c>
      <c r="B17" s="30"/>
      <c r="C17" s="34">
        <v>7.0000000000000007E-2</v>
      </c>
      <c r="D17" s="42">
        <v>983128</v>
      </c>
      <c r="E17" s="34"/>
      <c r="F17" s="34"/>
    </row>
    <row r="18" spans="1:6" x14ac:dyDescent="0.35">
      <c r="A18" s="22" t="s">
        <v>4629</v>
      </c>
      <c r="B18" s="30"/>
      <c r="C18" s="23">
        <v>0.08</v>
      </c>
      <c r="D18" s="42">
        <v>1000376</v>
      </c>
      <c r="E18" s="34"/>
    </row>
    <row r="19" spans="1:6" x14ac:dyDescent="0.35">
      <c r="A19" s="22" t="s">
        <v>4630</v>
      </c>
      <c r="B19" s="30"/>
      <c r="C19" s="30"/>
      <c r="D19" s="42">
        <v>12010244</v>
      </c>
      <c r="E19" s="34"/>
      <c r="F19" s="111"/>
    </row>
    <row r="20" spans="1:6" x14ac:dyDescent="0.35">
      <c r="A20" s="22" t="s">
        <v>4631</v>
      </c>
      <c r="B20" s="6">
        <v>19</v>
      </c>
      <c r="C20" s="23">
        <v>0.09</v>
      </c>
      <c r="D20" s="32"/>
    </row>
    <row r="21" spans="1:6" x14ac:dyDescent="0.35">
      <c r="A21" s="22" t="s">
        <v>4632</v>
      </c>
      <c r="B21" s="33"/>
      <c r="C21" s="23">
        <v>0.34</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C8E9-8027-422B-9F8A-5574833C3839}">
  <sheetPr codeName="Sheet30"/>
  <dimension ref="A1:M33"/>
  <sheetViews>
    <sheetView zoomScale="90" zoomScaleNormal="90" workbookViewId="0">
      <selection activeCell="K19" sqref="K19"/>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754</v>
      </c>
      <c r="C2" s="19">
        <f>B2/$B$7</f>
        <v>0.92176039119804398</v>
      </c>
      <c r="D2" s="20">
        <f>SUM(D3:D5)</f>
        <v>24346152</v>
      </c>
      <c r="E2" s="21">
        <f t="shared" ref="E2:E7" si="0">D2/B2</f>
        <v>32289.326259946949</v>
      </c>
      <c r="G2" s="82" t="s">
        <v>4599</v>
      </c>
      <c r="H2" s="83">
        <v>370</v>
      </c>
      <c r="I2" s="84">
        <f>H2/$H$12</f>
        <v>0.45232273838630804</v>
      </c>
      <c r="J2" s="85"/>
      <c r="K2" s="86">
        <f>L2/$L$12</f>
        <v>0.4756756756756757</v>
      </c>
      <c r="L2" s="83">
        <f t="shared" ref="L2:L9" si="1">H2-H3</f>
        <v>176</v>
      </c>
      <c r="M2" s="87" t="s">
        <v>4600</v>
      </c>
    </row>
    <row r="3" spans="1:13" x14ac:dyDescent="0.35">
      <c r="A3" s="22" t="s">
        <v>13</v>
      </c>
      <c r="B3" s="6">
        <v>620</v>
      </c>
      <c r="C3" s="19">
        <f>B3/$B$7</f>
        <v>0.75794621026894871</v>
      </c>
      <c r="D3" s="24">
        <v>19886652</v>
      </c>
      <c r="E3" s="21">
        <f t="shared" si="0"/>
        <v>32075.245161290324</v>
      </c>
      <c r="F3" s="37"/>
      <c r="G3" s="66" t="s">
        <v>4601</v>
      </c>
      <c r="H3" s="65">
        <v>194</v>
      </c>
      <c r="I3" s="75">
        <f t="shared" ref="I3:I11" si="2">H3/$H$12</f>
        <v>0.23716381418092911</v>
      </c>
      <c r="J3" s="77"/>
      <c r="K3" s="72">
        <f t="shared" ref="K3:K11" si="3">L3/$L$12</f>
        <v>0.24864864864864866</v>
      </c>
      <c r="L3" s="65">
        <f t="shared" si="1"/>
        <v>92</v>
      </c>
      <c r="M3" s="69" t="s">
        <v>4602</v>
      </c>
    </row>
    <row r="4" spans="1:13" x14ac:dyDescent="0.35">
      <c r="A4" s="22" t="s">
        <v>55</v>
      </c>
      <c r="B4" s="6">
        <v>24</v>
      </c>
      <c r="C4" s="19">
        <f>B4/$B$7</f>
        <v>2.9339853300733496E-2</v>
      </c>
      <c r="D4" s="24">
        <v>492000</v>
      </c>
      <c r="E4" s="21">
        <f t="shared" si="0"/>
        <v>20500</v>
      </c>
      <c r="G4" s="88" t="s">
        <v>4603</v>
      </c>
      <c r="H4" s="89">
        <v>102</v>
      </c>
      <c r="I4" s="90">
        <f t="shared" si="2"/>
        <v>0.12469437652811736</v>
      </c>
      <c r="J4" s="85"/>
      <c r="K4" s="91">
        <f t="shared" si="3"/>
        <v>0.10810810810810811</v>
      </c>
      <c r="L4" s="89">
        <f t="shared" si="1"/>
        <v>40</v>
      </c>
      <c r="M4" s="92" t="s">
        <v>4604</v>
      </c>
    </row>
    <row r="5" spans="1:13" x14ac:dyDescent="0.35">
      <c r="A5" s="22" t="s">
        <v>70</v>
      </c>
      <c r="B5" s="6">
        <v>110</v>
      </c>
      <c r="C5" s="19">
        <f>B5/$B$7</f>
        <v>0.13447432762836187</v>
      </c>
      <c r="D5" s="24">
        <v>3967500</v>
      </c>
      <c r="E5" s="21">
        <f t="shared" si="0"/>
        <v>36068.181818181816</v>
      </c>
      <c r="F5" s="37"/>
      <c r="G5" s="66" t="s">
        <v>4605</v>
      </c>
      <c r="H5" s="65">
        <v>62</v>
      </c>
      <c r="I5" s="75">
        <f t="shared" si="2"/>
        <v>7.5794621026894868E-2</v>
      </c>
      <c r="J5" s="77"/>
      <c r="K5" s="72">
        <f t="shared" si="3"/>
        <v>6.2162162162162166E-2</v>
      </c>
      <c r="L5" s="65">
        <f t="shared" si="1"/>
        <v>23</v>
      </c>
      <c r="M5" s="69" t="s">
        <v>4606</v>
      </c>
    </row>
    <row r="6" spans="1:13" x14ac:dyDescent="0.35">
      <c r="A6" s="22" t="s">
        <v>4648</v>
      </c>
      <c r="B6" s="6">
        <v>64</v>
      </c>
      <c r="C6" s="19">
        <f>B6/$B$7</f>
        <v>7.823960880195599E-2</v>
      </c>
      <c r="D6" s="24">
        <v>376700</v>
      </c>
      <c r="E6" s="21">
        <f t="shared" si="0"/>
        <v>5885.9375</v>
      </c>
      <c r="G6" s="88" t="s">
        <v>4607</v>
      </c>
      <c r="H6" s="89">
        <v>39</v>
      </c>
      <c r="I6" s="90">
        <f t="shared" si="2"/>
        <v>4.7677261613691929E-2</v>
      </c>
      <c r="J6" s="85"/>
      <c r="K6" s="91">
        <f t="shared" si="3"/>
        <v>4.5945945945945948E-2</v>
      </c>
      <c r="L6" s="89">
        <f t="shared" si="1"/>
        <v>17</v>
      </c>
      <c r="M6" s="92" t="s">
        <v>4608</v>
      </c>
    </row>
    <row r="7" spans="1:13" ht="15" thickBot="1" x14ac:dyDescent="0.4">
      <c r="A7" s="55" t="s">
        <v>633</v>
      </c>
      <c r="B7" s="56">
        <f>B2+B6</f>
        <v>818</v>
      </c>
      <c r="C7" s="56"/>
      <c r="D7" s="53">
        <f>D2+D6</f>
        <v>24722852</v>
      </c>
      <c r="E7" s="54">
        <f t="shared" si="0"/>
        <v>30223.53545232274</v>
      </c>
      <c r="G7" s="66" t="s">
        <v>4609</v>
      </c>
      <c r="H7" s="65">
        <v>22</v>
      </c>
      <c r="I7" s="75">
        <f t="shared" si="2"/>
        <v>2.6894865525672371E-2</v>
      </c>
      <c r="J7" s="77"/>
      <c r="K7" s="72">
        <f t="shared" si="3"/>
        <v>2.7027027027027029E-2</v>
      </c>
      <c r="L7" s="65">
        <f t="shared" si="1"/>
        <v>10</v>
      </c>
      <c r="M7" s="69" t="s">
        <v>4610</v>
      </c>
    </row>
    <row r="8" spans="1:13" ht="15" thickBot="1" x14ac:dyDescent="0.4">
      <c r="G8" s="88" t="s">
        <v>4611</v>
      </c>
      <c r="H8" s="89">
        <v>12</v>
      </c>
      <c r="I8" s="90">
        <f t="shared" si="2"/>
        <v>1.4669926650366748E-2</v>
      </c>
      <c r="J8" s="85"/>
      <c r="K8" s="91">
        <f t="shared" si="3"/>
        <v>1.0810810810810811E-2</v>
      </c>
      <c r="L8" s="89">
        <f t="shared" si="1"/>
        <v>4</v>
      </c>
      <c r="M8" s="92" t="s">
        <v>4612</v>
      </c>
    </row>
    <row r="9" spans="1:13" x14ac:dyDescent="0.35">
      <c r="A9" s="29" t="s">
        <v>4615</v>
      </c>
      <c r="B9" s="13" t="s">
        <v>4592</v>
      </c>
      <c r="C9" s="100" t="s">
        <v>4593</v>
      </c>
      <c r="G9" s="66" t="s">
        <v>4613</v>
      </c>
      <c r="H9" s="65">
        <v>8</v>
      </c>
      <c r="I9" s="75">
        <f t="shared" si="2"/>
        <v>9.7799511002444987E-3</v>
      </c>
      <c r="J9" s="77"/>
      <c r="K9" s="72">
        <f t="shared" si="3"/>
        <v>1.0810810810810811E-2</v>
      </c>
      <c r="L9" s="65">
        <f t="shared" si="1"/>
        <v>4</v>
      </c>
      <c r="M9" s="69" t="s">
        <v>4614</v>
      </c>
    </row>
    <row r="10" spans="1:13" x14ac:dyDescent="0.35">
      <c r="A10" s="17" t="s">
        <v>4618</v>
      </c>
      <c r="B10" s="6">
        <v>4</v>
      </c>
      <c r="C10" s="31"/>
      <c r="G10" s="88" t="s">
        <v>4616</v>
      </c>
      <c r="H10" s="89">
        <v>4</v>
      </c>
      <c r="I10" s="90">
        <f t="shared" si="2"/>
        <v>4.8899755501222494E-3</v>
      </c>
      <c r="J10" s="85"/>
      <c r="K10" s="91">
        <f t="shared" si="3"/>
        <v>5.4054054054054057E-3</v>
      </c>
      <c r="L10" s="89">
        <v>2</v>
      </c>
      <c r="M10" s="92" t="s">
        <v>4617</v>
      </c>
    </row>
    <row r="11" spans="1:13" ht="15" thickBot="1" x14ac:dyDescent="0.4">
      <c r="A11" s="101" t="s">
        <v>4621</v>
      </c>
      <c r="B11" s="26">
        <v>411</v>
      </c>
      <c r="C11" s="104">
        <f>B11/949</f>
        <v>0.43308746048472074</v>
      </c>
      <c r="G11" s="67" t="s">
        <v>4619</v>
      </c>
      <c r="H11" s="74">
        <v>5</v>
      </c>
      <c r="I11" s="76">
        <f t="shared" si="2"/>
        <v>6.1124694376528121E-3</v>
      </c>
      <c r="J11" s="77"/>
      <c r="K11" s="73">
        <f t="shared" si="3"/>
        <v>5.4054054054054057E-3</v>
      </c>
      <c r="L11" s="74">
        <v>2</v>
      </c>
      <c r="M11" s="70" t="s">
        <v>4620</v>
      </c>
    </row>
    <row r="12" spans="1:13" ht="15" thickBot="1" x14ac:dyDescent="0.4">
      <c r="A12" s="103" t="s">
        <v>4624</v>
      </c>
      <c r="G12" s="93" t="s">
        <v>4622</v>
      </c>
      <c r="H12" s="78">
        <f>SUM(H2:H11)</f>
        <v>818</v>
      </c>
      <c r="I12" s="79">
        <f>SUM(I2:I11)</f>
        <v>0.99999999999999978</v>
      </c>
      <c r="J12" s="71"/>
      <c r="K12" s="80">
        <f>SUM(K2:K11)</f>
        <v>1</v>
      </c>
      <c r="L12" s="117">
        <f>SUM(L2:L11)</f>
        <v>370</v>
      </c>
      <c r="M12" s="118" t="s">
        <v>4623</v>
      </c>
    </row>
    <row r="13" spans="1:13" ht="15" thickBot="1" x14ac:dyDescent="0.4">
      <c r="E13" s="37"/>
      <c r="L13" s="119">
        <f>L12/949</f>
        <v>0.38988408851422551</v>
      </c>
      <c r="M13" s="120" t="s">
        <v>4625</v>
      </c>
    </row>
    <row r="14" spans="1:13" x14ac:dyDescent="0.35">
      <c r="A14" s="29" t="s">
        <v>4626</v>
      </c>
      <c r="B14" s="13" t="s">
        <v>4592</v>
      </c>
      <c r="C14" s="13" t="s">
        <v>4593</v>
      </c>
      <c r="D14" s="15" t="s">
        <v>4594</v>
      </c>
    </row>
    <row r="15" spans="1:13" x14ac:dyDescent="0.35">
      <c r="A15" s="22" t="s">
        <v>4627</v>
      </c>
      <c r="B15" s="6">
        <v>209</v>
      </c>
      <c r="C15" s="30"/>
      <c r="D15" s="31"/>
    </row>
    <row r="16" spans="1:13" x14ac:dyDescent="0.35">
      <c r="A16" s="22" t="s">
        <v>4626</v>
      </c>
      <c r="B16" s="30"/>
      <c r="C16" s="52">
        <v>0.93</v>
      </c>
      <c r="D16" s="42">
        <v>13000868</v>
      </c>
    </row>
    <row r="17" spans="1:6" x14ac:dyDescent="0.35">
      <c r="A17" s="22" t="s">
        <v>4628</v>
      </c>
      <c r="B17" s="30"/>
      <c r="C17" s="34">
        <v>7.0000000000000007E-2</v>
      </c>
      <c r="D17" s="42">
        <v>993274</v>
      </c>
      <c r="E17" s="37"/>
      <c r="F17" s="34"/>
    </row>
    <row r="18" spans="1:6" x14ac:dyDescent="0.35">
      <c r="A18" s="22" t="s">
        <v>4629</v>
      </c>
      <c r="B18" s="30"/>
      <c r="C18" s="23">
        <v>0.09</v>
      </c>
      <c r="D18" s="42">
        <v>1013566</v>
      </c>
    </row>
    <row r="19" spans="1:6" x14ac:dyDescent="0.35">
      <c r="A19" s="22" t="s">
        <v>4630</v>
      </c>
      <c r="B19" s="30"/>
      <c r="C19" s="30"/>
      <c r="D19" s="42">
        <v>11721984</v>
      </c>
      <c r="F19" s="111"/>
    </row>
    <row r="20" spans="1:6" x14ac:dyDescent="0.35">
      <c r="A20" s="22" t="s">
        <v>4631</v>
      </c>
      <c r="B20" s="6">
        <v>20</v>
      </c>
      <c r="C20" s="23">
        <v>0.1</v>
      </c>
      <c r="D20" s="32"/>
    </row>
    <row r="21" spans="1:6" x14ac:dyDescent="0.35">
      <c r="A21" s="22" t="s">
        <v>4632</v>
      </c>
      <c r="B21" s="33"/>
      <c r="C21" s="23">
        <v>0.33</v>
      </c>
      <c r="D21" s="32"/>
    </row>
    <row r="22" spans="1:6" ht="15" thickBot="1" x14ac:dyDescent="0.4">
      <c r="A22" s="25" t="s">
        <v>4633</v>
      </c>
      <c r="B22" s="26">
        <v>14</v>
      </c>
      <c r="C22" s="36">
        <v>0</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8DC11-7159-4624-919C-22F139941F33}">
  <sheetPr codeName="Sheet31"/>
  <dimension ref="A1:M33"/>
  <sheetViews>
    <sheetView zoomScale="90" zoomScaleNormal="90" workbookViewId="0">
      <selection activeCell="G18" sqref="G18"/>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741</v>
      </c>
      <c r="C2" s="19">
        <f>B2/$B$7</f>
        <v>0.92049689440993787</v>
      </c>
      <c r="D2" s="20">
        <f>SUM(D3:D5)</f>
        <v>23575152</v>
      </c>
      <c r="E2" s="21">
        <f t="shared" ref="E2:E7" si="0">D2/B2</f>
        <v>31815.319838056679</v>
      </c>
      <c r="G2" s="82" t="s">
        <v>4599</v>
      </c>
      <c r="H2" s="83">
        <v>362</v>
      </c>
      <c r="I2" s="84">
        <f>H2/$H$12</f>
        <v>0.44968944099378882</v>
      </c>
      <c r="J2" s="85"/>
      <c r="K2" s="86">
        <f>L2/$L$12</f>
        <v>0.46685082872928174</v>
      </c>
      <c r="L2" s="83">
        <f t="shared" ref="L2:L9" si="1">H2-H3</f>
        <v>169</v>
      </c>
      <c r="M2" s="87" t="s">
        <v>4600</v>
      </c>
    </row>
    <row r="3" spans="1:13" x14ac:dyDescent="0.35">
      <c r="A3" s="22" t="s">
        <v>13</v>
      </c>
      <c r="B3" s="6">
        <v>610</v>
      </c>
      <c r="C3" s="19">
        <f>B3/$B$7</f>
        <v>0.75776397515527949</v>
      </c>
      <c r="D3" s="24">
        <v>19345652</v>
      </c>
      <c r="E3" s="21">
        <f t="shared" si="0"/>
        <v>31714.183606557377</v>
      </c>
      <c r="F3" s="37"/>
      <c r="G3" s="66" t="s">
        <v>4601</v>
      </c>
      <c r="H3" s="65">
        <v>193</v>
      </c>
      <c r="I3" s="75">
        <f t="shared" ref="I3:I11" si="2">H3/$H$12</f>
        <v>0.23975155279503105</v>
      </c>
      <c r="J3" s="77"/>
      <c r="K3" s="72">
        <f t="shared" ref="K3:K11" si="3">L3/$L$12</f>
        <v>0.25138121546961328</v>
      </c>
      <c r="L3" s="65">
        <f t="shared" si="1"/>
        <v>91</v>
      </c>
      <c r="M3" s="69" t="s">
        <v>4602</v>
      </c>
    </row>
    <row r="4" spans="1:13" x14ac:dyDescent="0.35">
      <c r="A4" s="22" t="s">
        <v>55</v>
      </c>
      <c r="B4" s="6">
        <v>23</v>
      </c>
      <c r="C4" s="19">
        <f>B4/$B$7</f>
        <v>2.8571428571428571E-2</v>
      </c>
      <c r="D4" s="24">
        <v>362000</v>
      </c>
      <c r="E4" s="21">
        <f t="shared" si="0"/>
        <v>15739.130434782608</v>
      </c>
      <c r="G4" s="88" t="s">
        <v>4603</v>
      </c>
      <c r="H4" s="89">
        <v>102</v>
      </c>
      <c r="I4" s="90">
        <f t="shared" si="2"/>
        <v>0.1267080745341615</v>
      </c>
      <c r="J4" s="85"/>
      <c r="K4" s="91">
        <f t="shared" si="3"/>
        <v>0.11602209944751381</v>
      </c>
      <c r="L4" s="89">
        <f t="shared" si="1"/>
        <v>42</v>
      </c>
      <c r="M4" s="92" t="s">
        <v>4604</v>
      </c>
    </row>
    <row r="5" spans="1:13" x14ac:dyDescent="0.35">
      <c r="A5" s="22" t="s">
        <v>70</v>
      </c>
      <c r="B5" s="6">
        <v>108</v>
      </c>
      <c r="C5" s="19">
        <f>B5/$B$7</f>
        <v>0.1341614906832298</v>
      </c>
      <c r="D5" s="24">
        <v>3867500</v>
      </c>
      <c r="E5" s="21">
        <f t="shared" si="0"/>
        <v>35810.185185185182</v>
      </c>
      <c r="F5" s="37"/>
      <c r="G5" s="66" t="s">
        <v>4605</v>
      </c>
      <c r="H5" s="65">
        <v>60</v>
      </c>
      <c r="I5" s="75">
        <f t="shared" si="2"/>
        <v>7.4534161490683232E-2</v>
      </c>
      <c r="J5" s="77"/>
      <c r="K5" s="72">
        <f t="shared" si="3"/>
        <v>5.8011049723756904E-2</v>
      </c>
      <c r="L5" s="65">
        <f t="shared" si="1"/>
        <v>21</v>
      </c>
      <c r="M5" s="69" t="s">
        <v>4606</v>
      </c>
    </row>
    <row r="6" spans="1:13" x14ac:dyDescent="0.35">
      <c r="A6" s="22" t="s">
        <v>4648</v>
      </c>
      <c r="B6" s="6">
        <v>64</v>
      </c>
      <c r="C6" s="19">
        <f>B6/$B$7</f>
        <v>7.9503105590062115E-2</v>
      </c>
      <c r="D6" s="24">
        <v>376700</v>
      </c>
      <c r="E6" s="21">
        <f t="shared" si="0"/>
        <v>5885.9375</v>
      </c>
      <c r="G6" s="88" t="s">
        <v>4607</v>
      </c>
      <c r="H6" s="89">
        <v>39</v>
      </c>
      <c r="I6" s="90">
        <f t="shared" si="2"/>
        <v>4.8447204968944099E-2</v>
      </c>
      <c r="J6" s="85"/>
      <c r="K6" s="91">
        <f t="shared" si="3"/>
        <v>4.9723756906077346E-2</v>
      </c>
      <c r="L6" s="89">
        <f t="shared" si="1"/>
        <v>18</v>
      </c>
      <c r="M6" s="92" t="s">
        <v>4608</v>
      </c>
    </row>
    <row r="7" spans="1:13" ht="15" thickBot="1" x14ac:dyDescent="0.4">
      <c r="A7" s="55" t="s">
        <v>633</v>
      </c>
      <c r="B7" s="56">
        <f>B2+B6</f>
        <v>805</v>
      </c>
      <c r="C7" s="56"/>
      <c r="D7" s="53">
        <f>D2+D6</f>
        <v>23951852</v>
      </c>
      <c r="E7" s="54">
        <f t="shared" si="0"/>
        <v>29753.853416149068</v>
      </c>
      <c r="G7" s="66" t="s">
        <v>4609</v>
      </c>
      <c r="H7" s="65">
        <v>21</v>
      </c>
      <c r="I7" s="75">
        <f t="shared" si="2"/>
        <v>2.6086956521739129E-2</v>
      </c>
      <c r="J7" s="77"/>
      <c r="K7" s="72">
        <f t="shared" si="3"/>
        <v>2.4861878453038673E-2</v>
      </c>
      <c r="L7" s="65">
        <f t="shared" si="1"/>
        <v>9</v>
      </c>
      <c r="M7" s="69" t="s">
        <v>4610</v>
      </c>
    </row>
    <row r="8" spans="1:13" ht="15" thickBot="1" x14ac:dyDescent="0.4">
      <c r="G8" s="88" t="s">
        <v>4611</v>
      </c>
      <c r="H8" s="89">
        <v>12</v>
      </c>
      <c r="I8" s="90">
        <f t="shared" si="2"/>
        <v>1.4906832298136646E-2</v>
      </c>
      <c r="J8" s="85"/>
      <c r="K8" s="91">
        <f t="shared" si="3"/>
        <v>1.1049723756906077E-2</v>
      </c>
      <c r="L8" s="89">
        <f t="shared" si="1"/>
        <v>4</v>
      </c>
      <c r="M8" s="92" t="s">
        <v>4612</v>
      </c>
    </row>
    <row r="9" spans="1:13" x14ac:dyDescent="0.35">
      <c r="A9" s="29" t="s">
        <v>4615</v>
      </c>
      <c r="B9" s="13" t="s">
        <v>4592</v>
      </c>
      <c r="C9" s="100" t="s">
        <v>4593</v>
      </c>
      <c r="G9" s="66" t="s">
        <v>4613</v>
      </c>
      <c r="H9" s="65">
        <v>8</v>
      </c>
      <c r="I9" s="75">
        <f t="shared" si="2"/>
        <v>9.9378881987577643E-3</v>
      </c>
      <c r="J9" s="77"/>
      <c r="K9" s="72">
        <f t="shared" si="3"/>
        <v>1.3812154696132596E-2</v>
      </c>
      <c r="L9" s="65">
        <f t="shared" si="1"/>
        <v>5</v>
      </c>
      <c r="M9" s="69" t="s">
        <v>4614</v>
      </c>
    </row>
    <row r="10" spans="1:13" x14ac:dyDescent="0.35">
      <c r="A10" s="17" t="s">
        <v>4618</v>
      </c>
      <c r="B10" s="6">
        <v>1</v>
      </c>
      <c r="C10" s="31"/>
      <c r="G10" s="88" t="s">
        <v>4616</v>
      </c>
      <c r="H10" s="89">
        <v>3</v>
      </c>
      <c r="I10" s="90">
        <f t="shared" si="2"/>
        <v>3.7267080745341614E-3</v>
      </c>
      <c r="J10" s="85"/>
      <c r="K10" s="91">
        <f t="shared" si="3"/>
        <v>2.7624309392265192E-3</v>
      </c>
      <c r="L10" s="89">
        <v>1</v>
      </c>
      <c r="M10" s="92" t="s">
        <v>4617</v>
      </c>
    </row>
    <row r="11" spans="1:13" ht="15" thickBot="1" x14ac:dyDescent="0.4">
      <c r="A11" s="101" t="s">
        <v>4621</v>
      </c>
      <c r="B11" s="26">
        <v>407</v>
      </c>
      <c r="C11" s="104">
        <f>B11/949</f>
        <v>0.42887249736564803</v>
      </c>
      <c r="G11" s="67" t="s">
        <v>4619</v>
      </c>
      <c r="H11" s="74">
        <v>5</v>
      </c>
      <c r="I11" s="76">
        <f t="shared" si="2"/>
        <v>6.2111801242236021E-3</v>
      </c>
      <c r="J11" s="77"/>
      <c r="K11" s="73">
        <f t="shared" si="3"/>
        <v>5.5248618784530384E-3</v>
      </c>
      <c r="L11" s="74">
        <v>2</v>
      </c>
      <c r="M11" s="70" t="s">
        <v>4620</v>
      </c>
    </row>
    <row r="12" spans="1:13" ht="15" thickBot="1" x14ac:dyDescent="0.4">
      <c r="A12" s="103" t="s">
        <v>4624</v>
      </c>
      <c r="G12" s="93" t="s">
        <v>4622</v>
      </c>
      <c r="H12" s="78">
        <f>SUM(H2:H11)</f>
        <v>805</v>
      </c>
      <c r="I12" s="79">
        <f>SUM(I2:I11)</f>
        <v>0.99999999999999978</v>
      </c>
      <c r="J12" s="71"/>
      <c r="K12" s="80">
        <f>SUM(K2:K11)</f>
        <v>1</v>
      </c>
      <c r="L12" s="117">
        <f>SUM(L2:L11)</f>
        <v>362</v>
      </c>
      <c r="M12" s="118" t="s">
        <v>4623</v>
      </c>
    </row>
    <row r="13" spans="1:13" ht="15" thickBot="1" x14ac:dyDescent="0.4">
      <c r="E13" s="37"/>
      <c r="L13" s="119">
        <f>L12/949</f>
        <v>0.38145416227608009</v>
      </c>
      <c r="M13" s="120" t="s">
        <v>4625</v>
      </c>
    </row>
    <row r="14" spans="1:13" x14ac:dyDescent="0.35">
      <c r="A14" s="29" t="s">
        <v>4626</v>
      </c>
      <c r="B14" s="13" t="s">
        <v>4592</v>
      </c>
      <c r="C14" s="13" t="s">
        <v>4593</v>
      </c>
      <c r="D14" s="15" t="s">
        <v>4594</v>
      </c>
    </row>
    <row r="15" spans="1:13" x14ac:dyDescent="0.35">
      <c r="A15" s="22" t="s">
        <v>4627</v>
      </c>
      <c r="B15" s="6">
        <v>202</v>
      </c>
      <c r="C15" s="30"/>
      <c r="D15" s="31"/>
    </row>
    <row r="16" spans="1:13" x14ac:dyDescent="0.35">
      <c r="A16" s="22" t="s">
        <v>4626</v>
      </c>
      <c r="B16" s="30"/>
      <c r="C16" s="52">
        <v>0.93</v>
      </c>
      <c r="D16" s="42">
        <v>12894129</v>
      </c>
    </row>
    <row r="17" spans="1:6" x14ac:dyDescent="0.35">
      <c r="A17" s="22" t="s">
        <v>4628</v>
      </c>
      <c r="B17" s="30"/>
      <c r="C17" s="34">
        <v>7.0000000000000007E-2</v>
      </c>
      <c r="D17" s="42">
        <v>1000376</v>
      </c>
      <c r="E17" s="37"/>
      <c r="F17" s="34"/>
    </row>
    <row r="18" spans="1:6" x14ac:dyDescent="0.35">
      <c r="A18" s="22" t="s">
        <v>4629</v>
      </c>
      <c r="B18" s="30"/>
      <c r="C18" s="23">
        <v>0.09</v>
      </c>
      <c r="D18" s="42">
        <v>1033858</v>
      </c>
    </row>
    <row r="19" spans="1:6" x14ac:dyDescent="0.35">
      <c r="A19" s="22" t="s">
        <v>4630</v>
      </c>
      <c r="B19" s="30"/>
      <c r="C19" s="30"/>
      <c r="D19" s="42">
        <v>11057723</v>
      </c>
      <c r="F19" s="111"/>
    </row>
    <row r="20" spans="1:6" x14ac:dyDescent="0.35">
      <c r="A20" s="22" t="s">
        <v>4631</v>
      </c>
      <c r="B20" s="6">
        <v>22</v>
      </c>
      <c r="C20" s="23">
        <v>0.12</v>
      </c>
      <c r="D20" s="32"/>
    </row>
    <row r="21" spans="1:6" x14ac:dyDescent="0.35">
      <c r="A21" s="22" t="s">
        <v>4632</v>
      </c>
      <c r="B21" s="33"/>
      <c r="C21" s="23">
        <v>0.3</v>
      </c>
      <c r="D21" s="32"/>
    </row>
    <row r="22" spans="1:6" ht="15" thickBot="1" x14ac:dyDescent="0.4">
      <c r="A22" s="25" t="s">
        <v>4633</v>
      </c>
      <c r="B22" s="26">
        <v>14</v>
      </c>
      <c r="C22" s="36">
        <v>0.01</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0265-7A02-46F3-9C21-35B9290FDA01}">
  <sheetPr codeName="Sheet32"/>
  <dimension ref="A1:M33"/>
  <sheetViews>
    <sheetView zoomScale="90" zoomScaleNormal="90" workbookViewId="0">
      <selection activeCell="F19" sqref="F19"/>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737</v>
      </c>
      <c r="C2" s="19">
        <f>B2/$B$7</f>
        <v>0.92125000000000001</v>
      </c>
      <c r="D2" s="20">
        <f>SUM(D3:D5)</f>
        <v>23285152</v>
      </c>
      <c r="E2" s="21">
        <f t="shared" ref="E2:E7" si="0">D2/B2</f>
        <v>31594.507462686568</v>
      </c>
      <c r="G2" s="82" t="s">
        <v>4599</v>
      </c>
      <c r="H2" s="83">
        <v>361</v>
      </c>
      <c r="I2" s="84">
        <f>H2/$H$12</f>
        <v>0.45124999999999998</v>
      </c>
      <c r="J2" s="85"/>
      <c r="K2" s="86">
        <f>L2/$L$12</f>
        <v>0.46814404432132967</v>
      </c>
      <c r="L2" s="83">
        <f t="shared" ref="L2:L9" si="1">H2-H3</f>
        <v>169</v>
      </c>
      <c r="M2" s="87" t="s">
        <v>4600</v>
      </c>
    </row>
    <row r="3" spans="1:13" x14ac:dyDescent="0.35">
      <c r="A3" s="22" t="s">
        <v>13</v>
      </c>
      <c r="B3" s="6">
        <v>606</v>
      </c>
      <c r="C3" s="19">
        <f>B3/$B$7</f>
        <v>0.75749999999999995</v>
      </c>
      <c r="D3" s="24">
        <v>19055652</v>
      </c>
      <c r="E3" s="21">
        <f t="shared" si="0"/>
        <v>31444.970297029704</v>
      </c>
      <c r="F3" s="37"/>
      <c r="G3" s="66" t="s">
        <v>4601</v>
      </c>
      <c r="H3" s="65">
        <v>192</v>
      </c>
      <c r="I3" s="75">
        <f t="shared" ref="I3:I11" si="2">H3/$H$12</f>
        <v>0.24</v>
      </c>
      <c r="J3" s="77"/>
      <c r="K3" s="72">
        <f t="shared" ref="K3:K11" si="3">L3/$L$12</f>
        <v>0.25207756232686979</v>
      </c>
      <c r="L3" s="65">
        <f t="shared" si="1"/>
        <v>91</v>
      </c>
      <c r="M3" s="69" t="s">
        <v>4602</v>
      </c>
    </row>
    <row r="4" spans="1:13" x14ac:dyDescent="0.35">
      <c r="A4" s="22" t="s">
        <v>55</v>
      </c>
      <c r="B4" s="6">
        <v>23</v>
      </c>
      <c r="C4" s="19">
        <f>B4/$B$7</f>
        <v>2.8750000000000001E-2</v>
      </c>
      <c r="D4" s="24">
        <v>362000</v>
      </c>
      <c r="E4" s="21">
        <f t="shared" si="0"/>
        <v>15739.130434782608</v>
      </c>
      <c r="G4" s="88" t="s">
        <v>4603</v>
      </c>
      <c r="H4" s="89">
        <v>101</v>
      </c>
      <c r="I4" s="90">
        <f t="shared" si="2"/>
        <v>0.12625</v>
      </c>
      <c r="J4" s="85"/>
      <c r="K4" s="91">
        <f t="shared" si="3"/>
        <v>0.11357340720221606</v>
      </c>
      <c r="L4" s="89">
        <f t="shared" si="1"/>
        <v>41</v>
      </c>
      <c r="M4" s="92" t="s">
        <v>4604</v>
      </c>
    </row>
    <row r="5" spans="1:13" x14ac:dyDescent="0.35">
      <c r="A5" s="22" t="s">
        <v>70</v>
      </c>
      <c r="B5" s="6">
        <v>108</v>
      </c>
      <c r="C5" s="19">
        <f>B5/$B$7</f>
        <v>0.13500000000000001</v>
      </c>
      <c r="D5" s="24">
        <v>3867500</v>
      </c>
      <c r="E5" s="21">
        <f t="shared" si="0"/>
        <v>35810.185185185182</v>
      </c>
      <c r="F5" s="37"/>
      <c r="G5" s="66" t="s">
        <v>4605</v>
      </c>
      <c r="H5" s="65">
        <v>60</v>
      </c>
      <c r="I5" s="75">
        <f t="shared" si="2"/>
        <v>7.4999999999999997E-2</v>
      </c>
      <c r="J5" s="77"/>
      <c r="K5" s="72">
        <f t="shared" si="3"/>
        <v>6.0941828254847646E-2</v>
      </c>
      <c r="L5" s="65">
        <f t="shared" si="1"/>
        <v>22</v>
      </c>
      <c r="M5" s="69" t="s">
        <v>4606</v>
      </c>
    </row>
    <row r="6" spans="1:13" x14ac:dyDescent="0.35">
      <c r="A6" s="22" t="s">
        <v>4648</v>
      </c>
      <c r="B6" s="6">
        <v>63</v>
      </c>
      <c r="C6" s="19">
        <f>B6/$B$7</f>
        <v>7.8750000000000001E-2</v>
      </c>
      <c r="D6" s="24">
        <v>351700</v>
      </c>
      <c r="E6" s="21">
        <f t="shared" si="0"/>
        <v>5582.5396825396829</v>
      </c>
      <c r="G6" s="88" t="s">
        <v>4607</v>
      </c>
      <c r="H6" s="89">
        <v>38</v>
      </c>
      <c r="I6" s="90">
        <f t="shared" si="2"/>
        <v>4.7500000000000001E-2</v>
      </c>
      <c r="J6" s="85"/>
      <c r="K6" s="91">
        <f t="shared" si="3"/>
        <v>4.7091412742382273E-2</v>
      </c>
      <c r="L6" s="89">
        <f t="shared" si="1"/>
        <v>17</v>
      </c>
      <c r="M6" s="92" t="s">
        <v>4608</v>
      </c>
    </row>
    <row r="7" spans="1:13" ht="15" thickBot="1" x14ac:dyDescent="0.4">
      <c r="A7" s="55" t="s">
        <v>633</v>
      </c>
      <c r="B7" s="56">
        <f>B2+B6</f>
        <v>800</v>
      </c>
      <c r="C7" s="56"/>
      <c r="D7" s="53">
        <f>D2+D6</f>
        <v>23636852</v>
      </c>
      <c r="E7" s="54">
        <f t="shared" si="0"/>
        <v>29546.064999999999</v>
      </c>
      <c r="G7" s="66" t="s">
        <v>4609</v>
      </c>
      <c r="H7" s="65">
        <v>21</v>
      </c>
      <c r="I7" s="75">
        <f t="shared" si="2"/>
        <v>2.6249999999999999E-2</v>
      </c>
      <c r="J7" s="77"/>
      <c r="K7" s="72">
        <f t="shared" si="3"/>
        <v>2.4930747922437674E-2</v>
      </c>
      <c r="L7" s="65">
        <f t="shared" si="1"/>
        <v>9</v>
      </c>
      <c r="M7" s="69" t="s">
        <v>4610</v>
      </c>
    </row>
    <row r="8" spans="1:13" ht="15" thickBot="1" x14ac:dyDescent="0.4">
      <c r="G8" s="88" t="s">
        <v>4611</v>
      </c>
      <c r="H8" s="89">
        <v>12</v>
      </c>
      <c r="I8" s="90">
        <f t="shared" si="2"/>
        <v>1.4999999999999999E-2</v>
      </c>
      <c r="J8" s="85"/>
      <c r="K8" s="91">
        <f t="shared" si="3"/>
        <v>1.1080332409972299E-2</v>
      </c>
      <c r="L8" s="89">
        <f t="shared" si="1"/>
        <v>4</v>
      </c>
      <c r="M8" s="92" t="s">
        <v>4612</v>
      </c>
    </row>
    <row r="9" spans="1:13" x14ac:dyDescent="0.35">
      <c r="A9" s="29" t="s">
        <v>4615</v>
      </c>
      <c r="B9" s="13" t="s">
        <v>4592</v>
      </c>
      <c r="C9" s="100" t="s">
        <v>4593</v>
      </c>
      <c r="G9" s="66" t="s">
        <v>4613</v>
      </c>
      <c r="H9" s="65">
        <v>8</v>
      </c>
      <c r="I9" s="75">
        <f t="shared" si="2"/>
        <v>0.01</v>
      </c>
      <c r="J9" s="77"/>
      <c r="K9" s="72">
        <f t="shared" si="3"/>
        <v>1.3850415512465374E-2</v>
      </c>
      <c r="L9" s="65">
        <f t="shared" si="1"/>
        <v>5</v>
      </c>
      <c r="M9" s="69" t="s">
        <v>4614</v>
      </c>
    </row>
    <row r="10" spans="1:13" x14ac:dyDescent="0.35">
      <c r="A10" s="17" t="s">
        <v>4618</v>
      </c>
      <c r="B10" s="6">
        <v>2</v>
      </c>
      <c r="C10" s="31"/>
      <c r="G10" s="88" t="s">
        <v>4616</v>
      </c>
      <c r="H10" s="89">
        <v>3</v>
      </c>
      <c r="I10" s="90">
        <f t="shared" si="2"/>
        <v>3.7499999999999999E-3</v>
      </c>
      <c r="J10" s="85"/>
      <c r="K10" s="91">
        <f t="shared" si="3"/>
        <v>2.7700831024930748E-3</v>
      </c>
      <c r="L10" s="89">
        <v>1</v>
      </c>
      <c r="M10" s="92" t="s">
        <v>4617</v>
      </c>
    </row>
    <row r="11" spans="1:13" ht="15" thickBot="1" x14ac:dyDescent="0.4">
      <c r="A11" s="101" t="s">
        <v>4621</v>
      </c>
      <c r="B11" s="26">
        <v>406</v>
      </c>
      <c r="C11" s="104">
        <f>B11/925</f>
        <v>0.43891891891891893</v>
      </c>
      <c r="G11" s="67" t="s">
        <v>4619</v>
      </c>
      <c r="H11" s="74">
        <v>4</v>
      </c>
      <c r="I11" s="76">
        <f t="shared" si="2"/>
        <v>5.0000000000000001E-3</v>
      </c>
      <c r="J11" s="77"/>
      <c r="K11" s="73">
        <f t="shared" si="3"/>
        <v>5.5401662049861496E-3</v>
      </c>
      <c r="L11" s="74">
        <v>2</v>
      </c>
      <c r="M11" s="70" t="s">
        <v>4620</v>
      </c>
    </row>
    <row r="12" spans="1:13" ht="15" thickBot="1" x14ac:dyDescent="0.4">
      <c r="A12" s="103" t="s">
        <v>4624</v>
      </c>
      <c r="G12" s="93" t="s">
        <v>4622</v>
      </c>
      <c r="H12" s="78">
        <f>SUM(H2:H11)</f>
        <v>800</v>
      </c>
      <c r="I12" s="79">
        <f>SUM(I2:I11)</f>
        <v>0.99999999999999989</v>
      </c>
      <c r="J12" s="71"/>
      <c r="K12" s="80">
        <f>SUM(K2:K11)</f>
        <v>0.99999999999999989</v>
      </c>
      <c r="L12" s="117">
        <f>SUM(L2:L11)</f>
        <v>361</v>
      </c>
      <c r="M12" s="118" t="s">
        <v>4623</v>
      </c>
    </row>
    <row r="13" spans="1:13" ht="15" thickBot="1" x14ac:dyDescent="0.4">
      <c r="E13" s="37"/>
      <c r="L13" s="119">
        <f>L12/925</f>
        <v>0.39027027027027028</v>
      </c>
      <c r="M13" s="120" t="s">
        <v>4625</v>
      </c>
    </row>
    <row r="14" spans="1:13" x14ac:dyDescent="0.35">
      <c r="A14" s="29" t="s">
        <v>4626</v>
      </c>
      <c r="B14" s="13" t="s">
        <v>4592</v>
      </c>
      <c r="C14" s="13" t="s">
        <v>4593</v>
      </c>
      <c r="D14" s="15" t="s">
        <v>4594</v>
      </c>
    </row>
    <row r="15" spans="1:13" x14ac:dyDescent="0.35">
      <c r="A15" s="22" t="s">
        <v>4627</v>
      </c>
      <c r="B15" s="6">
        <v>200</v>
      </c>
      <c r="C15" s="30"/>
      <c r="D15" s="31"/>
    </row>
    <row r="16" spans="1:13" x14ac:dyDescent="0.35">
      <c r="A16" s="22" t="s">
        <v>4626</v>
      </c>
      <c r="B16" s="30"/>
      <c r="C16" s="52">
        <v>0.93</v>
      </c>
      <c r="D16" s="42">
        <v>12797389</v>
      </c>
    </row>
    <row r="17" spans="1:7" x14ac:dyDescent="0.35">
      <c r="A17" s="22" t="s">
        <v>4628</v>
      </c>
      <c r="B17" s="30"/>
      <c r="C17" s="34">
        <v>7.0000000000000007E-2</v>
      </c>
      <c r="D17" s="42">
        <v>1030814</v>
      </c>
      <c r="E17" s="37"/>
      <c r="F17" s="34"/>
    </row>
    <row r="18" spans="1:7" x14ac:dyDescent="0.35">
      <c r="A18" s="22" t="s">
        <v>4629</v>
      </c>
      <c r="B18" s="30"/>
      <c r="C18" s="23">
        <v>0.1</v>
      </c>
      <c r="D18" s="42">
        <v>1084587</v>
      </c>
      <c r="G18" s="37"/>
    </row>
    <row r="19" spans="1:7" x14ac:dyDescent="0.35">
      <c r="A19" s="22" t="s">
        <v>4630</v>
      </c>
      <c r="B19" s="30"/>
      <c r="C19" s="30"/>
      <c r="D19" s="42">
        <v>10839463</v>
      </c>
      <c r="F19" s="111"/>
    </row>
    <row r="20" spans="1:7" x14ac:dyDescent="0.35">
      <c r="A20" s="22" t="s">
        <v>4631</v>
      </c>
      <c r="B20" s="6">
        <v>24</v>
      </c>
      <c r="C20" s="23">
        <v>0.12</v>
      </c>
      <c r="D20" s="32"/>
    </row>
    <row r="21" spans="1:7" x14ac:dyDescent="0.35">
      <c r="A21" s="22" t="s">
        <v>4632</v>
      </c>
      <c r="B21" s="33"/>
      <c r="C21" s="23">
        <v>0.3</v>
      </c>
      <c r="D21" s="32"/>
    </row>
    <row r="22" spans="1:7" ht="15" thickBot="1" x14ac:dyDescent="0.4">
      <c r="A22" s="25" t="s">
        <v>4633</v>
      </c>
      <c r="B22" s="26">
        <v>14</v>
      </c>
      <c r="C22" s="36">
        <v>0.01</v>
      </c>
      <c r="D22" s="28">
        <v>50707</v>
      </c>
    </row>
    <row r="23" spans="1:7" ht="15" thickBot="1" x14ac:dyDescent="0.4">
      <c r="E23" s="37"/>
    </row>
    <row r="24" spans="1:7" x14ac:dyDescent="0.35">
      <c r="A24" s="122" t="s">
        <v>4634</v>
      </c>
      <c r="B24" s="123" t="s">
        <v>4635</v>
      </c>
      <c r="C24" s="124" t="s">
        <v>4636</v>
      </c>
    </row>
    <row r="25" spans="1:7" x14ac:dyDescent="0.35">
      <c r="A25" s="125" t="s">
        <v>4637</v>
      </c>
      <c r="B25" s="126">
        <v>0.4</v>
      </c>
      <c r="C25" s="127"/>
    </row>
    <row r="26" spans="1:7" x14ac:dyDescent="0.35">
      <c r="A26" s="125" t="s">
        <v>4638</v>
      </c>
      <c r="B26" s="128" t="s">
        <v>4639</v>
      </c>
      <c r="C26" s="127"/>
    </row>
    <row r="27" spans="1:7" x14ac:dyDescent="0.35">
      <c r="A27" s="125" t="s">
        <v>4640</v>
      </c>
      <c r="B27" s="126">
        <v>0.1</v>
      </c>
      <c r="C27" s="127"/>
    </row>
    <row r="28" spans="1:7" x14ac:dyDescent="0.35">
      <c r="A28" s="125" t="s">
        <v>4641</v>
      </c>
      <c r="B28" s="126">
        <v>0.04</v>
      </c>
      <c r="C28" s="127"/>
    </row>
    <row r="29" spans="1:7" x14ac:dyDescent="0.35">
      <c r="A29" s="125" t="s">
        <v>4642</v>
      </c>
      <c r="B29" s="129">
        <v>50</v>
      </c>
      <c r="C29" s="127"/>
    </row>
    <row r="30" spans="1:7" x14ac:dyDescent="0.35">
      <c r="A30" s="125" t="s">
        <v>4643</v>
      </c>
      <c r="B30" s="128" t="s">
        <v>4644</v>
      </c>
      <c r="C30" s="127"/>
    </row>
    <row r="31" spans="1:7" x14ac:dyDescent="0.35">
      <c r="A31" s="125" t="s">
        <v>4645</v>
      </c>
      <c r="B31" s="126">
        <v>0.01</v>
      </c>
      <c r="C31" s="127"/>
    </row>
    <row r="32" spans="1:7"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3635-0DED-40C7-908C-D34B4E7FA3A1}">
  <sheetPr codeName="Sheet33"/>
  <dimension ref="A1:M33"/>
  <sheetViews>
    <sheetView topLeftCell="A3" zoomScale="90" zoomScaleNormal="90" workbookViewId="0">
      <selection activeCell="G16" sqref="G16"/>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734</v>
      </c>
      <c r="C2" s="19">
        <f>B2/$B$7</f>
        <v>0.9209535759096612</v>
      </c>
      <c r="D2" s="20">
        <f>SUM(D3:D5)</f>
        <v>22635152</v>
      </c>
      <c r="E2" s="21">
        <f t="shared" ref="E2:E7" si="0">D2/B2</f>
        <v>30838.08174386921</v>
      </c>
      <c r="G2" s="82" t="s">
        <v>4599</v>
      </c>
      <c r="H2" s="83">
        <v>361</v>
      </c>
      <c r="I2" s="84">
        <f>H2/$H$12</f>
        <v>0.45294855708908405</v>
      </c>
      <c r="J2" s="85"/>
      <c r="K2" s="86">
        <f>L2/$L$12</f>
        <v>0.47368421052631576</v>
      </c>
      <c r="L2" s="83">
        <f t="shared" ref="L2:L9" si="1">H2-H3</f>
        <v>171</v>
      </c>
      <c r="M2" s="87" t="s">
        <v>4600</v>
      </c>
    </row>
    <row r="3" spans="1:13" x14ac:dyDescent="0.35">
      <c r="A3" s="22" t="s">
        <v>13</v>
      </c>
      <c r="B3" s="6">
        <v>603</v>
      </c>
      <c r="C3" s="19">
        <f>B3/$B$7</f>
        <v>0.75658720200752827</v>
      </c>
      <c r="D3" s="24">
        <v>18405652</v>
      </c>
      <c r="E3" s="21">
        <f t="shared" si="0"/>
        <v>30523.469320066335</v>
      </c>
      <c r="F3" s="37"/>
      <c r="G3" s="66" t="s">
        <v>4601</v>
      </c>
      <c r="H3" s="65">
        <v>190</v>
      </c>
      <c r="I3" s="75">
        <f t="shared" ref="I3:I11" si="2">H3/$H$12</f>
        <v>0.23839397741530741</v>
      </c>
      <c r="J3" s="77"/>
      <c r="K3" s="72">
        <f t="shared" ref="K3:K11" si="3">L3/$L$12</f>
        <v>0.24930747922437674</v>
      </c>
      <c r="L3" s="65">
        <f t="shared" si="1"/>
        <v>90</v>
      </c>
      <c r="M3" s="69" t="s">
        <v>4602</v>
      </c>
    </row>
    <row r="4" spans="1:13" x14ac:dyDescent="0.35">
      <c r="A4" s="22" t="s">
        <v>55</v>
      </c>
      <c r="B4" s="6">
        <v>23</v>
      </c>
      <c r="C4" s="19">
        <f>B4/$B$7</f>
        <v>2.8858218318695106E-2</v>
      </c>
      <c r="D4" s="24">
        <v>362000</v>
      </c>
      <c r="E4" s="21">
        <f t="shared" si="0"/>
        <v>15739.130434782608</v>
      </c>
      <c r="G4" s="88" t="s">
        <v>4603</v>
      </c>
      <c r="H4" s="89">
        <v>100</v>
      </c>
      <c r="I4" s="90">
        <f t="shared" si="2"/>
        <v>0.12547051442910917</v>
      </c>
      <c r="J4" s="85"/>
      <c r="K4" s="91">
        <f t="shared" si="3"/>
        <v>0.11080332409972299</v>
      </c>
      <c r="L4" s="89">
        <f t="shared" si="1"/>
        <v>40</v>
      </c>
      <c r="M4" s="92" t="s">
        <v>4604</v>
      </c>
    </row>
    <row r="5" spans="1:13" x14ac:dyDescent="0.35">
      <c r="A5" s="22" t="s">
        <v>70</v>
      </c>
      <c r="B5" s="6">
        <v>108</v>
      </c>
      <c r="C5" s="19">
        <f>B5/$B$7</f>
        <v>0.1355081555834379</v>
      </c>
      <c r="D5" s="24">
        <v>3867500</v>
      </c>
      <c r="E5" s="21">
        <f t="shared" si="0"/>
        <v>35810.185185185182</v>
      </c>
      <c r="F5" s="37"/>
      <c r="G5" s="66" t="s">
        <v>4605</v>
      </c>
      <c r="H5" s="65">
        <v>60</v>
      </c>
      <c r="I5" s="75">
        <f t="shared" si="2"/>
        <v>7.5282308657465491E-2</v>
      </c>
      <c r="J5" s="77"/>
      <c r="K5" s="72">
        <f t="shared" si="3"/>
        <v>6.0941828254847646E-2</v>
      </c>
      <c r="L5" s="65">
        <f t="shared" si="1"/>
        <v>22</v>
      </c>
      <c r="M5" s="69" t="s">
        <v>4606</v>
      </c>
    </row>
    <row r="6" spans="1:13" x14ac:dyDescent="0.35">
      <c r="A6" s="22" t="s">
        <v>4648</v>
      </c>
      <c r="B6" s="6">
        <v>63</v>
      </c>
      <c r="C6" s="19">
        <f>B6/$B$7</f>
        <v>7.9046424090338768E-2</v>
      </c>
      <c r="D6" s="24">
        <v>351700</v>
      </c>
      <c r="E6" s="21">
        <f t="shared" si="0"/>
        <v>5582.5396825396829</v>
      </c>
      <c r="G6" s="88" t="s">
        <v>4607</v>
      </c>
      <c r="H6" s="89">
        <v>38</v>
      </c>
      <c r="I6" s="90">
        <f t="shared" si="2"/>
        <v>4.7678795483061483E-2</v>
      </c>
      <c r="J6" s="85"/>
      <c r="K6" s="91">
        <f t="shared" si="3"/>
        <v>4.7091412742382273E-2</v>
      </c>
      <c r="L6" s="89">
        <f t="shared" si="1"/>
        <v>17</v>
      </c>
      <c r="M6" s="92" t="s">
        <v>4608</v>
      </c>
    </row>
    <row r="7" spans="1:13" ht="15" thickBot="1" x14ac:dyDescent="0.4">
      <c r="A7" s="55" t="s">
        <v>633</v>
      </c>
      <c r="B7" s="56">
        <f>B2+B6</f>
        <v>797</v>
      </c>
      <c r="C7" s="56"/>
      <c r="D7" s="53">
        <f>D2+D6</f>
        <v>22986852</v>
      </c>
      <c r="E7" s="54">
        <f t="shared" si="0"/>
        <v>28841.721455457966</v>
      </c>
      <c r="G7" s="66" t="s">
        <v>4609</v>
      </c>
      <c r="H7" s="65">
        <v>21</v>
      </c>
      <c r="I7" s="75">
        <f t="shared" si="2"/>
        <v>2.6348808030112924E-2</v>
      </c>
      <c r="J7" s="77"/>
      <c r="K7" s="72">
        <f t="shared" si="3"/>
        <v>2.4930747922437674E-2</v>
      </c>
      <c r="L7" s="65">
        <f t="shared" si="1"/>
        <v>9</v>
      </c>
      <c r="M7" s="69" t="s">
        <v>4610</v>
      </c>
    </row>
    <row r="8" spans="1:13" ht="15" thickBot="1" x14ac:dyDescent="0.4">
      <c r="G8" s="88" t="s">
        <v>4611</v>
      </c>
      <c r="H8" s="89">
        <v>12</v>
      </c>
      <c r="I8" s="90">
        <f t="shared" si="2"/>
        <v>1.5056461731493099E-2</v>
      </c>
      <c r="J8" s="85"/>
      <c r="K8" s="91">
        <f t="shared" si="3"/>
        <v>1.1080332409972299E-2</v>
      </c>
      <c r="L8" s="89">
        <f t="shared" si="1"/>
        <v>4</v>
      </c>
      <c r="M8" s="92" t="s">
        <v>4612</v>
      </c>
    </row>
    <row r="9" spans="1:13" x14ac:dyDescent="0.35">
      <c r="A9" s="29" t="s">
        <v>4615</v>
      </c>
      <c r="B9" s="13" t="s">
        <v>4592</v>
      </c>
      <c r="C9" s="100" t="s">
        <v>4593</v>
      </c>
      <c r="G9" s="66" t="s">
        <v>4613</v>
      </c>
      <c r="H9" s="65">
        <v>8</v>
      </c>
      <c r="I9" s="75">
        <f t="shared" si="2"/>
        <v>1.0037641154328732E-2</v>
      </c>
      <c r="J9" s="77"/>
      <c r="K9" s="72">
        <f t="shared" si="3"/>
        <v>1.3850415512465374E-2</v>
      </c>
      <c r="L9" s="65">
        <f t="shared" si="1"/>
        <v>5</v>
      </c>
      <c r="M9" s="69" t="s">
        <v>4614</v>
      </c>
    </row>
    <row r="10" spans="1:13" x14ac:dyDescent="0.35">
      <c r="A10" s="17" t="s">
        <v>4618</v>
      </c>
      <c r="B10" s="6">
        <v>1</v>
      </c>
      <c r="C10" s="31"/>
      <c r="G10" s="88" t="s">
        <v>4616</v>
      </c>
      <c r="H10" s="89">
        <v>3</v>
      </c>
      <c r="I10" s="90">
        <f t="shared" si="2"/>
        <v>3.7641154328732747E-3</v>
      </c>
      <c r="J10" s="85"/>
      <c r="K10" s="91">
        <f t="shared" si="3"/>
        <v>2.7700831024930748E-3</v>
      </c>
      <c r="L10" s="89">
        <v>1</v>
      </c>
      <c r="M10" s="92" t="s">
        <v>4617</v>
      </c>
    </row>
    <row r="11" spans="1:13" ht="15" thickBot="1" x14ac:dyDescent="0.4">
      <c r="A11" s="101" t="s">
        <v>4621</v>
      </c>
      <c r="B11" s="26">
        <v>404</v>
      </c>
      <c r="C11" s="104">
        <f>B11/925</f>
        <v>0.43675675675675674</v>
      </c>
      <c r="G11" s="67" t="s">
        <v>4619</v>
      </c>
      <c r="H11" s="74">
        <v>4</v>
      </c>
      <c r="I11" s="76">
        <f t="shared" si="2"/>
        <v>5.018820577164366E-3</v>
      </c>
      <c r="J11" s="77"/>
      <c r="K11" s="73">
        <f t="shared" si="3"/>
        <v>5.5401662049861496E-3</v>
      </c>
      <c r="L11" s="74">
        <v>2</v>
      </c>
      <c r="M11" s="70" t="s">
        <v>4620</v>
      </c>
    </row>
    <row r="12" spans="1:13" ht="15" thickBot="1" x14ac:dyDescent="0.4">
      <c r="A12" s="103" t="s">
        <v>4624</v>
      </c>
      <c r="G12" s="93" t="s">
        <v>4622</v>
      </c>
      <c r="H12" s="78">
        <f>SUM(H2:H11)</f>
        <v>797</v>
      </c>
      <c r="I12" s="79">
        <f>SUM(I2:I11)</f>
        <v>1</v>
      </c>
      <c r="J12" s="71"/>
      <c r="K12" s="80">
        <f>SUM(K2:K11)</f>
        <v>0.99999999999999989</v>
      </c>
      <c r="L12" s="117">
        <f>SUM(L2:L11)</f>
        <v>361</v>
      </c>
      <c r="M12" s="118" t="s">
        <v>4623</v>
      </c>
    </row>
    <row r="13" spans="1:13" ht="15" thickBot="1" x14ac:dyDescent="0.4">
      <c r="E13" s="37"/>
      <c r="L13" s="119">
        <f>L12/925</f>
        <v>0.39027027027027028</v>
      </c>
      <c r="M13" s="120" t="s">
        <v>4625</v>
      </c>
    </row>
    <row r="14" spans="1:13" x14ac:dyDescent="0.35">
      <c r="A14" s="29" t="s">
        <v>4626</v>
      </c>
      <c r="B14" s="13" t="s">
        <v>4592</v>
      </c>
      <c r="C14" s="13" t="s">
        <v>4593</v>
      </c>
      <c r="D14" s="15" t="s">
        <v>4594</v>
      </c>
    </row>
    <row r="15" spans="1:13" x14ac:dyDescent="0.35">
      <c r="A15" s="22" t="s">
        <v>4627</v>
      </c>
      <c r="B15" s="6">
        <v>207</v>
      </c>
      <c r="C15" s="30"/>
      <c r="D15" s="31"/>
    </row>
    <row r="16" spans="1:13" x14ac:dyDescent="0.35">
      <c r="A16" s="22" t="s">
        <v>4626</v>
      </c>
      <c r="B16" s="30"/>
      <c r="C16" s="52">
        <v>0.92</v>
      </c>
      <c r="D16" s="42">
        <v>12804989</v>
      </c>
    </row>
    <row r="17" spans="1:7" x14ac:dyDescent="0.35">
      <c r="A17" s="22" t="s">
        <v>4628</v>
      </c>
      <c r="B17" s="30"/>
      <c r="C17" s="34">
        <v>0.08</v>
      </c>
      <c r="D17" s="42">
        <v>1071397</v>
      </c>
      <c r="E17" s="37"/>
      <c r="F17" s="34"/>
    </row>
    <row r="18" spans="1:7" x14ac:dyDescent="0.35">
      <c r="A18" s="22" t="s">
        <v>4629</v>
      </c>
      <c r="B18" s="30"/>
      <c r="C18" s="23">
        <v>0.11</v>
      </c>
      <c r="D18" s="42">
        <v>1142418</v>
      </c>
      <c r="G18" s="37"/>
    </row>
    <row r="19" spans="1:7" x14ac:dyDescent="0.35">
      <c r="A19" s="22" t="s">
        <v>4630</v>
      </c>
      <c r="B19" s="30"/>
      <c r="C19" s="30"/>
      <c r="D19" s="42">
        <v>10181863</v>
      </c>
      <c r="F19" s="111"/>
    </row>
    <row r="20" spans="1:7" x14ac:dyDescent="0.35">
      <c r="A20" s="22" t="s">
        <v>4631</v>
      </c>
      <c r="B20" s="6">
        <v>27</v>
      </c>
      <c r="C20" s="23">
        <v>0.13</v>
      </c>
      <c r="D20" s="32"/>
    </row>
    <row r="21" spans="1:7" x14ac:dyDescent="0.35">
      <c r="A21" s="22" t="s">
        <v>4632</v>
      </c>
      <c r="B21" s="33"/>
      <c r="C21" s="23">
        <v>0.28999999999999998</v>
      </c>
      <c r="D21" s="32"/>
    </row>
    <row r="22" spans="1:7" ht="15" thickBot="1" x14ac:dyDescent="0.4">
      <c r="A22" s="25" t="s">
        <v>4633</v>
      </c>
      <c r="B22" s="26">
        <v>14</v>
      </c>
      <c r="C22" s="36">
        <v>0.01</v>
      </c>
      <c r="D22" s="28">
        <v>50707</v>
      </c>
    </row>
    <row r="23" spans="1:7" ht="15" thickBot="1" x14ac:dyDescent="0.4">
      <c r="E23" s="37"/>
    </row>
    <row r="24" spans="1:7" x14ac:dyDescent="0.35">
      <c r="A24" s="122" t="s">
        <v>4634</v>
      </c>
      <c r="B24" s="123" t="s">
        <v>4635</v>
      </c>
      <c r="C24" s="124" t="s">
        <v>4636</v>
      </c>
    </row>
    <row r="25" spans="1:7" x14ac:dyDescent="0.35">
      <c r="A25" s="125" t="s">
        <v>4637</v>
      </c>
      <c r="B25" s="126">
        <v>0.4</v>
      </c>
      <c r="C25" s="127"/>
    </row>
    <row r="26" spans="1:7" x14ac:dyDescent="0.35">
      <c r="A26" s="125" t="s">
        <v>4638</v>
      </c>
      <c r="B26" s="128" t="s">
        <v>4639</v>
      </c>
      <c r="C26" s="127"/>
    </row>
    <row r="27" spans="1:7" x14ac:dyDescent="0.35">
      <c r="A27" s="125" t="s">
        <v>4640</v>
      </c>
      <c r="B27" s="126">
        <v>0.1</v>
      </c>
      <c r="C27" s="127"/>
    </row>
    <row r="28" spans="1:7" x14ac:dyDescent="0.35">
      <c r="A28" s="125" t="s">
        <v>4641</v>
      </c>
      <c r="B28" s="126">
        <v>0.04</v>
      </c>
      <c r="C28" s="127"/>
    </row>
    <row r="29" spans="1:7" x14ac:dyDescent="0.35">
      <c r="A29" s="125" t="s">
        <v>4642</v>
      </c>
      <c r="B29" s="129">
        <v>50</v>
      </c>
      <c r="C29" s="127"/>
    </row>
    <row r="30" spans="1:7" x14ac:dyDescent="0.35">
      <c r="A30" s="125" t="s">
        <v>4643</v>
      </c>
      <c r="B30" s="128" t="s">
        <v>4644</v>
      </c>
      <c r="C30" s="127"/>
    </row>
    <row r="31" spans="1:7" x14ac:dyDescent="0.35">
      <c r="A31" s="125" t="s">
        <v>4645</v>
      </c>
      <c r="B31" s="126">
        <v>0.01</v>
      </c>
      <c r="C31" s="127"/>
    </row>
    <row r="32" spans="1:7"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3396-65F6-4B1C-B69F-5F522DC630CF}">
  <sheetPr codeName="Sheet34"/>
  <dimension ref="A1:M33"/>
  <sheetViews>
    <sheetView zoomScale="90" zoomScaleNormal="90" workbookViewId="0">
      <selection activeCell="K16" sqref="K16"/>
    </sheetView>
  </sheetViews>
  <sheetFormatPr defaultColWidth="9.1796875" defaultRowHeight="14.5" x14ac:dyDescent="0.35"/>
  <cols>
    <col min="1" max="1" width="31.453125" customWidth="1"/>
    <col min="2" max="2" width="9.453125" customWidth="1"/>
    <col min="3" max="3" width="10.5429687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729</v>
      </c>
      <c r="C2" s="19">
        <f>B2/$B$7</f>
        <v>0.92045454545454541</v>
      </c>
      <c r="D2" s="20">
        <f>SUM(D3:D5)</f>
        <v>22265152</v>
      </c>
      <c r="E2" s="21">
        <f t="shared" ref="E2:E7" si="0">D2/B2</f>
        <v>30542.046639231823</v>
      </c>
      <c r="G2" s="82" t="s">
        <v>4599</v>
      </c>
      <c r="H2" s="83">
        <v>361</v>
      </c>
      <c r="I2" s="84">
        <f>H2/$H$12</f>
        <v>0.45580808080808083</v>
      </c>
      <c r="J2" s="85"/>
      <c r="K2" s="86">
        <f>L2/$L$12</f>
        <v>0.47922437673130192</v>
      </c>
      <c r="L2" s="83">
        <f t="shared" ref="L2:L9" si="1">H2-H3</f>
        <v>173</v>
      </c>
      <c r="M2" s="87" t="s">
        <v>4600</v>
      </c>
    </row>
    <row r="3" spans="1:13" x14ac:dyDescent="0.35">
      <c r="A3" s="22" t="s">
        <v>13</v>
      </c>
      <c r="B3" s="6">
        <v>598</v>
      </c>
      <c r="C3" s="19">
        <f>B3/$B$7</f>
        <v>0.75505050505050508</v>
      </c>
      <c r="D3" s="24">
        <v>18035652</v>
      </c>
      <c r="E3" s="21">
        <f t="shared" si="0"/>
        <v>30159.953177257525</v>
      </c>
      <c r="F3" s="37"/>
      <c r="G3" s="66" t="s">
        <v>4601</v>
      </c>
      <c r="H3" s="65">
        <v>188</v>
      </c>
      <c r="I3" s="75">
        <f t="shared" ref="I3:I11" si="2">H3/$H$12</f>
        <v>0.23737373737373738</v>
      </c>
      <c r="J3" s="77"/>
      <c r="K3" s="72">
        <f t="shared" ref="K3:K11" si="3">L3/$L$12</f>
        <v>0.24376731301939059</v>
      </c>
      <c r="L3" s="65">
        <f t="shared" si="1"/>
        <v>88</v>
      </c>
      <c r="M3" s="69" t="s">
        <v>4602</v>
      </c>
    </row>
    <row r="4" spans="1:13" x14ac:dyDescent="0.35">
      <c r="A4" s="22" t="s">
        <v>55</v>
      </c>
      <c r="B4" s="6">
        <v>23</v>
      </c>
      <c r="C4" s="19">
        <f>B4/$B$7</f>
        <v>2.904040404040404E-2</v>
      </c>
      <c r="D4" s="24">
        <v>362000</v>
      </c>
      <c r="E4" s="21">
        <f t="shared" si="0"/>
        <v>15739.130434782608</v>
      </c>
      <c r="G4" s="88" t="s">
        <v>4603</v>
      </c>
      <c r="H4" s="89">
        <v>100</v>
      </c>
      <c r="I4" s="90">
        <f t="shared" si="2"/>
        <v>0.12626262626262627</v>
      </c>
      <c r="J4" s="85"/>
      <c r="K4" s="91">
        <f t="shared" si="3"/>
        <v>0.11357340720221606</v>
      </c>
      <c r="L4" s="89">
        <f t="shared" si="1"/>
        <v>41</v>
      </c>
      <c r="M4" s="92" t="s">
        <v>4604</v>
      </c>
    </row>
    <row r="5" spans="1:13" x14ac:dyDescent="0.35">
      <c r="A5" s="22" t="s">
        <v>70</v>
      </c>
      <c r="B5" s="6">
        <v>108</v>
      </c>
      <c r="C5" s="19">
        <f>B5/$B$7</f>
        <v>0.13636363636363635</v>
      </c>
      <c r="D5" s="24">
        <v>3867500</v>
      </c>
      <c r="E5" s="21">
        <f t="shared" si="0"/>
        <v>35810.185185185182</v>
      </c>
      <c r="F5" s="37"/>
      <c r="G5" s="66" t="s">
        <v>4605</v>
      </c>
      <c r="H5" s="65">
        <v>59</v>
      </c>
      <c r="I5" s="75">
        <f t="shared" si="2"/>
        <v>7.4494949494949489E-2</v>
      </c>
      <c r="J5" s="77"/>
      <c r="K5" s="72">
        <f t="shared" si="3"/>
        <v>6.0941828254847646E-2</v>
      </c>
      <c r="L5" s="65">
        <f t="shared" si="1"/>
        <v>22</v>
      </c>
      <c r="M5" s="69" t="s">
        <v>4606</v>
      </c>
    </row>
    <row r="6" spans="1:13" x14ac:dyDescent="0.35">
      <c r="A6" s="22" t="s">
        <v>4648</v>
      </c>
      <c r="B6" s="6">
        <v>63</v>
      </c>
      <c r="C6" s="19">
        <f>B6/$B$7</f>
        <v>7.9545454545454544E-2</v>
      </c>
      <c r="D6" s="24">
        <v>351700</v>
      </c>
      <c r="E6" s="21">
        <f t="shared" si="0"/>
        <v>5582.5396825396829</v>
      </c>
      <c r="G6" s="88" t="s">
        <v>4607</v>
      </c>
      <c r="H6" s="89">
        <v>37</v>
      </c>
      <c r="I6" s="90">
        <f t="shared" si="2"/>
        <v>4.671717171717172E-2</v>
      </c>
      <c r="J6" s="85"/>
      <c r="K6" s="91">
        <f t="shared" si="3"/>
        <v>4.7091412742382273E-2</v>
      </c>
      <c r="L6" s="89">
        <f t="shared" si="1"/>
        <v>17</v>
      </c>
      <c r="M6" s="92" t="s">
        <v>4608</v>
      </c>
    </row>
    <row r="7" spans="1:13" ht="15" thickBot="1" x14ac:dyDescent="0.4">
      <c r="A7" s="55" t="s">
        <v>633</v>
      </c>
      <c r="B7" s="56">
        <f>B2+B6</f>
        <v>792</v>
      </c>
      <c r="C7" s="56"/>
      <c r="D7" s="53">
        <f>D2+D6</f>
        <v>22616852</v>
      </c>
      <c r="E7" s="54">
        <f t="shared" si="0"/>
        <v>28556.631313131315</v>
      </c>
      <c r="G7" s="66" t="s">
        <v>4609</v>
      </c>
      <c r="H7" s="65">
        <v>20</v>
      </c>
      <c r="I7" s="75">
        <f t="shared" si="2"/>
        <v>2.5252525252525252E-2</v>
      </c>
      <c r="J7" s="77"/>
      <c r="K7" s="72">
        <f t="shared" si="3"/>
        <v>2.2160664819944598E-2</v>
      </c>
      <c r="L7" s="65">
        <f t="shared" si="1"/>
        <v>8</v>
      </c>
      <c r="M7" s="69" t="s">
        <v>4610</v>
      </c>
    </row>
    <row r="8" spans="1:13" ht="15" thickBot="1" x14ac:dyDescent="0.4">
      <c r="G8" s="88" t="s">
        <v>4611</v>
      </c>
      <c r="H8" s="89">
        <v>12</v>
      </c>
      <c r="I8" s="90">
        <f t="shared" si="2"/>
        <v>1.5151515151515152E-2</v>
      </c>
      <c r="J8" s="85"/>
      <c r="K8" s="91">
        <f t="shared" si="3"/>
        <v>1.1080332409972299E-2</v>
      </c>
      <c r="L8" s="89">
        <f t="shared" si="1"/>
        <v>4</v>
      </c>
      <c r="M8" s="92" t="s">
        <v>4612</v>
      </c>
    </row>
    <row r="9" spans="1:13" x14ac:dyDescent="0.35">
      <c r="A9" s="29" t="s">
        <v>4615</v>
      </c>
      <c r="B9" s="13" t="s">
        <v>4592</v>
      </c>
      <c r="C9" s="100" t="s">
        <v>4593</v>
      </c>
      <c r="G9" s="66" t="s">
        <v>4613</v>
      </c>
      <c r="H9" s="65">
        <v>8</v>
      </c>
      <c r="I9" s="75">
        <f t="shared" si="2"/>
        <v>1.0101010101010102E-2</v>
      </c>
      <c r="J9" s="77"/>
      <c r="K9" s="72">
        <f t="shared" si="3"/>
        <v>1.3850415512465374E-2</v>
      </c>
      <c r="L9" s="65">
        <f t="shared" si="1"/>
        <v>5</v>
      </c>
      <c r="M9" s="69" t="s">
        <v>4614</v>
      </c>
    </row>
    <row r="10" spans="1:13" x14ac:dyDescent="0.35">
      <c r="A10" s="17" t="s">
        <v>4618</v>
      </c>
      <c r="B10" s="6">
        <v>2</v>
      </c>
      <c r="C10" s="31"/>
      <c r="G10" s="88" t="s">
        <v>4616</v>
      </c>
      <c r="H10" s="89">
        <v>3</v>
      </c>
      <c r="I10" s="90">
        <f t="shared" si="2"/>
        <v>3.787878787878788E-3</v>
      </c>
      <c r="J10" s="85"/>
      <c r="K10" s="91">
        <f t="shared" si="3"/>
        <v>2.7700831024930748E-3</v>
      </c>
      <c r="L10" s="89">
        <v>1</v>
      </c>
      <c r="M10" s="92" t="s">
        <v>4617</v>
      </c>
    </row>
    <row r="11" spans="1:13" ht="15" thickBot="1" x14ac:dyDescent="0.4">
      <c r="A11" s="101" t="s">
        <v>4621</v>
      </c>
      <c r="B11" s="26">
        <v>403</v>
      </c>
      <c r="C11" s="104">
        <f>B11/925</f>
        <v>0.43567567567567567</v>
      </c>
      <c r="G11" s="67" t="s">
        <v>4619</v>
      </c>
      <c r="H11" s="74">
        <v>4</v>
      </c>
      <c r="I11" s="76">
        <f t="shared" si="2"/>
        <v>5.0505050505050509E-3</v>
      </c>
      <c r="J11" s="77"/>
      <c r="K11" s="73">
        <f t="shared" si="3"/>
        <v>5.5401662049861496E-3</v>
      </c>
      <c r="L11" s="74">
        <v>2</v>
      </c>
      <c r="M11" s="70" t="s">
        <v>4620</v>
      </c>
    </row>
    <row r="12" spans="1:13" ht="15" thickBot="1" x14ac:dyDescent="0.4">
      <c r="A12" s="103" t="s">
        <v>4624</v>
      </c>
      <c r="G12" s="93" t="s">
        <v>4622</v>
      </c>
      <c r="H12" s="78">
        <f>SUM(H2:H11)</f>
        <v>792</v>
      </c>
      <c r="I12" s="79">
        <f>SUM(I2:I11)</f>
        <v>1</v>
      </c>
      <c r="J12" s="71"/>
      <c r="K12" s="80">
        <f>SUM(K2:K11)</f>
        <v>0.99999999999999989</v>
      </c>
      <c r="L12" s="117">
        <f>SUM(L2:L11)</f>
        <v>361</v>
      </c>
      <c r="M12" s="118" t="s">
        <v>4623</v>
      </c>
    </row>
    <row r="13" spans="1:13" ht="15" thickBot="1" x14ac:dyDescent="0.4">
      <c r="E13" s="37"/>
      <c r="L13" s="119">
        <f>L12/925</f>
        <v>0.39027027027027028</v>
      </c>
      <c r="M13" s="120" t="s">
        <v>4625</v>
      </c>
    </row>
    <row r="14" spans="1:13" x14ac:dyDescent="0.35">
      <c r="A14" s="29" t="s">
        <v>4626</v>
      </c>
      <c r="B14" s="13" t="s">
        <v>4592</v>
      </c>
      <c r="C14" s="13" t="s">
        <v>4593</v>
      </c>
      <c r="D14" s="15" t="s">
        <v>4594</v>
      </c>
    </row>
    <row r="15" spans="1:13" x14ac:dyDescent="0.35">
      <c r="A15" s="22" t="s">
        <v>4627</v>
      </c>
      <c r="B15" s="6">
        <v>211</v>
      </c>
      <c r="C15" s="30"/>
      <c r="D15" s="31"/>
    </row>
    <row r="16" spans="1:13" x14ac:dyDescent="0.35">
      <c r="A16" s="22" t="s">
        <v>4626</v>
      </c>
      <c r="B16" s="30"/>
      <c r="C16" s="52">
        <v>0.92</v>
      </c>
      <c r="D16" s="42">
        <v>12715650</v>
      </c>
    </row>
    <row r="17" spans="1:6" x14ac:dyDescent="0.35">
      <c r="A17" s="22" t="s">
        <v>4628</v>
      </c>
      <c r="B17" s="30"/>
      <c r="C17" s="34">
        <v>0.08</v>
      </c>
      <c r="D17" s="42">
        <v>1091689</v>
      </c>
      <c r="E17" s="37"/>
      <c r="F17" s="34"/>
    </row>
    <row r="18" spans="1:6" x14ac:dyDescent="0.35">
      <c r="A18" s="22" t="s">
        <v>4629</v>
      </c>
      <c r="B18" s="30"/>
      <c r="C18" s="23">
        <v>0.12</v>
      </c>
      <c r="D18" s="42">
        <v>1203292</v>
      </c>
    </row>
    <row r="19" spans="1:6" x14ac:dyDescent="0.35">
      <c r="A19" s="22" t="s">
        <v>4630</v>
      </c>
      <c r="B19" s="30"/>
      <c r="C19" s="30"/>
      <c r="D19" s="42">
        <v>9901202</v>
      </c>
      <c r="F19" s="111"/>
    </row>
    <row r="20" spans="1:6" x14ac:dyDescent="0.35">
      <c r="A20" s="22" t="s">
        <v>4631</v>
      </c>
      <c r="B20" s="6">
        <v>30</v>
      </c>
      <c r="C20" s="23">
        <v>0.16</v>
      </c>
      <c r="D20" s="32"/>
    </row>
    <row r="21" spans="1:6" x14ac:dyDescent="0.35">
      <c r="A21" s="22" t="s">
        <v>4632</v>
      </c>
      <c r="B21" s="33"/>
      <c r="C21" s="23">
        <v>0.28999999999999998</v>
      </c>
      <c r="D21" s="32"/>
    </row>
    <row r="22" spans="1:6" ht="15" thickBot="1" x14ac:dyDescent="0.4">
      <c r="A22" s="25" t="s">
        <v>4633</v>
      </c>
      <c r="B22" s="26">
        <v>14</v>
      </c>
      <c r="C22" s="36">
        <v>0.01</v>
      </c>
      <c r="D22" s="28">
        <v>50707</v>
      </c>
    </row>
    <row r="23" spans="1:6" ht="15" thickBot="1" x14ac:dyDescent="0.4">
      <c r="E23" s="37"/>
    </row>
    <row r="24" spans="1:6" x14ac:dyDescent="0.35">
      <c r="A24" s="122" t="s">
        <v>4634</v>
      </c>
      <c r="B24" s="123" t="s">
        <v>4635</v>
      </c>
      <c r="C24" s="124" t="s">
        <v>4636</v>
      </c>
    </row>
    <row r="25" spans="1:6" x14ac:dyDescent="0.35">
      <c r="A25" s="125" t="s">
        <v>4637</v>
      </c>
      <c r="B25" s="126">
        <v>0.4</v>
      </c>
      <c r="C25" s="127"/>
    </row>
    <row r="26" spans="1:6" x14ac:dyDescent="0.35">
      <c r="A26" s="125" t="s">
        <v>4638</v>
      </c>
      <c r="B26" s="128" t="s">
        <v>4639</v>
      </c>
      <c r="C26" s="127"/>
    </row>
    <row r="27" spans="1:6" x14ac:dyDescent="0.35">
      <c r="A27" s="125" t="s">
        <v>4640</v>
      </c>
      <c r="B27" s="126">
        <v>0.1</v>
      </c>
      <c r="C27" s="127"/>
    </row>
    <row r="28" spans="1:6" x14ac:dyDescent="0.35">
      <c r="A28" s="125" t="s">
        <v>4641</v>
      </c>
      <c r="B28" s="126">
        <v>0.04</v>
      </c>
      <c r="C28" s="127"/>
    </row>
    <row r="29" spans="1:6" x14ac:dyDescent="0.35">
      <c r="A29" s="125" t="s">
        <v>4642</v>
      </c>
      <c r="B29" s="129">
        <v>50</v>
      </c>
      <c r="C29" s="127"/>
    </row>
    <row r="30" spans="1:6" x14ac:dyDescent="0.35">
      <c r="A30" s="125" t="s">
        <v>4643</v>
      </c>
      <c r="B30" s="128" t="s">
        <v>4644</v>
      </c>
      <c r="C30" s="127"/>
    </row>
    <row r="31" spans="1:6" x14ac:dyDescent="0.35">
      <c r="A31" s="125" t="s">
        <v>4645</v>
      </c>
      <c r="B31" s="126">
        <v>0.01</v>
      </c>
      <c r="C31" s="127"/>
    </row>
    <row r="32" spans="1:6" x14ac:dyDescent="0.35">
      <c r="A32" s="125" t="s">
        <v>4646</v>
      </c>
      <c r="B32" s="130"/>
      <c r="C32" s="127"/>
    </row>
    <row r="33" spans="1:3" ht="15" thickBot="1" x14ac:dyDescent="0.4">
      <c r="A33" s="131" t="s">
        <v>4647</v>
      </c>
      <c r="B33" s="132"/>
      <c r="C33" s="133"/>
    </row>
  </sheetData>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F06E8-5973-4B3D-A702-F6E6BC7AD04D}">
  <sheetPr codeName="Sheet35"/>
  <dimension ref="A1:M27"/>
  <sheetViews>
    <sheetView zoomScale="90" zoomScaleNormal="90" workbookViewId="0">
      <selection activeCell="C22" sqref="C22"/>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727</v>
      </c>
      <c r="C2" s="19">
        <f>B2/$B$7</f>
        <v>0.92141951837769331</v>
      </c>
      <c r="D2" s="20">
        <f>SUM(D3:D5)</f>
        <v>22210152</v>
      </c>
      <c r="E2" s="21">
        <f t="shared" ref="E2:E7" si="0">D2/B2</f>
        <v>30550.415405777167</v>
      </c>
      <c r="G2" s="82" t="s">
        <v>4599</v>
      </c>
      <c r="H2" s="83">
        <v>359</v>
      </c>
      <c r="I2" s="84">
        <f>H2/$H$12</f>
        <v>0.45500633713561472</v>
      </c>
      <c r="J2" s="85"/>
      <c r="K2" s="86">
        <f>L2/$L$12</f>
        <v>0.47910863509749302</v>
      </c>
      <c r="L2" s="83">
        <f t="shared" ref="L2:L9" si="1">H2-H3</f>
        <v>172</v>
      </c>
      <c r="M2" s="87" t="s">
        <v>4600</v>
      </c>
    </row>
    <row r="3" spans="1:13" x14ac:dyDescent="0.35">
      <c r="A3" s="22" t="s">
        <v>13</v>
      </c>
      <c r="B3" s="6">
        <v>596</v>
      </c>
      <c r="C3" s="19">
        <f>B3/$B$7</f>
        <v>0.75538656527249681</v>
      </c>
      <c r="D3" s="24">
        <v>17980652</v>
      </c>
      <c r="E3" s="21">
        <f t="shared" si="0"/>
        <v>30168.879194630874</v>
      </c>
      <c r="F3" s="37"/>
      <c r="G3" s="66" t="s">
        <v>4601</v>
      </c>
      <c r="H3" s="65">
        <v>187</v>
      </c>
      <c r="I3" s="75">
        <f t="shared" ref="I3:I11" si="2">H3/$H$12</f>
        <v>0.23700887198986059</v>
      </c>
      <c r="J3" s="77"/>
      <c r="K3" s="72">
        <f t="shared" ref="K3:K11" si="3">L3/$L$12</f>
        <v>0.24233983286908078</v>
      </c>
      <c r="L3" s="65">
        <f t="shared" si="1"/>
        <v>87</v>
      </c>
      <c r="M3" s="69" t="s">
        <v>4602</v>
      </c>
    </row>
    <row r="4" spans="1:13" x14ac:dyDescent="0.35">
      <c r="A4" s="22" t="s">
        <v>55</v>
      </c>
      <c r="B4" s="6">
        <v>23</v>
      </c>
      <c r="C4" s="19">
        <f>B4/$B$7</f>
        <v>2.9150823827629912E-2</v>
      </c>
      <c r="D4" s="24">
        <v>362000</v>
      </c>
      <c r="E4" s="21">
        <f t="shared" si="0"/>
        <v>15739.130434782608</v>
      </c>
      <c r="G4" s="88" t="s">
        <v>4603</v>
      </c>
      <c r="H4" s="89">
        <v>100</v>
      </c>
      <c r="I4" s="90">
        <f t="shared" si="2"/>
        <v>0.1267427122940431</v>
      </c>
      <c r="J4" s="85"/>
      <c r="K4" s="91">
        <f t="shared" si="3"/>
        <v>0.11420612813370473</v>
      </c>
      <c r="L4" s="89">
        <f t="shared" si="1"/>
        <v>41</v>
      </c>
      <c r="M4" s="92" t="s">
        <v>4604</v>
      </c>
    </row>
    <row r="5" spans="1:13" x14ac:dyDescent="0.35">
      <c r="A5" s="22" t="s">
        <v>70</v>
      </c>
      <c r="B5" s="6">
        <v>108</v>
      </c>
      <c r="C5" s="19">
        <f>B5/$B$7</f>
        <v>0.13688212927756654</v>
      </c>
      <c r="D5" s="24">
        <v>3867500</v>
      </c>
      <c r="E5" s="21">
        <f t="shared" si="0"/>
        <v>35810.185185185182</v>
      </c>
      <c r="F5" s="37"/>
      <c r="G5" s="66" t="s">
        <v>4605</v>
      </c>
      <c r="H5" s="65">
        <v>59</v>
      </c>
      <c r="I5" s="75">
        <f t="shared" si="2"/>
        <v>7.477820025348543E-2</v>
      </c>
      <c r="J5" s="77"/>
      <c r="K5" s="72">
        <f t="shared" si="3"/>
        <v>6.1281337047353758E-2</v>
      </c>
      <c r="L5" s="65">
        <f t="shared" si="1"/>
        <v>22</v>
      </c>
      <c r="M5" s="69" t="s">
        <v>4606</v>
      </c>
    </row>
    <row r="6" spans="1:13" x14ac:dyDescent="0.35">
      <c r="A6" s="22" t="s">
        <v>4648</v>
      </c>
      <c r="B6" s="6">
        <v>62</v>
      </c>
      <c r="C6" s="19">
        <f>B6/$B$7</f>
        <v>7.8580481622306714E-2</v>
      </c>
      <c r="D6" s="24">
        <v>336700</v>
      </c>
      <c r="E6" s="21">
        <f t="shared" si="0"/>
        <v>5430.6451612903229</v>
      </c>
      <c r="G6" s="88" t="s">
        <v>4607</v>
      </c>
      <c r="H6" s="89">
        <v>37</v>
      </c>
      <c r="I6" s="90">
        <f t="shared" si="2"/>
        <v>4.6894803548795945E-2</v>
      </c>
      <c r="J6" s="85"/>
      <c r="K6" s="91">
        <f t="shared" si="3"/>
        <v>4.7353760445682451E-2</v>
      </c>
      <c r="L6" s="89">
        <f t="shared" si="1"/>
        <v>17</v>
      </c>
      <c r="M6" s="92" t="s">
        <v>4608</v>
      </c>
    </row>
    <row r="7" spans="1:13" ht="15" thickBot="1" x14ac:dyDescent="0.4">
      <c r="A7" s="55" t="s">
        <v>633</v>
      </c>
      <c r="B7" s="56">
        <f>B2+B6</f>
        <v>789</v>
      </c>
      <c r="C7" s="56"/>
      <c r="D7" s="53">
        <f>D2+D6</f>
        <v>22546852</v>
      </c>
      <c r="E7" s="54">
        <f t="shared" si="0"/>
        <v>28576.491761723701</v>
      </c>
      <c r="G7" s="66" t="s">
        <v>4609</v>
      </c>
      <c r="H7" s="65">
        <v>20</v>
      </c>
      <c r="I7" s="75">
        <f t="shared" si="2"/>
        <v>2.5348542458808618E-2</v>
      </c>
      <c r="J7" s="77"/>
      <c r="K7" s="72">
        <f t="shared" si="3"/>
        <v>2.2284122562674095E-2</v>
      </c>
      <c r="L7" s="65">
        <f t="shared" si="1"/>
        <v>8</v>
      </c>
      <c r="M7" s="69" t="s">
        <v>4610</v>
      </c>
    </row>
    <row r="8" spans="1:13" ht="15" thickBot="1" x14ac:dyDescent="0.4">
      <c r="G8" s="88" t="s">
        <v>4611</v>
      </c>
      <c r="H8" s="89">
        <v>12</v>
      </c>
      <c r="I8" s="90">
        <f t="shared" si="2"/>
        <v>1.5209125475285171E-2</v>
      </c>
      <c r="J8" s="85"/>
      <c r="K8" s="91">
        <f t="shared" si="3"/>
        <v>1.1142061281337047E-2</v>
      </c>
      <c r="L8" s="89">
        <f t="shared" si="1"/>
        <v>4</v>
      </c>
      <c r="M8" s="92" t="s">
        <v>4612</v>
      </c>
    </row>
    <row r="9" spans="1:13" x14ac:dyDescent="0.35">
      <c r="A9" s="29" t="s">
        <v>4615</v>
      </c>
      <c r="B9" s="13" t="s">
        <v>4592</v>
      </c>
      <c r="C9" s="100" t="s">
        <v>4593</v>
      </c>
      <c r="G9" s="66" t="s">
        <v>4613</v>
      </c>
      <c r="H9" s="65">
        <v>8</v>
      </c>
      <c r="I9" s="75">
        <f t="shared" si="2"/>
        <v>1.0139416983523447E-2</v>
      </c>
      <c r="J9" s="77"/>
      <c r="K9" s="72">
        <f t="shared" si="3"/>
        <v>1.3927576601671309E-2</v>
      </c>
      <c r="L9" s="65">
        <f t="shared" si="1"/>
        <v>5</v>
      </c>
      <c r="M9" s="69" t="s">
        <v>4614</v>
      </c>
    </row>
    <row r="10" spans="1:13" x14ac:dyDescent="0.35">
      <c r="A10" s="17" t="s">
        <v>4618</v>
      </c>
      <c r="B10" s="6">
        <v>3</v>
      </c>
      <c r="C10" s="31"/>
      <c r="G10" s="88" t="s">
        <v>4616</v>
      </c>
      <c r="H10" s="89">
        <v>3</v>
      </c>
      <c r="I10" s="90">
        <f t="shared" si="2"/>
        <v>3.8022813688212928E-3</v>
      </c>
      <c r="J10" s="85"/>
      <c r="K10" s="91">
        <f t="shared" si="3"/>
        <v>2.7855153203342618E-3</v>
      </c>
      <c r="L10" s="89">
        <v>1</v>
      </c>
      <c r="M10" s="92" t="s">
        <v>4617</v>
      </c>
    </row>
    <row r="11" spans="1:13" ht="15" thickBot="1" x14ac:dyDescent="0.4">
      <c r="A11" s="101" t="s">
        <v>4621</v>
      </c>
      <c r="B11" s="26">
        <v>401</v>
      </c>
      <c r="C11" s="104">
        <f>B11/925</f>
        <v>0.43351351351351353</v>
      </c>
      <c r="G11" s="67" t="s">
        <v>4619</v>
      </c>
      <c r="H11" s="74">
        <v>4</v>
      </c>
      <c r="I11" s="76">
        <f t="shared" si="2"/>
        <v>5.0697084917617234E-3</v>
      </c>
      <c r="J11" s="77"/>
      <c r="K11" s="73">
        <f t="shared" si="3"/>
        <v>5.5710306406685237E-3</v>
      </c>
      <c r="L11" s="74">
        <v>2</v>
      </c>
      <c r="M11" s="70" t="s">
        <v>4620</v>
      </c>
    </row>
    <row r="12" spans="1:13" ht="15" thickBot="1" x14ac:dyDescent="0.4">
      <c r="A12" s="103" t="s">
        <v>4624</v>
      </c>
      <c r="G12" s="93" t="s">
        <v>4622</v>
      </c>
      <c r="H12" s="78">
        <f>SUM(H2:H11)</f>
        <v>789</v>
      </c>
      <c r="I12" s="79">
        <f>SUM(I2:I11)</f>
        <v>1.0000000000000002</v>
      </c>
      <c r="J12" s="71"/>
      <c r="K12" s="80">
        <f>SUM(K2:K11)</f>
        <v>1</v>
      </c>
      <c r="L12" s="117">
        <f>SUM(L2:L11)</f>
        <v>359</v>
      </c>
      <c r="M12" s="118" t="s">
        <v>4623</v>
      </c>
    </row>
    <row r="13" spans="1:13" ht="15" thickBot="1" x14ac:dyDescent="0.4">
      <c r="E13" s="37"/>
      <c r="L13" s="119">
        <f>L12/925</f>
        <v>0.38810810810810809</v>
      </c>
      <c r="M13" s="120" t="s">
        <v>4625</v>
      </c>
    </row>
    <row r="14" spans="1:13" x14ac:dyDescent="0.35">
      <c r="A14" s="29" t="s">
        <v>4626</v>
      </c>
      <c r="B14" s="13" t="s">
        <v>4592</v>
      </c>
      <c r="C14" s="13" t="s">
        <v>4593</v>
      </c>
      <c r="D14" s="15" t="s">
        <v>4594</v>
      </c>
    </row>
    <row r="15" spans="1:13" x14ac:dyDescent="0.35">
      <c r="A15" s="22" t="s">
        <v>4627</v>
      </c>
      <c r="B15" s="6">
        <v>214</v>
      </c>
      <c r="C15" s="30"/>
      <c r="D15" s="31"/>
    </row>
    <row r="16" spans="1:13" x14ac:dyDescent="0.35">
      <c r="A16" s="22" t="s">
        <v>4626</v>
      </c>
      <c r="B16" s="30"/>
      <c r="C16" s="52">
        <v>0.91816787577192904</v>
      </c>
      <c r="D16" s="42">
        <v>12627410.74</v>
      </c>
    </row>
    <row r="17" spans="1:6" x14ac:dyDescent="0.35">
      <c r="A17" s="22" t="s">
        <v>4628</v>
      </c>
      <c r="B17" s="30"/>
      <c r="C17" s="34">
        <v>8.1832124228070915E-2</v>
      </c>
      <c r="D17" s="42">
        <v>1122126.0108800002</v>
      </c>
      <c r="E17" s="37"/>
      <c r="F17" s="34"/>
    </row>
    <row r="18" spans="1:6" x14ac:dyDescent="0.35">
      <c r="A18" s="22" t="s">
        <v>4629</v>
      </c>
      <c r="B18" s="30"/>
      <c r="C18" s="23">
        <v>0.14327409941250432</v>
      </c>
      <c r="D18" s="42">
        <v>1426500.1548799998</v>
      </c>
    </row>
    <row r="19" spans="1:6" x14ac:dyDescent="0.35">
      <c r="A19" s="22" t="s">
        <v>4630</v>
      </c>
      <c r="B19" s="30"/>
      <c r="C19" s="30"/>
      <c r="D19" s="42">
        <v>9919441.2599999998</v>
      </c>
      <c r="F19" s="111"/>
    </row>
    <row r="20" spans="1:6" x14ac:dyDescent="0.35">
      <c r="A20" s="22" t="s">
        <v>4631</v>
      </c>
      <c r="B20" s="6">
        <v>34</v>
      </c>
      <c r="C20" s="23">
        <v>0.15890000000000001</v>
      </c>
      <c r="D20" s="32"/>
    </row>
    <row r="21" spans="1:6" x14ac:dyDescent="0.35">
      <c r="A21" s="22" t="s">
        <v>4632</v>
      </c>
      <c r="B21" s="33"/>
      <c r="C21" s="23">
        <v>0.28000000000000003</v>
      </c>
      <c r="D21" s="32"/>
    </row>
    <row r="22" spans="1:6" ht="15" thickBot="1" x14ac:dyDescent="0.4">
      <c r="A22" s="25" t="s">
        <v>4633</v>
      </c>
      <c r="B22" s="26">
        <v>14</v>
      </c>
      <c r="C22" s="36">
        <v>5.1000000000000004E-3</v>
      </c>
      <c r="D22" s="28">
        <v>50706.66</v>
      </c>
    </row>
    <row r="23" spans="1:6" x14ac:dyDescent="0.35">
      <c r="E23" s="37"/>
    </row>
    <row r="27" spans="1:6" x14ac:dyDescent="0.35">
      <c r="B27" s="40"/>
    </row>
  </sheetData>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833D3-27BD-47C8-BBCF-D6FA3310CD34}">
  <sheetPr codeName="Sheet36"/>
  <dimension ref="A1:M27"/>
  <sheetViews>
    <sheetView topLeftCell="A3" zoomScale="90" zoomScaleNormal="90" workbookViewId="0">
      <selection activeCell="I18" sqref="I18"/>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721</v>
      </c>
      <c r="C2" s="19">
        <f>B2/$B$7</f>
        <v>0.9208173690932312</v>
      </c>
      <c r="D2" s="20">
        <f>SUM(D3:D5)</f>
        <v>21835152</v>
      </c>
      <c r="E2" s="21">
        <f t="shared" ref="E2:E7" si="0">D2/B2</f>
        <v>30284.538141470181</v>
      </c>
      <c r="G2" s="82" t="s">
        <v>4599</v>
      </c>
      <c r="H2" s="83">
        <v>358</v>
      </c>
      <c r="I2" s="84">
        <f>H2/$H$12</f>
        <v>0.45721583652618136</v>
      </c>
      <c r="J2" s="85"/>
      <c r="K2" s="86">
        <f>L2/$L$12</f>
        <v>0.48324022346368717</v>
      </c>
      <c r="L2" s="83">
        <f t="shared" ref="L2:L9" si="1">H2-H3</f>
        <v>173</v>
      </c>
      <c r="M2" s="87" t="s">
        <v>4600</v>
      </c>
    </row>
    <row r="3" spans="1:13" x14ac:dyDescent="0.35">
      <c r="A3" s="22" t="s">
        <v>13</v>
      </c>
      <c r="B3" s="6">
        <v>591</v>
      </c>
      <c r="C3" s="19">
        <f>B3/$B$7</f>
        <v>0.75478927203065138</v>
      </c>
      <c r="D3" s="24">
        <v>17615652</v>
      </c>
      <c r="E3" s="21">
        <f t="shared" si="0"/>
        <v>29806.517766497462</v>
      </c>
      <c r="F3" s="37"/>
      <c r="G3" s="66" t="s">
        <v>4601</v>
      </c>
      <c r="H3" s="65">
        <v>185</v>
      </c>
      <c r="I3" s="75">
        <f t="shared" ref="I3:I11" si="2">H3/$H$12</f>
        <v>0.23627075351213284</v>
      </c>
      <c r="J3" s="77"/>
      <c r="K3" s="72">
        <f t="shared" ref="K3:K11" si="3">L3/$L$12</f>
        <v>0.23743016759776536</v>
      </c>
      <c r="L3" s="65">
        <f t="shared" si="1"/>
        <v>85</v>
      </c>
      <c r="M3" s="69" t="s">
        <v>4602</v>
      </c>
    </row>
    <row r="4" spans="1:13" x14ac:dyDescent="0.35">
      <c r="A4" s="22" t="s">
        <v>55</v>
      </c>
      <c r="B4" s="6">
        <v>23</v>
      </c>
      <c r="C4" s="19">
        <f>B4/$B$7</f>
        <v>2.9374201787994891E-2</v>
      </c>
      <c r="D4" s="24">
        <v>362000</v>
      </c>
      <c r="E4" s="21">
        <f t="shared" si="0"/>
        <v>15739.130434782608</v>
      </c>
      <c r="G4" s="88" t="s">
        <v>4603</v>
      </c>
      <c r="H4" s="89">
        <v>100</v>
      </c>
      <c r="I4" s="90">
        <f t="shared" si="2"/>
        <v>0.1277139208173691</v>
      </c>
      <c r="J4" s="85"/>
      <c r="K4" s="91">
        <f t="shared" si="3"/>
        <v>0.11452513966480447</v>
      </c>
      <c r="L4" s="89">
        <f t="shared" si="1"/>
        <v>41</v>
      </c>
      <c r="M4" s="92" t="s">
        <v>4604</v>
      </c>
    </row>
    <row r="5" spans="1:13" x14ac:dyDescent="0.35">
      <c r="A5" s="22" t="s">
        <v>70</v>
      </c>
      <c r="B5" s="6">
        <v>107</v>
      </c>
      <c r="C5" s="19">
        <f>B5/$B$7</f>
        <v>0.13665389527458494</v>
      </c>
      <c r="D5" s="24">
        <v>3857500</v>
      </c>
      <c r="E5" s="21">
        <f t="shared" si="0"/>
        <v>36051.401869158879</v>
      </c>
      <c r="F5" s="37"/>
      <c r="G5" s="66" t="s">
        <v>4605</v>
      </c>
      <c r="H5" s="65">
        <v>59</v>
      </c>
      <c r="I5" s="75">
        <f t="shared" si="2"/>
        <v>7.5351213282247767E-2</v>
      </c>
      <c r="J5" s="77"/>
      <c r="K5" s="72">
        <f t="shared" si="3"/>
        <v>6.7039106145251395E-2</v>
      </c>
      <c r="L5" s="65">
        <f t="shared" si="1"/>
        <v>24</v>
      </c>
      <c r="M5" s="69" t="s">
        <v>4606</v>
      </c>
    </row>
    <row r="6" spans="1:13" x14ac:dyDescent="0.35">
      <c r="A6" s="22" t="s">
        <v>4648</v>
      </c>
      <c r="B6" s="6">
        <v>62</v>
      </c>
      <c r="C6" s="19">
        <f>B6/$B$7</f>
        <v>7.9182630906768844E-2</v>
      </c>
      <c r="D6" s="24">
        <v>336700</v>
      </c>
      <c r="E6" s="21">
        <f t="shared" si="0"/>
        <v>5430.6451612903229</v>
      </c>
      <c r="G6" s="88" t="s">
        <v>4607</v>
      </c>
      <c r="H6" s="89">
        <v>35</v>
      </c>
      <c r="I6" s="90">
        <f t="shared" si="2"/>
        <v>4.4699872286079183E-2</v>
      </c>
      <c r="J6" s="85"/>
      <c r="K6" s="91">
        <f t="shared" si="3"/>
        <v>4.189944134078212E-2</v>
      </c>
      <c r="L6" s="89">
        <f t="shared" si="1"/>
        <v>15</v>
      </c>
      <c r="M6" s="92" t="s">
        <v>4608</v>
      </c>
    </row>
    <row r="7" spans="1:13" ht="15" thickBot="1" x14ac:dyDescent="0.4">
      <c r="A7" s="55" t="s">
        <v>633</v>
      </c>
      <c r="B7" s="56">
        <f>B2+B6</f>
        <v>783</v>
      </c>
      <c r="C7" s="56"/>
      <c r="D7" s="53">
        <f>D2+D6</f>
        <v>22171852</v>
      </c>
      <c r="E7" s="54">
        <f t="shared" si="0"/>
        <v>28316.541507024267</v>
      </c>
      <c r="G7" s="66" t="s">
        <v>4609</v>
      </c>
      <c r="H7" s="65">
        <v>20</v>
      </c>
      <c r="I7" s="75">
        <f t="shared" si="2"/>
        <v>2.554278416347382E-2</v>
      </c>
      <c r="J7" s="77"/>
      <c r="K7" s="72">
        <f t="shared" si="3"/>
        <v>2.23463687150838E-2</v>
      </c>
      <c r="L7" s="65">
        <f t="shared" si="1"/>
        <v>8</v>
      </c>
      <c r="M7" s="69" t="s">
        <v>4610</v>
      </c>
    </row>
    <row r="8" spans="1:13" ht="15" thickBot="1" x14ac:dyDescent="0.4">
      <c r="G8" s="88" t="s">
        <v>4611</v>
      </c>
      <c r="H8" s="89">
        <v>12</v>
      </c>
      <c r="I8" s="90">
        <f t="shared" si="2"/>
        <v>1.532567049808429E-2</v>
      </c>
      <c r="J8" s="85"/>
      <c r="K8" s="91">
        <f t="shared" si="3"/>
        <v>1.11731843575419E-2</v>
      </c>
      <c r="L8" s="89">
        <f t="shared" si="1"/>
        <v>4</v>
      </c>
      <c r="M8" s="92" t="s">
        <v>4612</v>
      </c>
    </row>
    <row r="9" spans="1:13" x14ac:dyDescent="0.35">
      <c r="A9" s="29" t="s">
        <v>4615</v>
      </c>
      <c r="B9" s="13" t="s">
        <v>4592</v>
      </c>
      <c r="C9" s="100" t="s">
        <v>4593</v>
      </c>
      <c r="G9" s="66" t="s">
        <v>4613</v>
      </c>
      <c r="H9" s="65">
        <v>8</v>
      </c>
      <c r="I9" s="75">
        <f t="shared" si="2"/>
        <v>1.0217113665389528E-2</v>
      </c>
      <c r="J9" s="77"/>
      <c r="K9" s="72">
        <f t="shared" si="3"/>
        <v>1.6759776536312849E-2</v>
      </c>
      <c r="L9" s="65">
        <f t="shared" si="1"/>
        <v>6</v>
      </c>
      <c r="M9" s="69" t="s">
        <v>4614</v>
      </c>
    </row>
    <row r="10" spans="1:13" x14ac:dyDescent="0.35">
      <c r="A10" s="17" t="s">
        <v>4618</v>
      </c>
      <c r="B10" s="6">
        <v>7</v>
      </c>
      <c r="C10" s="31"/>
      <c r="G10" s="88" t="s">
        <v>4616</v>
      </c>
      <c r="H10" s="89">
        <v>2</v>
      </c>
      <c r="I10" s="90">
        <f t="shared" si="2"/>
        <v>2.554278416347382E-3</v>
      </c>
      <c r="J10" s="85"/>
      <c r="K10" s="91">
        <f t="shared" si="3"/>
        <v>0</v>
      </c>
      <c r="L10" s="89">
        <v>0</v>
      </c>
      <c r="M10" s="92" t="s">
        <v>4617</v>
      </c>
    </row>
    <row r="11" spans="1:13" ht="15" thickBot="1" x14ac:dyDescent="0.4">
      <c r="A11" s="101" t="s">
        <v>4621</v>
      </c>
      <c r="B11" s="26">
        <v>398</v>
      </c>
      <c r="C11" s="104">
        <f>B11/925</f>
        <v>0.43027027027027026</v>
      </c>
      <c r="G11" s="67" t="s">
        <v>4619</v>
      </c>
      <c r="H11" s="74">
        <v>4</v>
      </c>
      <c r="I11" s="76">
        <f t="shared" si="2"/>
        <v>5.108556832694764E-3</v>
      </c>
      <c r="J11" s="77"/>
      <c r="K11" s="73">
        <f t="shared" si="3"/>
        <v>5.5865921787709499E-3</v>
      </c>
      <c r="L11" s="74">
        <v>2</v>
      </c>
      <c r="M11" s="70" t="s">
        <v>4620</v>
      </c>
    </row>
    <row r="12" spans="1:13" ht="15" thickBot="1" x14ac:dyDescent="0.4">
      <c r="A12" s="103" t="s">
        <v>4624</v>
      </c>
      <c r="G12" s="93" t="s">
        <v>4622</v>
      </c>
      <c r="H12" s="78">
        <f>SUM(H2:H11)</f>
        <v>783</v>
      </c>
      <c r="I12" s="79">
        <f>SUM(I2:I11)</f>
        <v>1.0000000000000002</v>
      </c>
      <c r="J12" s="71"/>
      <c r="K12" s="80">
        <f>SUM(K2:K11)</f>
        <v>1</v>
      </c>
      <c r="L12" s="117">
        <f>SUM(L2:L11)</f>
        <v>358</v>
      </c>
      <c r="M12" s="118" t="s">
        <v>4623</v>
      </c>
    </row>
    <row r="13" spans="1:13" ht="15" thickBot="1" x14ac:dyDescent="0.4">
      <c r="E13" s="37"/>
      <c r="L13" s="119">
        <f>L12/925</f>
        <v>0.38702702702702702</v>
      </c>
      <c r="M13" s="120" t="s">
        <v>4625</v>
      </c>
    </row>
    <row r="14" spans="1:13" x14ac:dyDescent="0.35">
      <c r="A14" s="29" t="s">
        <v>4652</v>
      </c>
      <c r="B14" s="13" t="s">
        <v>4592</v>
      </c>
      <c r="C14" s="13" t="s">
        <v>4593</v>
      </c>
      <c r="D14" s="15" t="s">
        <v>4594</v>
      </c>
    </row>
    <row r="15" spans="1:13" x14ac:dyDescent="0.35">
      <c r="A15" s="22" t="s">
        <v>4627</v>
      </c>
      <c r="B15" s="6">
        <v>216</v>
      </c>
      <c r="C15" s="30"/>
      <c r="D15" s="31"/>
    </row>
    <row r="16" spans="1:13" x14ac:dyDescent="0.35">
      <c r="A16" s="22" t="s">
        <v>4626</v>
      </c>
      <c r="B16" s="30"/>
      <c r="C16" s="52">
        <v>0.9065579020976603</v>
      </c>
      <c r="D16" s="42">
        <v>12550171.33</v>
      </c>
    </row>
    <row r="17" spans="1:6" x14ac:dyDescent="0.35">
      <c r="A17" s="22" t="s">
        <v>4628</v>
      </c>
      <c r="B17" s="30"/>
      <c r="C17" s="34">
        <v>9.3442097902339746E-2</v>
      </c>
      <c r="D17" s="42">
        <v>1293590.112</v>
      </c>
      <c r="E17" s="37"/>
      <c r="F17" s="34"/>
    </row>
    <row r="18" spans="1:6" x14ac:dyDescent="0.35">
      <c r="A18" s="22" t="s">
        <v>4629</v>
      </c>
      <c r="B18" s="30"/>
      <c r="C18" s="23">
        <v>0.1872744476023023</v>
      </c>
      <c r="D18" s="42">
        <v>1801894.93248</v>
      </c>
    </row>
    <row r="19" spans="1:6" x14ac:dyDescent="0.35">
      <c r="A19" s="22" t="s">
        <v>4630</v>
      </c>
      <c r="B19" s="30"/>
      <c r="C19" s="30"/>
      <c r="D19" s="42">
        <v>9621680.6699999999</v>
      </c>
      <c r="F19" s="111"/>
    </row>
    <row r="20" spans="1:6" x14ac:dyDescent="0.35">
      <c r="A20" s="22" t="s">
        <v>4631</v>
      </c>
      <c r="B20" s="6">
        <v>38</v>
      </c>
      <c r="C20" s="23">
        <v>0.14810000000000001</v>
      </c>
      <c r="D20" s="32"/>
    </row>
    <row r="21" spans="1:6" x14ac:dyDescent="0.35">
      <c r="A21" s="22" t="s">
        <v>4632</v>
      </c>
      <c r="B21" s="33"/>
      <c r="C21" s="23">
        <v>0.26</v>
      </c>
      <c r="D21" s="32"/>
    </row>
    <row r="22" spans="1:6" ht="15" thickBot="1" x14ac:dyDescent="0.4">
      <c r="A22" s="25" t="s">
        <v>4633</v>
      </c>
      <c r="B22" s="26">
        <v>14</v>
      </c>
      <c r="C22" s="36">
        <v>5.3E-3</v>
      </c>
      <c r="D22" s="28">
        <v>50706.66</v>
      </c>
    </row>
    <row r="23" spans="1:6" x14ac:dyDescent="0.35">
      <c r="E23" s="37"/>
    </row>
    <row r="27" spans="1:6" x14ac:dyDescent="0.35">
      <c r="B27" s="40"/>
    </row>
  </sheetData>
  <pageMargins left="0.7" right="0.7" top="0.75" bottom="0.75" header="0.3" footer="0.3"/>
  <pageSetup orientation="portrait" r:id="rId1"/>
  <ignoredErrors>
    <ignoredError sqref="B2 D2" formulaRange="1"/>
    <ignoredError sqref="C2"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BA44-785D-4EB4-ACCA-A58ACA546802}">
  <sheetPr codeName="Sheet37"/>
  <dimension ref="A1:M27"/>
  <sheetViews>
    <sheetView zoomScale="90" zoomScaleNormal="90" workbookViewId="0">
      <selection activeCell="G16" sqref="G16"/>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710</v>
      </c>
      <c r="C2" s="19">
        <f>B2/$B$7</f>
        <v>0.9196891191709845</v>
      </c>
      <c r="D2" s="20">
        <f>SUM(D3:D5)</f>
        <v>20985152</v>
      </c>
      <c r="E2" s="21">
        <f t="shared" ref="E2:E7" si="0">D2/B2</f>
        <v>29556.552112676058</v>
      </c>
      <c r="G2" s="82" t="s">
        <v>4599</v>
      </c>
      <c r="H2" s="83">
        <v>351</v>
      </c>
      <c r="I2" s="84">
        <f>H2/$H$12</f>
        <v>0.45466321243523317</v>
      </c>
      <c r="J2" s="85"/>
      <c r="K2" s="86">
        <f>L2/$L$12</f>
        <v>0.4757834757834758</v>
      </c>
      <c r="L2" s="83">
        <f t="shared" ref="L2:L9" si="1">H2-H3</f>
        <v>167</v>
      </c>
      <c r="M2" s="87" t="s">
        <v>4600</v>
      </c>
    </row>
    <row r="3" spans="1:13" x14ac:dyDescent="0.35">
      <c r="A3" s="22" t="s">
        <v>13</v>
      </c>
      <c r="B3" s="6">
        <v>582</v>
      </c>
      <c r="C3" s="19">
        <f>B3/$B$7</f>
        <v>0.75388601036269431</v>
      </c>
      <c r="D3" s="24">
        <v>17015652</v>
      </c>
      <c r="E3" s="21">
        <f t="shared" si="0"/>
        <v>29236.515463917527</v>
      </c>
      <c r="F3" s="37"/>
      <c r="G3" s="66" t="s">
        <v>4601</v>
      </c>
      <c r="H3" s="65">
        <v>184</v>
      </c>
      <c r="I3" s="75">
        <f t="shared" ref="I3:I11" si="2">H3/$H$12</f>
        <v>0.23834196891191708</v>
      </c>
      <c r="J3" s="77"/>
      <c r="K3" s="72">
        <f t="shared" ref="K3:K11" si="3">L3/$L$12</f>
        <v>0.24501424501424501</v>
      </c>
      <c r="L3" s="65">
        <f t="shared" si="1"/>
        <v>86</v>
      </c>
      <c r="M3" s="69" t="s">
        <v>4602</v>
      </c>
    </row>
    <row r="4" spans="1:13" x14ac:dyDescent="0.35">
      <c r="A4" s="22" t="s">
        <v>55</v>
      </c>
      <c r="B4" s="6">
        <v>23</v>
      </c>
      <c r="C4" s="19">
        <f>B4/$B$7</f>
        <v>2.9792746113989636E-2</v>
      </c>
      <c r="D4" s="24">
        <v>362000</v>
      </c>
      <c r="E4" s="21">
        <f t="shared" si="0"/>
        <v>15739.130434782608</v>
      </c>
      <c r="G4" s="88" t="s">
        <v>4603</v>
      </c>
      <c r="H4" s="89">
        <v>98</v>
      </c>
      <c r="I4" s="90">
        <f t="shared" si="2"/>
        <v>0.12694300518134716</v>
      </c>
      <c r="J4" s="85"/>
      <c r="K4" s="91">
        <f t="shared" si="3"/>
        <v>0.1111111111111111</v>
      </c>
      <c r="L4" s="89">
        <f t="shared" si="1"/>
        <v>39</v>
      </c>
      <c r="M4" s="92" t="s">
        <v>4604</v>
      </c>
    </row>
    <row r="5" spans="1:13" x14ac:dyDescent="0.35">
      <c r="A5" s="22" t="s">
        <v>70</v>
      </c>
      <c r="B5" s="6">
        <v>105</v>
      </c>
      <c r="C5" s="19">
        <f>B5/$B$7</f>
        <v>0.13601036269430053</v>
      </c>
      <c r="D5" s="24">
        <v>3607500</v>
      </c>
      <c r="E5" s="21">
        <f t="shared" si="0"/>
        <v>34357.142857142855</v>
      </c>
      <c r="F5" s="37"/>
      <c r="G5" s="66" t="s">
        <v>4605</v>
      </c>
      <c r="H5" s="65">
        <v>59</v>
      </c>
      <c r="I5" s="75">
        <f t="shared" si="2"/>
        <v>7.6424870466321237E-2</v>
      </c>
      <c r="J5" s="77"/>
      <c r="K5" s="72">
        <f t="shared" si="3"/>
        <v>7.1225071225071226E-2</v>
      </c>
      <c r="L5" s="65">
        <f t="shared" si="1"/>
        <v>25</v>
      </c>
      <c r="M5" s="69" t="s">
        <v>4606</v>
      </c>
    </row>
    <row r="6" spans="1:13" x14ac:dyDescent="0.35">
      <c r="A6" s="22" t="s">
        <v>4648</v>
      </c>
      <c r="B6" s="6">
        <v>62</v>
      </c>
      <c r="C6" s="19">
        <f>B6/$B$7</f>
        <v>8.0310880829015538E-2</v>
      </c>
      <c r="D6" s="24">
        <v>336700</v>
      </c>
      <c r="E6" s="21">
        <f t="shared" si="0"/>
        <v>5430.6451612903229</v>
      </c>
      <c r="G6" s="88" t="s">
        <v>4607</v>
      </c>
      <c r="H6" s="89">
        <v>34</v>
      </c>
      <c r="I6" s="90">
        <f t="shared" si="2"/>
        <v>4.4041450777202069E-2</v>
      </c>
      <c r="J6" s="85"/>
      <c r="K6" s="91">
        <f t="shared" si="3"/>
        <v>3.9886039886039885E-2</v>
      </c>
      <c r="L6" s="89">
        <f t="shared" si="1"/>
        <v>14</v>
      </c>
      <c r="M6" s="92" t="s">
        <v>4608</v>
      </c>
    </row>
    <row r="7" spans="1:13" ht="15" thickBot="1" x14ac:dyDescent="0.4">
      <c r="A7" s="55" t="s">
        <v>633</v>
      </c>
      <c r="B7" s="56">
        <f>B2+B6</f>
        <v>772</v>
      </c>
      <c r="C7" s="56"/>
      <c r="D7" s="53">
        <f>D2+D6</f>
        <v>21321852</v>
      </c>
      <c r="E7" s="54">
        <f t="shared" si="0"/>
        <v>27618.9792746114</v>
      </c>
      <c r="G7" s="66" t="s">
        <v>4609</v>
      </c>
      <c r="H7" s="65">
        <v>20</v>
      </c>
      <c r="I7" s="75">
        <f t="shared" si="2"/>
        <v>2.5906735751295335E-2</v>
      </c>
      <c r="J7" s="77"/>
      <c r="K7" s="72">
        <f t="shared" si="3"/>
        <v>2.2792022792022793E-2</v>
      </c>
      <c r="L7" s="65">
        <f t="shared" si="1"/>
        <v>8</v>
      </c>
      <c r="M7" s="69" t="s">
        <v>4610</v>
      </c>
    </row>
    <row r="8" spans="1:13" ht="15" thickBot="1" x14ac:dyDescent="0.4">
      <c r="G8" s="88" t="s">
        <v>4611</v>
      </c>
      <c r="H8" s="89">
        <v>12</v>
      </c>
      <c r="I8" s="90">
        <f t="shared" si="2"/>
        <v>1.5544041450777202E-2</v>
      </c>
      <c r="J8" s="85"/>
      <c r="K8" s="91">
        <f t="shared" si="3"/>
        <v>1.1396011396011397E-2</v>
      </c>
      <c r="L8" s="89">
        <f t="shared" si="1"/>
        <v>4</v>
      </c>
      <c r="M8" s="92" t="s">
        <v>4612</v>
      </c>
    </row>
    <row r="9" spans="1:13" x14ac:dyDescent="0.35">
      <c r="A9" s="29" t="s">
        <v>4615</v>
      </c>
      <c r="B9" s="13" t="s">
        <v>4592</v>
      </c>
      <c r="C9" s="100" t="s">
        <v>4593</v>
      </c>
      <c r="G9" s="66" t="s">
        <v>4613</v>
      </c>
      <c r="H9" s="65">
        <v>8</v>
      </c>
      <c r="I9" s="75">
        <f t="shared" si="2"/>
        <v>1.0362694300518135E-2</v>
      </c>
      <c r="J9" s="77"/>
      <c r="K9" s="72">
        <f t="shared" si="3"/>
        <v>1.7094017094017096E-2</v>
      </c>
      <c r="L9" s="65">
        <f t="shared" si="1"/>
        <v>6</v>
      </c>
      <c r="M9" s="69" t="s">
        <v>4614</v>
      </c>
    </row>
    <row r="10" spans="1:13" x14ac:dyDescent="0.35">
      <c r="A10" s="17" t="s">
        <v>4618</v>
      </c>
      <c r="B10" s="6">
        <v>6</v>
      </c>
      <c r="C10" s="31"/>
      <c r="G10" s="88" t="s">
        <v>4616</v>
      </c>
      <c r="H10" s="89">
        <v>2</v>
      </c>
      <c r="I10" s="90">
        <f t="shared" si="2"/>
        <v>2.5906735751295338E-3</v>
      </c>
      <c r="J10" s="85"/>
      <c r="K10" s="91">
        <f t="shared" si="3"/>
        <v>0</v>
      </c>
      <c r="L10" s="89">
        <v>0</v>
      </c>
      <c r="M10" s="92" t="s">
        <v>4617</v>
      </c>
    </row>
    <row r="11" spans="1:13" ht="15" thickBot="1" x14ac:dyDescent="0.4">
      <c r="A11" s="101" t="s">
        <v>4621</v>
      </c>
      <c r="B11" s="26">
        <v>391</v>
      </c>
      <c r="C11" s="104">
        <f>B11/925</f>
        <v>0.42270270270270272</v>
      </c>
      <c r="G11" s="67" t="s">
        <v>4619</v>
      </c>
      <c r="H11" s="74">
        <v>4</v>
      </c>
      <c r="I11" s="76">
        <f t="shared" si="2"/>
        <v>5.1813471502590676E-3</v>
      </c>
      <c r="J11" s="77"/>
      <c r="K11" s="73">
        <f t="shared" si="3"/>
        <v>5.6980056980056983E-3</v>
      </c>
      <c r="L11" s="74">
        <v>2</v>
      </c>
      <c r="M11" s="70" t="s">
        <v>4620</v>
      </c>
    </row>
    <row r="12" spans="1:13" ht="15" thickBot="1" x14ac:dyDescent="0.4">
      <c r="A12" s="103" t="s">
        <v>4624</v>
      </c>
      <c r="G12" s="93" t="s">
        <v>4622</v>
      </c>
      <c r="H12" s="78">
        <f>SUM(H2:H11)</f>
        <v>772</v>
      </c>
      <c r="I12" s="79">
        <f>SUM(I2:I11)</f>
        <v>1.0000000000000002</v>
      </c>
      <c r="J12" s="71"/>
      <c r="K12" s="80">
        <f>SUM(K2:K11)</f>
        <v>1</v>
      </c>
      <c r="L12" s="81">
        <f>SUM(L2:L11)</f>
        <v>351</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204</v>
      </c>
      <c r="C15" s="30"/>
      <c r="D15" s="31"/>
    </row>
    <row r="16" spans="1:13" x14ac:dyDescent="0.35">
      <c r="A16" s="22" t="s">
        <v>4626</v>
      </c>
      <c r="B16" s="30"/>
      <c r="C16" s="52">
        <v>0.93871407222985848</v>
      </c>
      <c r="D16" s="42">
        <v>12509931.92</v>
      </c>
    </row>
    <row r="17" spans="1:6" x14ac:dyDescent="0.35">
      <c r="A17" s="22" t="s">
        <v>4628</v>
      </c>
      <c r="B17" s="30"/>
      <c r="C17" s="34">
        <v>6.1285927770141552E-2</v>
      </c>
      <c r="D17" s="42">
        <v>816737.28639999998</v>
      </c>
      <c r="E17" s="37"/>
      <c r="F17" s="34"/>
    </row>
    <row r="18" spans="1:6" x14ac:dyDescent="0.35">
      <c r="A18" s="22" t="s">
        <v>4629</v>
      </c>
      <c r="B18" s="30"/>
      <c r="C18" s="23">
        <v>9.9708881572153338E-2</v>
      </c>
      <c r="D18" s="42">
        <v>878626.69568</v>
      </c>
    </row>
    <row r="19" spans="1:6" x14ac:dyDescent="0.35">
      <c r="A19" s="22" t="s">
        <v>4630</v>
      </c>
      <c r="B19" s="30"/>
      <c r="C19" s="30"/>
      <c r="D19" s="42">
        <v>8811920.0800000001</v>
      </c>
      <c r="F19" s="111"/>
    </row>
    <row r="20" spans="1:6" x14ac:dyDescent="0.35">
      <c r="A20" s="22" t="s">
        <v>4631</v>
      </c>
      <c r="B20" s="6">
        <v>30</v>
      </c>
      <c r="C20" s="23">
        <v>0.14710000000000001</v>
      </c>
      <c r="D20" s="32"/>
    </row>
    <row r="21" spans="1:6" x14ac:dyDescent="0.35">
      <c r="A21" s="22" t="s">
        <v>4632</v>
      </c>
      <c r="B21" s="33"/>
      <c r="C21" s="23">
        <v>0.23</v>
      </c>
      <c r="D21" s="32"/>
      <c r="E21" s="40"/>
    </row>
    <row r="22" spans="1:6" ht="15" thickBot="1" x14ac:dyDescent="0.4">
      <c r="A22" s="25" t="s">
        <v>4633</v>
      </c>
      <c r="B22" s="26">
        <v>14</v>
      </c>
      <c r="C22" s="36">
        <v>5.8999999999999999E-3</v>
      </c>
      <c r="D22" s="28">
        <v>50706.66</v>
      </c>
    </row>
    <row r="23" spans="1:6" x14ac:dyDescent="0.35">
      <c r="E23" s="37"/>
    </row>
    <row r="27" spans="1:6" x14ac:dyDescent="0.35">
      <c r="B27" s="40"/>
    </row>
  </sheetData>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DF70C-E71F-4734-A801-14238B96207D}">
  <sheetPr codeName="Sheet38"/>
  <dimension ref="A1:M27"/>
  <sheetViews>
    <sheetView zoomScale="90" zoomScaleNormal="90" workbookViewId="0">
      <selection activeCell="I17" sqref="I17"/>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699</v>
      </c>
      <c r="C2" s="19">
        <f>B2/$B$7</f>
        <v>0.91973684210526319</v>
      </c>
      <c r="D2" s="20">
        <f>SUM(D3:D5)</f>
        <v>20101152</v>
      </c>
      <c r="E2" s="21">
        <f t="shared" ref="E2:E7" si="0">D2/B2</f>
        <v>28757.012875536482</v>
      </c>
      <c r="G2" s="82" t="s">
        <v>4599</v>
      </c>
      <c r="H2" s="83">
        <v>345</v>
      </c>
      <c r="I2" s="84">
        <f>H2/$H$12</f>
        <v>0.45394736842105265</v>
      </c>
      <c r="J2" s="85"/>
      <c r="K2" s="86">
        <f>L2/$L$12</f>
        <v>0.47246376811594204</v>
      </c>
      <c r="L2" s="83">
        <f t="shared" ref="L2:L9" si="1">H2-H3</f>
        <v>163</v>
      </c>
      <c r="M2" s="87" t="s">
        <v>4600</v>
      </c>
    </row>
    <row r="3" spans="1:13" x14ac:dyDescent="0.35">
      <c r="A3" s="22" t="s">
        <v>13</v>
      </c>
      <c r="B3" s="6">
        <v>573</v>
      </c>
      <c r="C3" s="19">
        <f>B3/$B$7</f>
        <v>0.75394736842105259</v>
      </c>
      <c r="D3" s="24">
        <v>16261652</v>
      </c>
      <c r="E3" s="21">
        <f t="shared" si="0"/>
        <v>28379.846422338567</v>
      </c>
      <c r="F3" s="37"/>
      <c r="G3" s="66" t="s">
        <v>4601</v>
      </c>
      <c r="H3" s="65">
        <v>182</v>
      </c>
      <c r="I3" s="75">
        <f t="shared" ref="I3:I11" si="2">H3/$H$12</f>
        <v>0.23947368421052631</v>
      </c>
      <c r="J3" s="77"/>
      <c r="K3" s="72">
        <f t="shared" ref="K3:K11" si="3">L3/$L$12</f>
        <v>0.24927536231884059</v>
      </c>
      <c r="L3" s="65">
        <f t="shared" si="1"/>
        <v>86</v>
      </c>
      <c r="M3" s="69" t="s">
        <v>4602</v>
      </c>
    </row>
    <row r="4" spans="1:13" x14ac:dyDescent="0.35">
      <c r="A4" s="22" t="s">
        <v>55</v>
      </c>
      <c r="B4" s="6">
        <v>22</v>
      </c>
      <c r="C4" s="19">
        <f>B4/$B$7</f>
        <v>2.8947368421052631E-2</v>
      </c>
      <c r="D4" s="24">
        <v>312000</v>
      </c>
      <c r="E4" s="21">
        <f t="shared" si="0"/>
        <v>14181.818181818182</v>
      </c>
      <c r="G4" s="88" t="s">
        <v>4603</v>
      </c>
      <c r="H4" s="89">
        <v>96</v>
      </c>
      <c r="I4" s="90">
        <f t="shared" si="2"/>
        <v>0.12631578947368421</v>
      </c>
      <c r="J4" s="85"/>
      <c r="K4" s="91">
        <f t="shared" si="3"/>
        <v>0.11014492753623188</v>
      </c>
      <c r="L4" s="89">
        <f t="shared" si="1"/>
        <v>38</v>
      </c>
      <c r="M4" s="92" t="s">
        <v>4604</v>
      </c>
    </row>
    <row r="5" spans="1:13" x14ac:dyDescent="0.35">
      <c r="A5" s="22" t="s">
        <v>70</v>
      </c>
      <c r="B5" s="6">
        <v>104</v>
      </c>
      <c r="C5" s="19">
        <f>B5/$B$7</f>
        <v>0.1368421052631579</v>
      </c>
      <c r="D5" s="24">
        <v>3527500</v>
      </c>
      <c r="E5" s="21">
        <f t="shared" si="0"/>
        <v>33918.269230769234</v>
      </c>
      <c r="F5" s="37"/>
      <c r="G5" s="66" t="s">
        <v>4605</v>
      </c>
      <c r="H5" s="65">
        <v>58</v>
      </c>
      <c r="I5" s="75">
        <f t="shared" si="2"/>
        <v>7.6315789473684212E-2</v>
      </c>
      <c r="J5" s="77"/>
      <c r="K5" s="72">
        <f t="shared" si="3"/>
        <v>7.2463768115942032E-2</v>
      </c>
      <c r="L5" s="65">
        <f t="shared" si="1"/>
        <v>25</v>
      </c>
      <c r="M5" s="69" t="s">
        <v>4606</v>
      </c>
    </row>
    <row r="6" spans="1:13" x14ac:dyDescent="0.35">
      <c r="A6" s="22" t="s">
        <v>4648</v>
      </c>
      <c r="B6" s="6">
        <v>61</v>
      </c>
      <c r="C6" s="19">
        <f>B6/$B$7</f>
        <v>8.0263157894736842E-2</v>
      </c>
      <c r="D6" s="24">
        <v>326700</v>
      </c>
      <c r="E6" s="21">
        <f t="shared" si="0"/>
        <v>5355.7377049180332</v>
      </c>
      <c r="G6" s="88" t="s">
        <v>4607</v>
      </c>
      <c r="H6" s="89">
        <v>33</v>
      </c>
      <c r="I6" s="90">
        <f t="shared" si="2"/>
        <v>4.3421052631578951E-2</v>
      </c>
      <c r="J6" s="85"/>
      <c r="K6" s="91">
        <f t="shared" si="3"/>
        <v>3.7681159420289857E-2</v>
      </c>
      <c r="L6" s="89">
        <f t="shared" si="1"/>
        <v>13</v>
      </c>
      <c r="M6" s="92" t="s">
        <v>4608</v>
      </c>
    </row>
    <row r="7" spans="1:13" ht="15" thickBot="1" x14ac:dyDescent="0.4">
      <c r="A7" s="55" t="s">
        <v>633</v>
      </c>
      <c r="B7" s="56">
        <f>B2+B6</f>
        <v>760</v>
      </c>
      <c r="C7" s="56"/>
      <c r="D7" s="53">
        <f>D2+D6</f>
        <v>20427852</v>
      </c>
      <c r="E7" s="54">
        <f t="shared" si="0"/>
        <v>26878.752631578947</v>
      </c>
      <c r="G7" s="66" t="s">
        <v>4609</v>
      </c>
      <c r="H7" s="65">
        <v>20</v>
      </c>
      <c r="I7" s="75">
        <f t="shared" si="2"/>
        <v>2.6315789473684209E-2</v>
      </c>
      <c r="J7" s="77"/>
      <c r="K7" s="72">
        <f t="shared" si="3"/>
        <v>2.318840579710145E-2</v>
      </c>
      <c r="L7" s="65">
        <f t="shared" si="1"/>
        <v>8</v>
      </c>
      <c r="M7" s="69" t="s">
        <v>4610</v>
      </c>
    </row>
    <row r="8" spans="1:13" ht="15" thickBot="1" x14ac:dyDescent="0.4">
      <c r="G8" s="88" t="s">
        <v>4611</v>
      </c>
      <c r="H8" s="89">
        <v>12</v>
      </c>
      <c r="I8" s="90">
        <f t="shared" si="2"/>
        <v>1.5789473684210527E-2</v>
      </c>
      <c r="J8" s="85"/>
      <c r="K8" s="91">
        <f t="shared" si="3"/>
        <v>1.1594202898550725E-2</v>
      </c>
      <c r="L8" s="89">
        <f t="shared" si="1"/>
        <v>4</v>
      </c>
      <c r="M8" s="92" t="s">
        <v>4612</v>
      </c>
    </row>
    <row r="9" spans="1:13" x14ac:dyDescent="0.35">
      <c r="A9" s="29" t="s">
        <v>4615</v>
      </c>
      <c r="B9" s="13" t="s">
        <v>4592</v>
      </c>
      <c r="C9" s="100" t="s">
        <v>4593</v>
      </c>
      <c r="G9" s="66" t="s">
        <v>4613</v>
      </c>
      <c r="H9" s="65">
        <v>8</v>
      </c>
      <c r="I9" s="75">
        <f t="shared" si="2"/>
        <v>1.0526315789473684E-2</v>
      </c>
      <c r="J9" s="77"/>
      <c r="K9" s="72">
        <f t="shared" si="3"/>
        <v>1.7391304347826087E-2</v>
      </c>
      <c r="L9" s="65">
        <f t="shared" si="1"/>
        <v>6</v>
      </c>
      <c r="M9" s="69" t="s">
        <v>4614</v>
      </c>
    </row>
    <row r="10" spans="1:13" x14ac:dyDescent="0.35">
      <c r="A10" s="17" t="s">
        <v>4618</v>
      </c>
      <c r="B10" s="6">
        <v>4</v>
      </c>
      <c r="C10" s="31"/>
      <c r="G10" s="88" t="s">
        <v>4616</v>
      </c>
      <c r="H10" s="89">
        <v>2</v>
      </c>
      <c r="I10" s="90">
        <f t="shared" si="2"/>
        <v>2.631578947368421E-3</v>
      </c>
      <c r="J10" s="85"/>
      <c r="K10" s="91">
        <f t="shared" si="3"/>
        <v>0</v>
      </c>
      <c r="L10" s="89">
        <v>0</v>
      </c>
      <c r="M10" s="92" t="s">
        <v>4617</v>
      </c>
    </row>
    <row r="11" spans="1:13" ht="15" thickBot="1" x14ac:dyDescent="0.4">
      <c r="A11" s="101" t="s">
        <v>4621</v>
      </c>
      <c r="B11" s="26">
        <v>385</v>
      </c>
      <c r="C11" s="104">
        <f>B11/896</f>
        <v>0.4296875</v>
      </c>
      <c r="G11" s="67" t="s">
        <v>4619</v>
      </c>
      <c r="H11" s="74">
        <v>4</v>
      </c>
      <c r="I11" s="76">
        <f t="shared" si="2"/>
        <v>5.263157894736842E-3</v>
      </c>
      <c r="J11" s="77"/>
      <c r="K11" s="73">
        <f t="shared" si="3"/>
        <v>5.7971014492753624E-3</v>
      </c>
      <c r="L11" s="74">
        <v>2</v>
      </c>
      <c r="M11" s="70" t="s">
        <v>4620</v>
      </c>
    </row>
    <row r="12" spans="1:13" ht="15" thickBot="1" x14ac:dyDescent="0.4">
      <c r="A12" s="103" t="s">
        <v>4624</v>
      </c>
      <c r="G12" s="93" t="s">
        <v>4622</v>
      </c>
      <c r="H12" s="78">
        <f>SUM(H2:H11)</f>
        <v>760</v>
      </c>
      <c r="I12" s="79">
        <f>SUM(I2:I11)</f>
        <v>1</v>
      </c>
      <c r="J12" s="71"/>
      <c r="K12" s="80">
        <f>SUM(K2:K11)</f>
        <v>1</v>
      </c>
      <c r="L12" s="81">
        <f>SUM(L2:L11)</f>
        <v>345</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193</v>
      </c>
      <c r="C15" s="30"/>
      <c r="D15" s="31"/>
    </row>
    <row r="16" spans="1:13" x14ac:dyDescent="0.35">
      <c r="A16" s="22" t="s">
        <v>4626</v>
      </c>
      <c r="B16" s="30"/>
      <c r="C16" s="52">
        <v>0.98</v>
      </c>
      <c r="D16" s="42">
        <v>12382693</v>
      </c>
    </row>
    <row r="17" spans="1:6" x14ac:dyDescent="0.35">
      <c r="A17" s="22" t="s">
        <v>4628</v>
      </c>
      <c r="B17" s="30"/>
      <c r="C17" s="34">
        <v>0.02</v>
      </c>
      <c r="D17" s="42">
        <v>305389</v>
      </c>
      <c r="E17" s="37"/>
      <c r="F17" s="34"/>
    </row>
    <row r="18" spans="1:6" x14ac:dyDescent="0.35">
      <c r="A18" s="22" t="s">
        <v>4629</v>
      </c>
      <c r="B18" s="30"/>
      <c r="C18" s="23">
        <v>0.05</v>
      </c>
      <c r="D18" s="42">
        <v>426124</v>
      </c>
    </row>
    <row r="19" spans="1:6" x14ac:dyDescent="0.35">
      <c r="A19" s="22" t="s">
        <v>4630</v>
      </c>
      <c r="B19" s="30"/>
      <c r="C19" s="30"/>
      <c r="D19" s="42">
        <v>8045159</v>
      </c>
      <c r="E19" s="37"/>
      <c r="F19" s="111"/>
    </row>
    <row r="20" spans="1:6" x14ac:dyDescent="0.35">
      <c r="A20" s="22" t="s">
        <v>4631</v>
      </c>
      <c r="B20" s="6">
        <v>20</v>
      </c>
      <c r="C20" s="23">
        <v>0.12</v>
      </c>
      <c r="D20" s="32"/>
    </row>
    <row r="21" spans="1:6" x14ac:dyDescent="0.35">
      <c r="A21" s="22" t="s">
        <v>4632</v>
      </c>
      <c r="B21" s="33"/>
      <c r="C21" s="23">
        <v>0.23</v>
      </c>
      <c r="D21" s="32"/>
      <c r="E21" s="40"/>
    </row>
    <row r="22" spans="1:6" ht="15" thickBot="1" x14ac:dyDescent="0.4">
      <c r="A22" s="25" t="s">
        <v>4633</v>
      </c>
      <c r="B22" s="26">
        <v>14</v>
      </c>
      <c r="C22" s="36">
        <v>0.01</v>
      </c>
      <c r="D22" s="28">
        <v>50707</v>
      </c>
    </row>
    <row r="23" spans="1:6" x14ac:dyDescent="0.35">
      <c r="E23" s="37"/>
    </row>
    <row r="27" spans="1:6" x14ac:dyDescent="0.35">
      <c r="B27" s="40"/>
    </row>
  </sheetData>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EE540-BF36-4E6A-8DAB-C7F31B3A3D4A}">
  <sheetPr codeName="Sheet39"/>
  <dimension ref="A1:M27"/>
  <sheetViews>
    <sheetView zoomScale="90" zoomScaleNormal="90" workbookViewId="0">
      <selection activeCell="G15" sqref="G15"/>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696</v>
      </c>
      <c r="C2" s="19">
        <f>B2/$B$7</f>
        <v>0.91941875825627473</v>
      </c>
      <c r="D2" s="20">
        <f>SUM(D3:D5)</f>
        <v>19866152</v>
      </c>
      <c r="E2" s="21">
        <f t="shared" ref="E2:E7" si="0">D2/B2</f>
        <v>28543.321839080461</v>
      </c>
      <c r="G2" s="82" t="s">
        <v>4599</v>
      </c>
      <c r="H2" s="83">
        <v>343</v>
      </c>
      <c r="I2" s="84">
        <f>H2/$H$12</f>
        <v>0.45310435931307796</v>
      </c>
      <c r="J2" s="85"/>
      <c r="K2" s="86">
        <f>L2/$L$12</f>
        <v>0.47230320699708456</v>
      </c>
      <c r="L2" s="83">
        <f t="shared" ref="L2:L9" si="1">H2-H3</f>
        <v>162</v>
      </c>
      <c r="M2" s="87" t="s">
        <v>4600</v>
      </c>
    </row>
    <row r="3" spans="1:13" x14ac:dyDescent="0.35">
      <c r="A3" s="22" t="s">
        <v>13</v>
      </c>
      <c r="B3" s="6">
        <v>570</v>
      </c>
      <c r="C3" s="19">
        <f>B3/$B$7</f>
        <v>0.75297225891677677</v>
      </c>
      <c r="D3" s="24">
        <v>16026652</v>
      </c>
      <c r="E3" s="21">
        <f t="shared" si="0"/>
        <v>28116.933333333334</v>
      </c>
      <c r="F3" s="37"/>
      <c r="G3" s="66" t="s">
        <v>4601</v>
      </c>
      <c r="H3" s="65">
        <v>181</v>
      </c>
      <c r="I3" s="75">
        <f t="shared" ref="I3:I11" si="2">H3/$H$12</f>
        <v>0.23910171730515192</v>
      </c>
      <c r="J3" s="77"/>
      <c r="K3" s="72">
        <f t="shared" ref="K3:K11" si="3">L3/$L$12</f>
        <v>0.24781341107871721</v>
      </c>
      <c r="L3" s="65">
        <f t="shared" si="1"/>
        <v>85</v>
      </c>
      <c r="M3" s="69" t="s">
        <v>4602</v>
      </c>
    </row>
    <row r="4" spans="1:13" x14ac:dyDescent="0.35">
      <c r="A4" s="22" t="s">
        <v>55</v>
      </c>
      <c r="B4" s="6">
        <v>22</v>
      </c>
      <c r="C4" s="19">
        <f>B4/$B$7</f>
        <v>2.9062087186261559E-2</v>
      </c>
      <c r="D4" s="24">
        <v>312000</v>
      </c>
      <c r="E4" s="21">
        <f t="shared" si="0"/>
        <v>14181.818181818182</v>
      </c>
      <c r="G4" s="88" t="s">
        <v>4603</v>
      </c>
      <c r="H4" s="89">
        <v>96</v>
      </c>
      <c r="I4" s="90">
        <f t="shared" si="2"/>
        <v>0.12681638044914134</v>
      </c>
      <c r="J4" s="85"/>
      <c r="K4" s="91">
        <f t="shared" si="3"/>
        <v>0.11078717201166181</v>
      </c>
      <c r="L4" s="89">
        <f t="shared" si="1"/>
        <v>38</v>
      </c>
      <c r="M4" s="92" t="s">
        <v>4604</v>
      </c>
    </row>
    <row r="5" spans="1:13" x14ac:dyDescent="0.35">
      <c r="A5" s="22" t="s">
        <v>70</v>
      </c>
      <c r="B5" s="6">
        <v>104</v>
      </c>
      <c r="C5" s="19">
        <f>B5/$B$7</f>
        <v>0.13738441215323646</v>
      </c>
      <c r="D5" s="24">
        <v>3527500</v>
      </c>
      <c r="E5" s="21">
        <f t="shared" si="0"/>
        <v>33918.269230769234</v>
      </c>
      <c r="F5" s="37"/>
      <c r="G5" s="66" t="s">
        <v>4605</v>
      </c>
      <c r="H5" s="65">
        <v>58</v>
      </c>
      <c r="I5" s="75">
        <f t="shared" si="2"/>
        <v>7.6618229854689565E-2</v>
      </c>
      <c r="J5" s="77"/>
      <c r="K5" s="72">
        <f t="shared" si="3"/>
        <v>7.2886297376093298E-2</v>
      </c>
      <c r="L5" s="65">
        <f t="shared" si="1"/>
        <v>25</v>
      </c>
      <c r="M5" s="69" t="s">
        <v>4606</v>
      </c>
    </row>
    <row r="6" spans="1:13" x14ac:dyDescent="0.35">
      <c r="A6" s="22" t="s">
        <v>4648</v>
      </c>
      <c r="B6" s="6">
        <v>61</v>
      </c>
      <c r="C6" s="19">
        <f>B6/$B$7</f>
        <v>8.0581241743725232E-2</v>
      </c>
      <c r="D6" s="24">
        <v>326700</v>
      </c>
      <c r="E6" s="21">
        <f t="shared" si="0"/>
        <v>5355.7377049180332</v>
      </c>
      <c r="G6" s="88" t="s">
        <v>4607</v>
      </c>
      <c r="H6" s="89">
        <v>33</v>
      </c>
      <c r="I6" s="90">
        <f t="shared" si="2"/>
        <v>4.3593130779392336E-2</v>
      </c>
      <c r="J6" s="85"/>
      <c r="K6" s="91">
        <f t="shared" si="3"/>
        <v>3.7900874635568516E-2</v>
      </c>
      <c r="L6" s="89">
        <f t="shared" si="1"/>
        <v>13</v>
      </c>
      <c r="M6" s="92" t="s">
        <v>4608</v>
      </c>
    </row>
    <row r="7" spans="1:13" ht="15" thickBot="1" x14ac:dyDescent="0.4">
      <c r="A7" s="55" t="s">
        <v>633</v>
      </c>
      <c r="B7" s="56">
        <f>B2+B6</f>
        <v>757</v>
      </c>
      <c r="C7" s="56"/>
      <c r="D7" s="53">
        <f>D2+D6</f>
        <v>20192852</v>
      </c>
      <c r="E7" s="54">
        <f t="shared" si="0"/>
        <v>26674.837516512551</v>
      </c>
      <c r="G7" s="66" t="s">
        <v>4609</v>
      </c>
      <c r="H7" s="65">
        <v>20</v>
      </c>
      <c r="I7" s="75">
        <f t="shared" si="2"/>
        <v>2.6420079260237782E-2</v>
      </c>
      <c r="J7" s="77"/>
      <c r="K7" s="72">
        <f t="shared" si="3"/>
        <v>2.3323615160349854E-2</v>
      </c>
      <c r="L7" s="65">
        <f t="shared" si="1"/>
        <v>8</v>
      </c>
      <c r="M7" s="69" t="s">
        <v>4610</v>
      </c>
    </row>
    <row r="8" spans="1:13" ht="15" thickBot="1" x14ac:dyDescent="0.4">
      <c r="G8" s="88" t="s">
        <v>4611</v>
      </c>
      <c r="H8" s="89">
        <v>12</v>
      </c>
      <c r="I8" s="90">
        <f t="shared" si="2"/>
        <v>1.5852047556142668E-2</v>
      </c>
      <c r="J8" s="85"/>
      <c r="K8" s="91">
        <f t="shared" si="3"/>
        <v>1.1661807580174927E-2</v>
      </c>
      <c r="L8" s="89">
        <f t="shared" si="1"/>
        <v>4</v>
      </c>
      <c r="M8" s="92" t="s">
        <v>4612</v>
      </c>
    </row>
    <row r="9" spans="1:13" x14ac:dyDescent="0.35">
      <c r="A9" s="29" t="s">
        <v>4615</v>
      </c>
      <c r="B9" s="13" t="s">
        <v>4592</v>
      </c>
      <c r="C9" s="100" t="s">
        <v>4593</v>
      </c>
      <c r="G9" s="66" t="s">
        <v>4613</v>
      </c>
      <c r="H9" s="65">
        <v>8</v>
      </c>
      <c r="I9" s="75">
        <f t="shared" si="2"/>
        <v>1.0568031704095112E-2</v>
      </c>
      <c r="J9" s="77"/>
      <c r="K9" s="72">
        <f t="shared" si="3"/>
        <v>1.7492711370262391E-2</v>
      </c>
      <c r="L9" s="65">
        <f t="shared" si="1"/>
        <v>6</v>
      </c>
      <c r="M9" s="69" t="s">
        <v>4614</v>
      </c>
    </row>
    <row r="10" spans="1:13" x14ac:dyDescent="0.35">
      <c r="A10" s="17" t="s">
        <v>4618</v>
      </c>
      <c r="B10" s="6">
        <v>8</v>
      </c>
      <c r="C10" s="31"/>
      <c r="G10" s="88" t="s">
        <v>4616</v>
      </c>
      <c r="H10" s="89">
        <v>2</v>
      </c>
      <c r="I10" s="90">
        <f t="shared" si="2"/>
        <v>2.6420079260237781E-3</v>
      </c>
      <c r="J10" s="85"/>
      <c r="K10" s="91">
        <f t="shared" si="3"/>
        <v>0</v>
      </c>
      <c r="L10" s="89">
        <v>0</v>
      </c>
      <c r="M10" s="92" t="s">
        <v>4617</v>
      </c>
    </row>
    <row r="11" spans="1:13" ht="15" thickBot="1" x14ac:dyDescent="0.4">
      <c r="A11" s="101" t="s">
        <v>4621</v>
      </c>
      <c r="B11" s="26">
        <v>381</v>
      </c>
      <c r="C11" s="104">
        <f>B11/896</f>
        <v>0.4252232142857143</v>
      </c>
      <c r="G11" s="67" t="s">
        <v>4619</v>
      </c>
      <c r="H11" s="74">
        <v>4</v>
      </c>
      <c r="I11" s="76">
        <f t="shared" si="2"/>
        <v>5.2840158520475562E-3</v>
      </c>
      <c r="J11" s="77"/>
      <c r="K11" s="73">
        <f t="shared" si="3"/>
        <v>5.8309037900874635E-3</v>
      </c>
      <c r="L11" s="74">
        <v>2</v>
      </c>
      <c r="M11" s="70" t="s">
        <v>4620</v>
      </c>
    </row>
    <row r="12" spans="1:13" ht="15" thickBot="1" x14ac:dyDescent="0.4">
      <c r="A12" s="103" t="s">
        <v>4624</v>
      </c>
      <c r="G12" s="93" t="s">
        <v>4622</v>
      </c>
      <c r="H12" s="78">
        <f>SUM(H2:H11)</f>
        <v>757</v>
      </c>
      <c r="I12" s="79">
        <f>SUM(I2:I11)</f>
        <v>1</v>
      </c>
      <c r="J12" s="71"/>
      <c r="K12" s="80">
        <f>SUM(K2:K11)</f>
        <v>1</v>
      </c>
      <c r="L12" s="81">
        <f>SUM(L2:L11)</f>
        <v>343</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190</v>
      </c>
      <c r="C15" s="30"/>
      <c r="D15" s="31"/>
    </row>
    <row r="16" spans="1:13" x14ac:dyDescent="0.35">
      <c r="A16" s="22" t="s">
        <v>4626</v>
      </c>
      <c r="B16" s="30"/>
      <c r="C16" s="52">
        <v>0.97496105978093162</v>
      </c>
      <c r="D16" s="42">
        <v>12125453.100000001</v>
      </c>
    </row>
    <row r="17" spans="1:6" x14ac:dyDescent="0.35">
      <c r="A17" s="22" t="s">
        <v>4628</v>
      </c>
      <c r="B17" s="30"/>
      <c r="C17" s="34">
        <v>2.5038940219068301E-2</v>
      </c>
      <c r="D17" s="42">
        <v>311405.76565000002</v>
      </c>
      <c r="E17" s="37"/>
      <c r="F17" s="34"/>
    </row>
    <row r="18" spans="1:6" x14ac:dyDescent="0.35">
      <c r="A18" s="22" t="s">
        <v>4629</v>
      </c>
      <c r="B18" s="30"/>
      <c r="C18" s="23">
        <v>5.3861186038538407E-2</v>
      </c>
      <c r="D18" s="42">
        <v>434519.67300000001</v>
      </c>
    </row>
    <row r="19" spans="1:6" x14ac:dyDescent="0.35">
      <c r="A19" s="22" t="s">
        <v>4630</v>
      </c>
      <c r="B19" s="30"/>
      <c r="C19" s="30"/>
      <c r="D19" s="42">
        <v>8067398.8999999985</v>
      </c>
      <c r="E19" s="37"/>
      <c r="F19" s="111"/>
    </row>
    <row r="20" spans="1:6" x14ac:dyDescent="0.35">
      <c r="A20" s="22" t="s">
        <v>4631</v>
      </c>
      <c r="B20" s="6">
        <v>22</v>
      </c>
      <c r="C20" s="23">
        <v>0.11890000000000001</v>
      </c>
      <c r="D20" s="32"/>
    </row>
    <row r="21" spans="1:6" x14ac:dyDescent="0.35">
      <c r="A21" s="22" t="s">
        <v>4632</v>
      </c>
      <c r="B21" s="33"/>
      <c r="C21" s="23">
        <v>0.23</v>
      </c>
      <c r="D21" s="32"/>
      <c r="E21" s="40"/>
    </row>
    <row r="22" spans="1:6" ht="15" thickBot="1" x14ac:dyDescent="0.4">
      <c r="A22" s="25" t="s">
        <v>4633</v>
      </c>
      <c r="B22" s="26">
        <v>14</v>
      </c>
      <c r="C22" s="36">
        <v>0.02</v>
      </c>
      <c r="D22" s="28">
        <v>50706.66</v>
      </c>
    </row>
    <row r="23" spans="1:6" x14ac:dyDescent="0.35">
      <c r="E23" s="37"/>
    </row>
    <row r="27" spans="1:6" x14ac:dyDescent="0.35">
      <c r="B27" s="40"/>
    </row>
  </sheetData>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7333-8625-44F3-B05F-C1D26D192789}">
  <sheetPr codeName="Sheet40"/>
  <dimension ref="A1:M27"/>
  <sheetViews>
    <sheetView zoomScale="90" zoomScaleNormal="90" workbookViewId="0">
      <selection activeCell="C11" sqref="C11"/>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681</v>
      </c>
      <c r="C2" s="19">
        <f>B2/$B$7</f>
        <v>0.91778975741239888</v>
      </c>
      <c r="D2" s="20">
        <f>SUM(D3:D5)</f>
        <v>19137152</v>
      </c>
      <c r="E2" s="21">
        <f t="shared" ref="E2:E7" si="0">D2/B2</f>
        <v>28101.544787077826</v>
      </c>
      <c r="G2" s="82" t="s">
        <v>4599</v>
      </c>
      <c r="H2" s="83">
        <v>335</v>
      </c>
      <c r="I2" s="84">
        <f>H2/$H$12</f>
        <v>0.45148247978436656</v>
      </c>
      <c r="J2" s="85"/>
      <c r="K2" s="86">
        <f>L2/$L$12</f>
        <v>0.46865671641791046</v>
      </c>
      <c r="L2" s="83">
        <f t="shared" ref="L2:L9" si="1">H2-H3</f>
        <v>157</v>
      </c>
      <c r="M2" s="87" t="s">
        <v>4600</v>
      </c>
    </row>
    <row r="3" spans="1:13" x14ac:dyDescent="0.35">
      <c r="A3" s="22" t="s">
        <v>13</v>
      </c>
      <c r="B3" s="6">
        <v>557</v>
      </c>
      <c r="C3" s="19">
        <f>B3/$B$7</f>
        <v>0.75067385444743939</v>
      </c>
      <c r="D3" s="24">
        <v>15316652</v>
      </c>
      <c r="E3" s="21">
        <f t="shared" si="0"/>
        <v>27498.477558348295</v>
      </c>
      <c r="F3" s="37"/>
      <c r="G3" s="66" t="s">
        <v>4601</v>
      </c>
      <c r="H3" s="65">
        <v>178</v>
      </c>
      <c r="I3" s="75">
        <f t="shared" ref="I3:I11" si="2">H3/$H$12</f>
        <v>0.23989218328840969</v>
      </c>
      <c r="J3" s="77"/>
      <c r="K3" s="72">
        <f t="shared" ref="K3:K11" si="3">L3/$L$12</f>
        <v>0.2507462686567164</v>
      </c>
      <c r="L3" s="65">
        <f t="shared" si="1"/>
        <v>84</v>
      </c>
      <c r="M3" s="69" t="s">
        <v>4602</v>
      </c>
    </row>
    <row r="4" spans="1:13" x14ac:dyDescent="0.35">
      <c r="A4" s="22" t="s">
        <v>55</v>
      </c>
      <c r="B4" s="6">
        <v>22</v>
      </c>
      <c r="C4" s="19">
        <f>B4/$B$7</f>
        <v>2.9649595687331536E-2</v>
      </c>
      <c r="D4" s="24">
        <v>312000</v>
      </c>
      <c r="E4" s="21">
        <f t="shared" si="0"/>
        <v>14181.818181818182</v>
      </c>
      <c r="G4" s="88" t="s">
        <v>4603</v>
      </c>
      <c r="H4" s="89">
        <v>94</v>
      </c>
      <c r="I4" s="90">
        <f t="shared" si="2"/>
        <v>0.12668463611859837</v>
      </c>
      <c r="J4" s="85"/>
      <c r="K4" s="91">
        <f t="shared" si="3"/>
        <v>0.11343283582089553</v>
      </c>
      <c r="L4" s="89">
        <f t="shared" si="1"/>
        <v>38</v>
      </c>
      <c r="M4" s="92" t="s">
        <v>4604</v>
      </c>
    </row>
    <row r="5" spans="1:13" x14ac:dyDescent="0.35">
      <c r="A5" s="22" t="s">
        <v>70</v>
      </c>
      <c r="B5" s="6">
        <v>102</v>
      </c>
      <c r="C5" s="19">
        <f>B5/$B$7</f>
        <v>0.13746630727762804</v>
      </c>
      <c r="D5" s="24">
        <v>3508500</v>
      </c>
      <c r="E5" s="21">
        <f t="shared" si="0"/>
        <v>34397.058823529413</v>
      </c>
      <c r="F5" s="37"/>
      <c r="G5" s="66" t="s">
        <v>4605</v>
      </c>
      <c r="H5" s="65">
        <v>56</v>
      </c>
      <c r="I5" s="75">
        <f t="shared" si="2"/>
        <v>7.5471698113207544E-2</v>
      </c>
      <c r="J5" s="77"/>
      <c r="K5" s="72">
        <f t="shared" si="3"/>
        <v>6.8656716417910449E-2</v>
      </c>
      <c r="L5" s="65">
        <f t="shared" si="1"/>
        <v>23</v>
      </c>
      <c r="M5" s="69" t="s">
        <v>4606</v>
      </c>
    </row>
    <row r="6" spans="1:13" x14ac:dyDescent="0.35">
      <c r="A6" s="22" t="s">
        <v>4648</v>
      </c>
      <c r="B6" s="6">
        <v>61</v>
      </c>
      <c r="C6" s="19">
        <f>B6/$B$7</f>
        <v>8.2210242587601082E-2</v>
      </c>
      <c r="D6" s="24">
        <v>326700</v>
      </c>
      <c r="E6" s="21">
        <f t="shared" si="0"/>
        <v>5355.7377049180332</v>
      </c>
      <c r="G6" s="88" t="s">
        <v>4607</v>
      </c>
      <c r="H6" s="89">
        <v>33</v>
      </c>
      <c r="I6" s="90">
        <f t="shared" si="2"/>
        <v>4.4474393530997303E-2</v>
      </c>
      <c r="J6" s="85"/>
      <c r="K6" s="91">
        <f t="shared" si="3"/>
        <v>3.880597014925373E-2</v>
      </c>
      <c r="L6" s="89">
        <f t="shared" si="1"/>
        <v>13</v>
      </c>
      <c r="M6" s="92" t="s">
        <v>4608</v>
      </c>
    </row>
    <row r="7" spans="1:13" ht="15" thickBot="1" x14ac:dyDescent="0.4">
      <c r="A7" s="55" t="s">
        <v>633</v>
      </c>
      <c r="B7" s="56">
        <f>B2+B6</f>
        <v>742</v>
      </c>
      <c r="C7" s="56"/>
      <c r="D7" s="53">
        <f>D2+D6</f>
        <v>19463852</v>
      </c>
      <c r="E7" s="54">
        <f t="shared" si="0"/>
        <v>26231.606469002694</v>
      </c>
      <c r="G7" s="66" t="s">
        <v>4609</v>
      </c>
      <c r="H7" s="65">
        <v>20</v>
      </c>
      <c r="I7" s="75">
        <f t="shared" si="2"/>
        <v>2.6954177897574125E-2</v>
      </c>
      <c r="J7" s="77"/>
      <c r="K7" s="72">
        <f t="shared" si="3"/>
        <v>2.3880597014925373E-2</v>
      </c>
      <c r="L7" s="65">
        <f t="shared" si="1"/>
        <v>8</v>
      </c>
      <c r="M7" s="69" t="s">
        <v>4610</v>
      </c>
    </row>
    <row r="8" spans="1:13" ht="15" thickBot="1" x14ac:dyDescent="0.4">
      <c r="G8" s="88" t="s">
        <v>4611</v>
      </c>
      <c r="H8" s="89">
        <v>12</v>
      </c>
      <c r="I8" s="90">
        <f t="shared" si="2"/>
        <v>1.6172506738544475E-2</v>
      </c>
      <c r="J8" s="85"/>
      <c r="K8" s="91">
        <f t="shared" si="3"/>
        <v>1.1940298507462687E-2</v>
      </c>
      <c r="L8" s="89">
        <f t="shared" si="1"/>
        <v>4</v>
      </c>
      <c r="M8" s="92" t="s">
        <v>4612</v>
      </c>
    </row>
    <row r="9" spans="1:13" x14ac:dyDescent="0.35">
      <c r="A9" s="29" t="s">
        <v>4615</v>
      </c>
      <c r="B9" s="13" t="s">
        <v>4592</v>
      </c>
      <c r="C9" s="100" t="s">
        <v>4593</v>
      </c>
      <c r="G9" s="66" t="s">
        <v>4613</v>
      </c>
      <c r="H9" s="65">
        <v>8</v>
      </c>
      <c r="I9" s="75">
        <f t="shared" si="2"/>
        <v>1.078167115902965E-2</v>
      </c>
      <c r="J9" s="77"/>
      <c r="K9" s="72">
        <f t="shared" si="3"/>
        <v>1.7910447761194031E-2</v>
      </c>
      <c r="L9" s="65">
        <f t="shared" si="1"/>
        <v>6</v>
      </c>
      <c r="M9" s="69" t="s">
        <v>4614</v>
      </c>
    </row>
    <row r="10" spans="1:13" x14ac:dyDescent="0.35">
      <c r="A10" s="17" t="s">
        <v>4618</v>
      </c>
      <c r="B10" s="6">
        <v>6</v>
      </c>
      <c r="C10" s="31"/>
      <c r="G10" s="88" t="s">
        <v>4616</v>
      </c>
      <c r="H10" s="89">
        <v>2</v>
      </c>
      <c r="I10" s="90">
        <f t="shared" si="2"/>
        <v>2.6954177897574125E-3</v>
      </c>
      <c r="J10" s="85"/>
      <c r="K10" s="91">
        <f t="shared" si="3"/>
        <v>0</v>
      </c>
      <c r="L10" s="89">
        <v>0</v>
      </c>
      <c r="M10" s="92" t="s">
        <v>4617</v>
      </c>
    </row>
    <row r="11" spans="1:13" ht="15" thickBot="1" x14ac:dyDescent="0.4">
      <c r="A11" s="101" t="s">
        <v>4621</v>
      </c>
      <c r="B11" s="26">
        <v>373</v>
      </c>
      <c r="C11" s="104">
        <f>B11/864</f>
        <v>0.43171296296296297</v>
      </c>
      <c r="G11" s="67" t="s">
        <v>4619</v>
      </c>
      <c r="H11" s="74">
        <v>4</v>
      </c>
      <c r="I11" s="76">
        <f t="shared" si="2"/>
        <v>5.3908355795148251E-3</v>
      </c>
      <c r="J11" s="77"/>
      <c r="K11" s="73">
        <f t="shared" si="3"/>
        <v>5.9701492537313433E-3</v>
      </c>
      <c r="L11" s="74">
        <v>2</v>
      </c>
      <c r="M11" s="70" t="s">
        <v>4620</v>
      </c>
    </row>
    <row r="12" spans="1:13" ht="15" thickBot="1" x14ac:dyDescent="0.4">
      <c r="A12" s="103" t="s">
        <v>4624</v>
      </c>
      <c r="G12" s="93" t="s">
        <v>4622</v>
      </c>
      <c r="H12" s="78">
        <f>SUM(H2:H11)</f>
        <v>742</v>
      </c>
      <c r="I12" s="79">
        <f>SUM(I2:I11)</f>
        <v>0.99999999999999989</v>
      </c>
      <c r="J12" s="71"/>
      <c r="K12" s="80">
        <f>SUM(K2:K11)</f>
        <v>1</v>
      </c>
      <c r="L12" s="81">
        <f>SUM(L2:L11)</f>
        <v>335</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185</v>
      </c>
      <c r="C15" s="30"/>
      <c r="D15" s="31"/>
    </row>
    <row r="16" spans="1:13" x14ac:dyDescent="0.35">
      <c r="A16" s="22" t="s">
        <v>4626</v>
      </c>
      <c r="B16" s="30"/>
      <c r="C16" s="52">
        <v>0.97512509766490063</v>
      </c>
      <c r="D16" s="42">
        <v>11941254.66</v>
      </c>
    </row>
    <row r="17" spans="1:7" x14ac:dyDescent="0.35">
      <c r="A17" s="22" t="s">
        <v>4628</v>
      </c>
      <c r="B17" s="30"/>
      <c r="C17" s="34">
        <v>2.4874902335099338E-2</v>
      </c>
      <c r="D17" s="42">
        <v>304614.80699999997</v>
      </c>
      <c r="E17" s="37"/>
      <c r="F17" s="34"/>
      <c r="G17" s="37"/>
    </row>
    <row r="18" spans="1:7" x14ac:dyDescent="0.35">
      <c r="A18" s="22" t="s">
        <v>4629</v>
      </c>
      <c r="B18" s="30"/>
      <c r="C18" s="23">
        <v>5.6690623002294042E-2</v>
      </c>
      <c r="D18" s="42">
        <v>426460.72979999997</v>
      </c>
      <c r="G18" s="37"/>
    </row>
    <row r="19" spans="1:7" x14ac:dyDescent="0.35">
      <c r="A19" s="22" t="s">
        <v>4630</v>
      </c>
      <c r="B19" s="30"/>
      <c r="C19" s="30"/>
      <c r="D19" s="42">
        <v>7522597.3399999999</v>
      </c>
      <c r="E19" s="37"/>
      <c r="F19" s="111"/>
    </row>
    <row r="20" spans="1:7" x14ac:dyDescent="0.35">
      <c r="A20" s="22" t="s">
        <v>4631</v>
      </c>
      <c r="B20" s="6">
        <v>20</v>
      </c>
      <c r="C20" s="23">
        <v>0.11</v>
      </c>
      <c r="D20" s="32"/>
    </row>
    <row r="21" spans="1:7" x14ac:dyDescent="0.35">
      <c r="A21" s="22" t="s">
        <v>4632</v>
      </c>
      <c r="B21" s="33"/>
      <c r="C21" s="23">
        <v>0.23</v>
      </c>
      <c r="D21" s="32"/>
      <c r="E21" s="40"/>
    </row>
    <row r="22" spans="1:7" ht="15" thickBot="1" x14ac:dyDescent="0.4">
      <c r="A22" s="25" t="s">
        <v>4633</v>
      </c>
      <c r="B22" s="26">
        <v>14</v>
      </c>
      <c r="C22" s="36">
        <v>0.02</v>
      </c>
      <c r="D22" s="28">
        <v>50706.66</v>
      </c>
    </row>
    <row r="23" spans="1:7" x14ac:dyDescent="0.35">
      <c r="E23" s="37"/>
    </row>
    <row r="27" spans="1:7" x14ac:dyDescent="0.35">
      <c r="B27" s="40"/>
    </row>
  </sheetData>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D7EE-9496-4C0D-833C-2A5A2D916B10}">
  <sheetPr codeName="Sheet41"/>
  <dimension ref="A1:M27"/>
  <sheetViews>
    <sheetView zoomScale="90" zoomScaleNormal="90" workbookViewId="0">
      <selection activeCell="E14" sqref="E14"/>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666</v>
      </c>
      <c r="C2" s="19">
        <f>B2/$B$7</f>
        <v>0.91609353507565339</v>
      </c>
      <c r="D2" s="20">
        <f>SUM(D3:D5)</f>
        <v>18204152</v>
      </c>
      <c r="E2" s="21">
        <f t="shared" ref="E2:E7" si="0">D2/B2</f>
        <v>27333.561561561561</v>
      </c>
      <c r="G2" s="82" t="s">
        <v>4599</v>
      </c>
      <c r="H2" s="83">
        <v>329</v>
      </c>
      <c r="I2" s="84">
        <f>H2/$H$12</f>
        <v>0.45254470426409904</v>
      </c>
      <c r="J2" s="85"/>
      <c r="K2" s="86">
        <f>L2/$L$12</f>
        <v>0.47720364741641336</v>
      </c>
      <c r="L2" s="83">
        <f t="shared" ref="L2:L9" si="1">H2-H3</f>
        <v>157</v>
      </c>
      <c r="M2" s="87" t="s">
        <v>4600</v>
      </c>
    </row>
    <row r="3" spans="1:13" x14ac:dyDescent="0.35">
      <c r="A3" s="22" t="s">
        <v>13</v>
      </c>
      <c r="B3" s="6">
        <v>542</v>
      </c>
      <c r="C3" s="19">
        <f>B3/$B$7</f>
        <v>0.74552957359009631</v>
      </c>
      <c r="D3" s="24">
        <v>14383652</v>
      </c>
      <c r="E3" s="21">
        <f t="shared" si="0"/>
        <v>26538.10332103321</v>
      </c>
      <c r="F3" s="37"/>
      <c r="G3" s="66" t="s">
        <v>4601</v>
      </c>
      <c r="H3" s="65">
        <v>172</v>
      </c>
      <c r="I3" s="75">
        <f t="shared" ref="I3:I11" si="2">H3/$H$12</f>
        <v>0.23658872077028886</v>
      </c>
      <c r="J3" s="77"/>
      <c r="K3" s="72">
        <f t="shared" ref="K3:K11" si="3">L3/$L$12</f>
        <v>0.24012158054711247</v>
      </c>
      <c r="L3" s="65">
        <f t="shared" si="1"/>
        <v>79</v>
      </c>
      <c r="M3" s="69" t="s">
        <v>4602</v>
      </c>
    </row>
    <row r="4" spans="1:13" x14ac:dyDescent="0.35">
      <c r="A4" s="22" t="s">
        <v>55</v>
      </c>
      <c r="B4" s="6">
        <v>22</v>
      </c>
      <c r="C4" s="19">
        <f>B4/$B$7</f>
        <v>3.0261348005502064E-2</v>
      </c>
      <c r="D4" s="24">
        <v>312000</v>
      </c>
      <c r="E4" s="21">
        <f t="shared" si="0"/>
        <v>14181.818181818182</v>
      </c>
      <c r="G4" s="88" t="s">
        <v>4603</v>
      </c>
      <c r="H4" s="89">
        <v>93</v>
      </c>
      <c r="I4" s="90">
        <f t="shared" si="2"/>
        <v>0.12792297111416781</v>
      </c>
      <c r="J4" s="85"/>
      <c r="K4" s="91">
        <f t="shared" si="3"/>
        <v>0.11246200607902736</v>
      </c>
      <c r="L4" s="89">
        <f t="shared" si="1"/>
        <v>37</v>
      </c>
      <c r="M4" s="92" t="s">
        <v>4604</v>
      </c>
    </row>
    <row r="5" spans="1:13" x14ac:dyDescent="0.35">
      <c r="A5" s="22" t="s">
        <v>70</v>
      </c>
      <c r="B5" s="6">
        <v>102</v>
      </c>
      <c r="C5" s="19">
        <f>B5/$B$7</f>
        <v>0.14030261348005502</v>
      </c>
      <c r="D5" s="24">
        <v>3508500</v>
      </c>
      <c r="E5" s="21">
        <f t="shared" si="0"/>
        <v>34397.058823529413</v>
      </c>
      <c r="F5" s="37"/>
      <c r="G5" s="66" t="s">
        <v>4605</v>
      </c>
      <c r="H5" s="65">
        <v>56</v>
      </c>
      <c r="I5" s="75">
        <f t="shared" si="2"/>
        <v>7.7028885832187075E-2</v>
      </c>
      <c r="J5" s="77"/>
      <c r="K5" s="72">
        <f t="shared" si="3"/>
        <v>7.29483282674772E-2</v>
      </c>
      <c r="L5" s="65">
        <f t="shared" si="1"/>
        <v>24</v>
      </c>
      <c r="M5" s="69" t="s">
        <v>4606</v>
      </c>
    </row>
    <row r="6" spans="1:13" x14ac:dyDescent="0.35">
      <c r="A6" s="22" t="s">
        <v>4648</v>
      </c>
      <c r="B6" s="6">
        <v>61</v>
      </c>
      <c r="C6" s="19">
        <f>B6/$B$7</f>
        <v>8.3906464924346627E-2</v>
      </c>
      <c r="D6" s="24">
        <v>326700</v>
      </c>
      <c r="E6" s="21">
        <f t="shared" si="0"/>
        <v>5355.7377049180332</v>
      </c>
      <c r="G6" s="88" t="s">
        <v>4607</v>
      </c>
      <c r="H6" s="89">
        <v>32</v>
      </c>
      <c r="I6" s="90">
        <f t="shared" si="2"/>
        <v>4.4016506189821183E-2</v>
      </c>
      <c r="J6" s="85"/>
      <c r="K6" s="91">
        <f t="shared" si="3"/>
        <v>3.64741641337386E-2</v>
      </c>
      <c r="L6" s="89">
        <f t="shared" si="1"/>
        <v>12</v>
      </c>
      <c r="M6" s="92" t="s">
        <v>4608</v>
      </c>
    </row>
    <row r="7" spans="1:13" ht="15" thickBot="1" x14ac:dyDescent="0.4">
      <c r="A7" s="55" t="s">
        <v>633</v>
      </c>
      <c r="B7" s="56">
        <f>B2+B6</f>
        <v>727</v>
      </c>
      <c r="C7" s="56"/>
      <c r="D7" s="53">
        <f>D2+D6</f>
        <v>18530852</v>
      </c>
      <c r="E7" s="54">
        <f t="shared" si="0"/>
        <v>25489.480055020631</v>
      </c>
      <c r="G7" s="66" t="s">
        <v>4609</v>
      </c>
      <c r="H7" s="65">
        <v>20</v>
      </c>
      <c r="I7" s="75">
        <f t="shared" si="2"/>
        <v>2.7510316368638238E-2</v>
      </c>
      <c r="J7" s="77"/>
      <c r="K7" s="72">
        <f t="shared" si="3"/>
        <v>2.4316109422492401E-2</v>
      </c>
      <c r="L7" s="65">
        <f t="shared" si="1"/>
        <v>8</v>
      </c>
      <c r="M7" s="69" t="s">
        <v>4610</v>
      </c>
    </row>
    <row r="8" spans="1:13" ht="15" thickBot="1" x14ac:dyDescent="0.4">
      <c r="G8" s="88" t="s">
        <v>4611</v>
      </c>
      <c r="H8" s="89">
        <v>12</v>
      </c>
      <c r="I8" s="90">
        <f t="shared" si="2"/>
        <v>1.6506189821182942E-2</v>
      </c>
      <c r="J8" s="85"/>
      <c r="K8" s="91">
        <f t="shared" si="3"/>
        <v>1.5197568389057751E-2</v>
      </c>
      <c r="L8" s="89">
        <f t="shared" si="1"/>
        <v>5</v>
      </c>
      <c r="M8" s="92" t="s">
        <v>4612</v>
      </c>
    </row>
    <row r="9" spans="1:13" x14ac:dyDescent="0.35">
      <c r="A9" s="29" t="s">
        <v>4615</v>
      </c>
      <c r="B9" s="13" t="s">
        <v>4592</v>
      </c>
      <c r="C9" s="100" t="s">
        <v>4593</v>
      </c>
      <c r="G9" s="66" t="s">
        <v>4613</v>
      </c>
      <c r="H9" s="65">
        <v>7</v>
      </c>
      <c r="I9" s="75">
        <f t="shared" si="2"/>
        <v>9.6286107290233843E-3</v>
      </c>
      <c r="J9" s="77"/>
      <c r="K9" s="72">
        <f t="shared" si="3"/>
        <v>1.5197568389057751E-2</v>
      </c>
      <c r="L9" s="65">
        <f t="shared" si="1"/>
        <v>5</v>
      </c>
      <c r="M9" s="69" t="s">
        <v>4614</v>
      </c>
    </row>
    <row r="10" spans="1:13" x14ac:dyDescent="0.35">
      <c r="A10" s="17" t="s">
        <v>4618</v>
      </c>
      <c r="B10" s="6">
        <v>2</v>
      </c>
      <c r="C10" s="31"/>
      <c r="G10" s="88" t="s">
        <v>4616</v>
      </c>
      <c r="H10" s="89">
        <v>2</v>
      </c>
      <c r="I10" s="90">
        <f t="shared" si="2"/>
        <v>2.751031636863824E-3</v>
      </c>
      <c r="J10" s="85"/>
      <c r="K10" s="91">
        <f t="shared" si="3"/>
        <v>0</v>
      </c>
      <c r="L10" s="89">
        <v>0</v>
      </c>
      <c r="M10" s="92" t="s">
        <v>4617</v>
      </c>
    </row>
    <row r="11" spans="1:13" ht="15" thickBot="1" x14ac:dyDescent="0.4">
      <c r="A11" s="101" t="s">
        <v>4621</v>
      </c>
      <c r="B11" s="26">
        <v>367</v>
      </c>
      <c r="C11" s="104">
        <f>B11/827</f>
        <v>0.44377267230955258</v>
      </c>
      <c r="G11" s="67" t="s">
        <v>4619</v>
      </c>
      <c r="H11" s="74">
        <v>4</v>
      </c>
      <c r="I11" s="76">
        <f t="shared" si="2"/>
        <v>5.5020632737276479E-3</v>
      </c>
      <c r="J11" s="77"/>
      <c r="K11" s="73">
        <f t="shared" si="3"/>
        <v>6.0790273556231003E-3</v>
      </c>
      <c r="L11" s="74">
        <v>2</v>
      </c>
      <c r="M11" s="70" t="s">
        <v>4620</v>
      </c>
    </row>
    <row r="12" spans="1:13" ht="15" thickBot="1" x14ac:dyDescent="0.4">
      <c r="A12" s="103" t="s">
        <v>4624</v>
      </c>
      <c r="G12" s="93" t="s">
        <v>4622</v>
      </c>
      <c r="H12" s="78">
        <f>SUM(H2:H11)</f>
        <v>727</v>
      </c>
      <c r="I12" s="79">
        <f>SUM(I2:I11)</f>
        <v>1</v>
      </c>
      <c r="J12" s="71"/>
      <c r="K12" s="80">
        <f>SUM(K2:K11)</f>
        <v>0.99999999999999989</v>
      </c>
      <c r="L12" s="81">
        <f>SUM(L2:L11)</f>
        <v>329</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171</v>
      </c>
      <c r="C15" s="30"/>
      <c r="D15" s="31"/>
    </row>
    <row r="16" spans="1:13" x14ac:dyDescent="0.35">
      <c r="A16" s="22" t="s">
        <v>4626</v>
      </c>
      <c r="B16" s="30"/>
      <c r="C16" s="52">
        <v>0.97570669156725942</v>
      </c>
      <c r="D16" s="42">
        <v>11757669.529999999</v>
      </c>
    </row>
    <row r="17" spans="1:7" x14ac:dyDescent="0.35">
      <c r="A17" s="22" t="s">
        <v>4628</v>
      </c>
      <c r="B17" s="30"/>
      <c r="C17" s="34">
        <v>2.4293308432740555E-2</v>
      </c>
      <c r="D17" s="42">
        <v>288905.15178000001</v>
      </c>
      <c r="E17" s="37"/>
      <c r="F17" s="34"/>
      <c r="G17" s="37"/>
    </row>
    <row r="18" spans="1:7" x14ac:dyDescent="0.35">
      <c r="A18" s="22" t="s">
        <v>4629</v>
      </c>
      <c r="B18" s="30"/>
      <c r="C18" s="23">
        <v>5.8809042937241283E-2</v>
      </c>
      <c r="D18" s="42">
        <v>384886.92978000001</v>
      </c>
      <c r="G18" s="37"/>
    </row>
    <row r="19" spans="1:7" x14ac:dyDescent="0.35">
      <c r="A19" s="22" t="s">
        <v>4630</v>
      </c>
      <c r="B19" s="30"/>
      <c r="C19" s="30"/>
      <c r="D19" s="42">
        <v>6773182.4700000007</v>
      </c>
      <c r="E19" s="37"/>
      <c r="F19" s="111"/>
    </row>
    <row r="20" spans="1:7" x14ac:dyDescent="0.35">
      <c r="A20" s="22" t="s">
        <v>4631</v>
      </c>
      <c r="B20" s="6">
        <v>19</v>
      </c>
      <c r="C20" s="23">
        <v>0.11</v>
      </c>
      <c r="D20" s="32"/>
    </row>
    <row r="21" spans="1:7" x14ac:dyDescent="0.35">
      <c r="A21" s="22" t="s">
        <v>4632</v>
      </c>
      <c r="B21" s="33"/>
      <c r="C21" s="23">
        <v>0.23</v>
      </c>
      <c r="D21" s="32"/>
      <c r="E21" s="40"/>
    </row>
    <row r="22" spans="1:7" ht="15" thickBot="1" x14ac:dyDescent="0.4">
      <c r="A22" s="25" t="s">
        <v>4633</v>
      </c>
      <c r="B22" s="26">
        <v>14</v>
      </c>
      <c r="C22" s="36">
        <v>0.02</v>
      </c>
      <c r="D22" s="28">
        <v>50706.66</v>
      </c>
    </row>
    <row r="23" spans="1:7" x14ac:dyDescent="0.35">
      <c r="E23" s="37"/>
    </row>
    <row r="27" spans="1:7" x14ac:dyDescent="0.35">
      <c r="B27" s="40"/>
    </row>
  </sheetData>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1D1C7-708F-4BE5-8D15-D60F59640FBC}">
  <sheetPr codeName="Sheet42"/>
  <dimension ref="A1:M27"/>
  <sheetViews>
    <sheetView zoomScale="90" zoomScaleNormal="90" workbookViewId="0">
      <selection activeCell="G16" sqref="G16"/>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659</v>
      </c>
      <c r="C2" s="19">
        <f>B2/$B$7</f>
        <v>0.91527777777777775</v>
      </c>
      <c r="D2" s="20">
        <f>SUM(D3:D5)</f>
        <v>17929152</v>
      </c>
      <c r="E2" s="21">
        <f t="shared" ref="E2:E7" si="0">D2/B2</f>
        <v>27206.603945371775</v>
      </c>
      <c r="G2" s="82" t="s">
        <v>4599</v>
      </c>
      <c r="H2" s="83">
        <v>328</v>
      </c>
      <c r="I2" s="84">
        <f>H2/$H$12</f>
        <v>0.45555555555555555</v>
      </c>
      <c r="J2" s="85"/>
      <c r="K2" s="86">
        <f>L2/$L$12</f>
        <v>0.48170731707317072</v>
      </c>
      <c r="L2" s="83">
        <f t="shared" ref="L2:L9" si="1">H2-H3</f>
        <v>158</v>
      </c>
      <c r="M2" s="87" t="s">
        <v>4600</v>
      </c>
    </row>
    <row r="3" spans="1:13" x14ac:dyDescent="0.35">
      <c r="A3" s="22" t="s">
        <v>13</v>
      </c>
      <c r="B3" s="6">
        <v>537</v>
      </c>
      <c r="C3" s="19">
        <f>B3/$B$7</f>
        <v>0.74583333333333335</v>
      </c>
      <c r="D3" s="24">
        <v>14233652</v>
      </c>
      <c r="E3" s="21">
        <f t="shared" si="0"/>
        <v>26505.869646182495</v>
      </c>
      <c r="F3" s="37"/>
      <c r="G3" s="66" t="s">
        <v>4601</v>
      </c>
      <c r="H3" s="65">
        <v>170</v>
      </c>
      <c r="I3" s="75">
        <f t="shared" ref="I3:I11" si="2">H3/$H$12</f>
        <v>0.2361111111111111</v>
      </c>
      <c r="J3" s="77"/>
      <c r="K3" s="72">
        <f t="shared" ref="K3:K11" si="3">L3/$L$12</f>
        <v>0.24085365853658536</v>
      </c>
      <c r="L3" s="65">
        <f t="shared" si="1"/>
        <v>79</v>
      </c>
      <c r="M3" s="69" t="s">
        <v>4602</v>
      </c>
    </row>
    <row r="4" spans="1:13" x14ac:dyDescent="0.35">
      <c r="A4" s="22" t="s">
        <v>55</v>
      </c>
      <c r="B4" s="6">
        <v>22</v>
      </c>
      <c r="C4" s="19">
        <f>B4/$B$7</f>
        <v>3.0555555555555555E-2</v>
      </c>
      <c r="D4" s="24">
        <v>312000</v>
      </c>
      <c r="E4" s="21">
        <f t="shared" si="0"/>
        <v>14181.818181818182</v>
      </c>
      <c r="G4" s="88" t="s">
        <v>4603</v>
      </c>
      <c r="H4" s="89">
        <v>91</v>
      </c>
      <c r="I4" s="90">
        <f t="shared" si="2"/>
        <v>0.12638888888888888</v>
      </c>
      <c r="J4" s="85"/>
      <c r="K4" s="91">
        <f t="shared" si="3"/>
        <v>0.10670731707317073</v>
      </c>
      <c r="L4" s="89">
        <f t="shared" si="1"/>
        <v>35</v>
      </c>
      <c r="M4" s="92" t="s">
        <v>4604</v>
      </c>
    </row>
    <row r="5" spans="1:13" x14ac:dyDescent="0.35">
      <c r="A5" s="22" t="s">
        <v>70</v>
      </c>
      <c r="B5" s="6">
        <v>100</v>
      </c>
      <c r="C5" s="19">
        <f>B5/$B$7</f>
        <v>0.1388888888888889</v>
      </c>
      <c r="D5" s="24">
        <v>3383500</v>
      </c>
      <c r="E5" s="21">
        <f t="shared" si="0"/>
        <v>33835</v>
      </c>
      <c r="F5" s="37"/>
      <c r="G5" s="66" t="s">
        <v>4605</v>
      </c>
      <c r="H5" s="65">
        <v>56</v>
      </c>
      <c r="I5" s="75">
        <f t="shared" si="2"/>
        <v>7.7777777777777779E-2</v>
      </c>
      <c r="J5" s="77"/>
      <c r="K5" s="72">
        <f t="shared" si="3"/>
        <v>7.3170731707317069E-2</v>
      </c>
      <c r="L5" s="65">
        <f t="shared" si="1"/>
        <v>24</v>
      </c>
      <c r="M5" s="69" t="s">
        <v>4606</v>
      </c>
    </row>
    <row r="6" spans="1:13" x14ac:dyDescent="0.35">
      <c r="A6" s="22" t="s">
        <v>4648</v>
      </c>
      <c r="B6" s="6">
        <v>61</v>
      </c>
      <c r="C6" s="19">
        <f>B6/$B$7</f>
        <v>8.4722222222222227E-2</v>
      </c>
      <c r="D6" s="24">
        <v>326700</v>
      </c>
      <c r="E6" s="21">
        <f t="shared" si="0"/>
        <v>5355.7377049180332</v>
      </c>
      <c r="G6" s="88" t="s">
        <v>4607</v>
      </c>
      <c r="H6" s="89">
        <v>32</v>
      </c>
      <c r="I6" s="90">
        <f t="shared" si="2"/>
        <v>4.4444444444444446E-2</v>
      </c>
      <c r="J6" s="85"/>
      <c r="K6" s="91">
        <f t="shared" si="3"/>
        <v>3.9634146341463415E-2</v>
      </c>
      <c r="L6" s="89">
        <f t="shared" si="1"/>
        <v>13</v>
      </c>
      <c r="M6" s="92" t="s">
        <v>4608</v>
      </c>
    </row>
    <row r="7" spans="1:13" ht="15" thickBot="1" x14ac:dyDescent="0.4">
      <c r="A7" s="55" t="s">
        <v>633</v>
      </c>
      <c r="B7" s="56">
        <f>B2+B6</f>
        <v>720</v>
      </c>
      <c r="C7" s="56"/>
      <c r="D7" s="53">
        <f>D2+D6</f>
        <v>18255852</v>
      </c>
      <c r="E7" s="54">
        <f t="shared" si="0"/>
        <v>25355.35</v>
      </c>
      <c r="G7" s="66" t="s">
        <v>4609</v>
      </c>
      <c r="H7" s="65">
        <v>19</v>
      </c>
      <c r="I7" s="75">
        <f t="shared" si="2"/>
        <v>2.6388888888888889E-2</v>
      </c>
      <c r="J7" s="77"/>
      <c r="K7" s="72">
        <f t="shared" si="3"/>
        <v>2.4390243902439025E-2</v>
      </c>
      <c r="L7" s="65">
        <f t="shared" si="1"/>
        <v>8</v>
      </c>
      <c r="M7" s="69" t="s">
        <v>4610</v>
      </c>
    </row>
    <row r="8" spans="1:13" ht="15" thickBot="1" x14ac:dyDescent="0.4">
      <c r="G8" s="88" t="s">
        <v>4611</v>
      </c>
      <c r="H8" s="89">
        <v>11</v>
      </c>
      <c r="I8" s="90">
        <f t="shared" si="2"/>
        <v>1.5277777777777777E-2</v>
      </c>
      <c r="J8" s="85"/>
      <c r="K8" s="91">
        <f t="shared" si="3"/>
        <v>1.2195121951219513E-2</v>
      </c>
      <c r="L8" s="89">
        <f t="shared" si="1"/>
        <v>4</v>
      </c>
      <c r="M8" s="92" t="s">
        <v>4612</v>
      </c>
    </row>
    <row r="9" spans="1:13" x14ac:dyDescent="0.35">
      <c r="A9" s="29" t="s">
        <v>4615</v>
      </c>
      <c r="B9" s="13" t="s">
        <v>4592</v>
      </c>
      <c r="C9" s="100" t="s">
        <v>4593</v>
      </c>
      <c r="G9" s="66" t="s">
        <v>4613</v>
      </c>
      <c r="H9" s="65">
        <v>7</v>
      </c>
      <c r="I9" s="75">
        <f t="shared" si="2"/>
        <v>9.7222222222222224E-3</v>
      </c>
      <c r="J9" s="77"/>
      <c r="K9" s="72">
        <f t="shared" si="3"/>
        <v>1.524390243902439E-2</v>
      </c>
      <c r="L9" s="65">
        <f t="shared" si="1"/>
        <v>5</v>
      </c>
      <c r="M9" s="69" t="s">
        <v>4614</v>
      </c>
    </row>
    <row r="10" spans="1:13" x14ac:dyDescent="0.35">
      <c r="A10" s="17" t="s">
        <v>4618</v>
      </c>
      <c r="B10" s="6">
        <v>2</v>
      </c>
      <c r="C10" s="31"/>
      <c r="G10" s="88" t="s">
        <v>4616</v>
      </c>
      <c r="H10" s="89">
        <v>2</v>
      </c>
      <c r="I10" s="90">
        <f t="shared" si="2"/>
        <v>2.7777777777777779E-3</v>
      </c>
      <c r="J10" s="85"/>
      <c r="K10" s="91">
        <f t="shared" si="3"/>
        <v>0</v>
      </c>
      <c r="L10" s="89">
        <v>0</v>
      </c>
      <c r="M10" s="92" t="s">
        <v>4617</v>
      </c>
    </row>
    <row r="11" spans="1:13" ht="15" thickBot="1" x14ac:dyDescent="0.4">
      <c r="A11" s="101" t="s">
        <v>4621</v>
      </c>
      <c r="B11" s="26">
        <v>365</v>
      </c>
      <c r="C11" s="104">
        <f>B11/827</f>
        <v>0.44135429262394194</v>
      </c>
      <c r="G11" s="67" t="s">
        <v>4619</v>
      </c>
      <c r="H11" s="74">
        <v>4</v>
      </c>
      <c r="I11" s="76">
        <f t="shared" si="2"/>
        <v>5.5555555555555558E-3</v>
      </c>
      <c r="J11" s="77"/>
      <c r="K11" s="73">
        <f t="shared" si="3"/>
        <v>6.0975609756097563E-3</v>
      </c>
      <c r="L11" s="74">
        <v>2</v>
      </c>
      <c r="M11" s="70" t="s">
        <v>4620</v>
      </c>
    </row>
    <row r="12" spans="1:13" ht="15" thickBot="1" x14ac:dyDescent="0.4">
      <c r="A12" s="103" t="s">
        <v>4624</v>
      </c>
      <c r="G12" s="93" t="s">
        <v>4622</v>
      </c>
      <c r="H12" s="78">
        <f>SUM(H2:H11)</f>
        <v>720</v>
      </c>
      <c r="I12" s="79">
        <f>SUM(I2:I11)</f>
        <v>0.99999999999999978</v>
      </c>
      <c r="J12" s="71"/>
      <c r="K12" s="80">
        <f>SUM(K2:K11)</f>
        <v>1</v>
      </c>
      <c r="L12" s="81">
        <f>SUM(L2:L11)</f>
        <v>328</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170</v>
      </c>
      <c r="C15" s="30"/>
      <c r="D15" s="31"/>
    </row>
    <row r="16" spans="1:13" x14ac:dyDescent="0.35">
      <c r="A16" s="22" t="s">
        <v>4626</v>
      </c>
      <c r="B16" s="30"/>
      <c r="C16" s="52">
        <v>0.98</v>
      </c>
      <c r="D16" s="42">
        <v>11565769</v>
      </c>
    </row>
    <row r="17" spans="1:6" x14ac:dyDescent="0.35">
      <c r="A17" s="22" t="s">
        <v>4628</v>
      </c>
      <c r="B17" s="30"/>
      <c r="C17" s="34">
        <v>0.02</v>
      </c>
      <c r="D17" s="42">
        <v>287525</v>
      </c>
      <c r="E17" s="37"/>
      <c r="F17" s="34"/>
    </row>
    <row r="18" spans="1:6" x14ac:dyDescent="0.35">
      <c r="A18" s="22" t="s">
        <v>4629</v>
      </c>
      <c r="B18" s="30"/>
      <c r="C18" s="23">
        <v>0.06</v>
      </c>
      <c r="D18" s="42">
        <v>383367</v>
      </c>
    </row>
    <row r="19" spans="1:6" x14ac:dyDescent="0.35">
      <c r="A19" s="22" t="s">
        <v>4630</v>
      </c>
      <c r="B19" s="30"/>
      <c r="C19" s="30"/>
      <c r="D19" s="42">
        <v>6690083</v>
      </c>
      <c r="E19" s="37"/>
      <c r="F19" s="111"/>
    </row>
    <row r="20" spans="1:6" x14ac:dyDescent="0.35">
      <c r="A20" s="22" t="s">
        <v>4631</v>
      </c>
      <c r="B20" s="6">
        <v>19</v>
      </c>
      <c r="C20" s="23">
        <v>0.11</v>
      </c>
      <c r="D20" s="32"/>
    </row>
    <row r="21" spans="1:6" x14ac:dyDescent="0.35">
      <c r="A21" s="22" t="s">
        <v>4632</v>
      </c>
      <c r="B21" s="33"/>
      <c r="C21" s="23">
        <v>0.23</v>
      </c>
      <c r="D21" s="32"/>
      <c r="E21" s="40"/>
    </row>
    <row r="22" spans="1:6" ht="15" thickBot="1" x14ac:dyDescent="0.4">
      <c r="A22" s="25" t="s">
        <v>4633</v>
      </c>
      <c r="B22" s="26">
        <v>14</v>
      </c>
      <c r="C22" s="36">
        <v>0.02</v>
      </c>
      <c r="D22" s="28">
        <v>50707</v>
      </c>
    </row>
    <row r="23" spans="1:6" x14ac:dyDescent="0.35">
      <c r="E23" s="37"/>
    </row>
    <row r="27" spans="1:6" x14ac:dyDescent="0.35">
      <c r="B27" s="40"/>
    </row>
  </sheetData>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5155-18CA-4215-BB44-46A39767A908}">
  <sheetPr codeName="Sheet43"/>
  <dimension ref="A1:M27"/>
  <sheetViews>
    <sheetView zoomScale="90" zoomScaleNormal="90" workbookViewId="0">
      <selection activeCell="H2" sqref="H2"/>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651</v>
      </c>
      <c r="C2" s="19">
        <f>B2/$B$7</f>
        <v>0.91561181434599159</v>
      </c>
      <c r="D2" s="20">
        <f>SUM(D3:D5)</f>
        <v>17394152</v>
      </c>
      <c r="E2" s="21">
        <f t="shared" ref="E2:E7" si="0">D2/B2</f>
        <v>26719.127496159756</v>
      </c>
      <c r="G2" s="82" t="s">
        <v>4599</v>
      </c>
      <c r="H2" s="83">
        <v>325</v>
      </c>
      <c r="I2" s="84">
        <f>H2/$H$12</f>
        <v>0.4571026722925457</v>
      </c>
      <c r="J2" s="85"/>
      <c r="K2" s="86">
        <f>L2/$L$12</f>
        <v>0.48307692307692307</v>
      </c>
      <c r="L2" s="83">
        <f t="shared" ref="L2:L9" si="1">H2-H3</f>
        <v>157</v>
      </c>
      <c r="M2" s="87" t="s">
        <v>4600</v>
      </c>
    </row>
    <row r="3" spans="1:13" x14ac:dyDescent="0.35">
      <c r="A3" s="22" t="s">
        <v>13</v>
      </c>
      <c r="B3" s="6">
        <v>529</v>
      </c>
      <c r="C3" s="19">
        <f>B3/$B$7</f>
        <v>0.74402250351617438</v>
      </c>
      <c r="D3" s="24">
        <v>13698652</v>
      </c>
      <c r="E3" s="21">
        <f t="shared" si="0"/>
        <v>25895.372400756143</v>
      </c>
      <c r="F3" s="37"/>
      <c r="G3" s="66" t="s">
        <v>4601</v>
      </c>
      <c r="H3" s="65">
        <v>168</v>
      </c>
      <c r="I3" s="75">
        <f t="shared" ref="I3:I11" si="2">H3/$H$12</f>
        <v>0.23628691983122363</v>
      </c>
      <c r="J3" s="77"/>
      <c r="K3" s="72">
        <f t="shared" ref="K3:K11" si="3">L3/$L$12</f>
        <v>0.24</v>
      </c>
      <c r="L3" s="65">
        <f t="shared" si="1"/>
        <v>78</v>
      </c>
      <c r="M3" s="69" t="s">
        <v>4602</v>
      </c>
    </row>
    <row r="4" spans="1:13" x14ac:dyDescent="0.35">
      <c r="A4" s="22" t="s">
        <v>55</v>
      </c>
      <c r="B4" s="6">
        <v>22</v>
      </c>
      <c r="C4" s="19">
        <f>B4/$B$7</f>
        <v>3.0942334739803096E-2</v>
      </c>
      <c r="D4" s="24">
        <v>312000</v>
      </c>
      <c r="E4" s="21">
        <f t="shared" si="0"/>
        <v>14181.818181818182</v>
      </c>
      <c r="G4" s="88" t="s">
        <v>4603</v>
      </c>
      <c r="H4" s="89">
        <v>90</v>
      </c>
      <c r="I4" s="90">
        <f t="shared" si="2"/>
        <v>0.12658227848101267</v>
      </c>
      <c r="J4" s="85"/>
      <c r="K4" s="91">
        <f t="shared" si="3"/>
        <v>0.11076923076923077</v>
      </c>
      <c r="L4" s="89">
        <f t="shared" si="1"/>
        <v>36</v>
      </c>
      <c r="M4" s="92" t="s">
        <v>4604</v>
      </c>
    </row>
    <row r="5" spans="1:13" x14ac:dyDescent="0.35">
      <c r="A5" s="22" t="s">
        <v>70</v>
      </c>
      <c r="B5" s="6">
        <v>100</v>
      </c>
      <c r="C5" s="19">
        <f>B5/$B$7</f>
        <v>0.14064697609001406</v>
      </c>
      <c r="D5" s="24">
        <v>3383500</v>
      </c>
      <c r="E5" s="21">
        <f t="shared" si="0"/>
        <v>33835</v>
      </c>
      <c r="F5" s="37"/>
      <c r="G5" s="66" t="s">
        <v>4605</v>
      </c>
      <c r="H5" s="65">
        <v>54</v>
      </c>
      <c r="I5" s="75">
        <f t="shared" si="2"/>
        <v>7.5949367088607597E-2</v>
      </c>
      <c r="J5" s="77"/>
      <c r="K5" s="72">
        <f t="shared" si="3"/>
        <v>6.7692307692307691E-2</v>
      </c>
      <c r="L5" s="65">
        <f t="shared" si="1"/>
        <v>22</v>
      </c>
      <c r="M5" s="69" t="s">
        <v>4606</v>
      </c>
    </row>
    <row r="6" spans="1:13" x14ac:dyDescent="0.35">
      <c r="A6" s="22" t="s">
        <v>4648</v>
      </c>
      <c r="B6" s="6">
        <v>60</v>
      </c>
      <c r="C6" s="19">
        <f>B6/$B$7</f>
        <v>8.4388185654008435E-2</v>
      </c>
      <c r="D6" s="24">
        <v>291700</v>
      </c>
      <c r="E6" s="21">
        <f t="shared" si="0"/>
        <v>4861.666666666667</v>
      </c>
      <c r="G6" s="88" t="s">
        <v>4607</v>
      </c>
      <c r="H6" s="89">
        <v>32</v>
      </c>
      <c r="I6" s="90">
        <f t="shared" si="2"/>
        <v>4.5007032348804502E-2</v>
      </c>
      <c r="J6" s="85"/>
      <c r="K6" s="91">
        <f t="shared" si="3"/>
        <v>0.04</v>
      </c>
      <c r="L6" s="89">
        <f t="shared" si="1"/>
        <v>13</v>
      </c>
      <c r="M6" s="92" t="s">
        <v>4608</v>
      </c>
    </row>
    <row r="7" spans="1:13" ht="15" thickBot="1" x14ac:dyDescent="0.4">
      <c r="A7" s="55" t="s">
        <v>633</v>
      </c>
      <c r="B7" s="56">
        <f>B2+B6</f>
        <v>711</v>
      </c>
      <c r="C7" s="56"/>
      <c r="D7" s="53">
        <f>D2+D6</f>
        <v>17685852</v>
      </c>
      <c r="E7" s="54">
        <f t="shared" si="0"/>
        <v>24874.616033755276</v>
      </c>
      <c r="G7" s="66" t="s">
        <v>4609</v>
      </c>
      <c r="H7" s="65">
        <v>19</v>
      </c>
      <c r="I7" s="75">
        <f t="shared" si="2"/>
        <v>2.6722925457102673E-2</v>
      </c>
      <c r="J7" s="77"/>
      <c r="K7" s="72">
        <f t="shared" si="3"/>
        <v>2.4615384615384615E-2</v>
      </c>
      <c r="L7" s="65">
        <f t="shared" si="1"/>
        <v>8</v>
      </c>
      <c r="M7" s="69" t="s">
        <v>4610</v>
      </c>
    </row>
    <row r="8" spans="1:13" ht="15" thickBot="1" x14ac:dyDescent="0.4">
      <c r="G8" s="88" t="s">
        <v>4611</v>
      </c>
      <c r="H8" s="89">
        <v>11</v>
      </c>
      <c r="I8" s="90">
        <f t="shared" si="2"/>
        <v>1.5471167369901548E-2</v>
      </c>
      <c r="J8" s="85"/>
      <c r="K8" s="91">
        <f t="shared" si="3"/>
        <v>1.2307692307692308E-2</v>
      </c>
      <c r="L8" s="89">
        <f t="shared" si="1"/>
        <v>4</v>
      </c>
      <c r="M8" s="92" t="s">
        <v>4612</v>
      </c>
    </row>
    <row r="9" spans="1:13" x14ac:dyDescent="0.35">
      <c r="A9" s="29" t="s">
        <v>4615</v>
      </c>
      <c r="B9" s="13" t="s">
        <v>4592</v>
      </c>
      <c r="C9" s="100" t="s">
        <v>4593</v>
      </c>
      <c r="G9" s="66" t="s">
        <v>4613</v>
      </c>
      <c r="H9" s="65">
        <v>7</v>
      </c>
      <c r="I9" s="75">
        <f t="shared" si="2"/>
        <v>9.8452883263009851E-3</v>
      </c>
      <c r="J9" s="77"/>
      <c r="K9" s="72">
        <f t="shared" si="3"/>
        <v>1.5384615384615385E-2</v>
      </c>
      <c r="L9" s="65">
        <f t="shared" si="1"/>
        <v>5</v>
      </c>
      <c r="M9" s="69" t="s">
        <v>4614</v>
      </c>
    </row>
    <row r="10" spans="1:13" x14ac:dyDescent="0.35">
      <c r="A10" s="17" t="s">
        <v>4618</v>
      </c>
      <c r="B10" s="6">
        <v>6</v>
      </c>
      <c r="C10" s="31"/>
      <c r="G10" s="88" t="s">
        <v>4616</v>
      </c>
      <c r="H10" s="89">
        <v>2</v>
      </c>
      <c r="I10" s="90">
        <f t="shared" si="2"/>
        <v>2.8129395218002813E-3</v>
      </c>
      <c r="J10" s="85"/>
      <c r="K10" s="91">
        <f t="shared" si="3"/>
        <v>0</v>
      </c>
      <c r="L10" s="89">
        <v>0</v>
      </c>
      <c r="M10" s="92" t="s">
        <v>4617</v>
      </c>
    </row>
    <row r="11" spans="1:13" ht="15" thickBot="1" x14ac:dyDescent="0.4">
      <c r="A11" s="101" t="s">
        <v>4621</v>
      </c>
      <c r="B11" s="26">
        <v>363</v>
      </c>
      <c r="C11" s="104">
        <f>B11/827</f>
        <v>0.43893591293833134</v>
      </c>
      <c r="G11" s="67" t="s">
        <v>4619</v>
      </c>
      <c r="H11" s="74">
        <v>3</v>
      </c>
      <c r="I11" s="76">
        <f t="shared" si="2"/>
        <v>4.2194092827004216E-3</v>
      </c>
      <c r="J11" s="77"/>
      <c r="K11" s="73">
        <f t="shared" si="3"/>
        <v>6.1538461538461538E-3</v>
      </c>
      <c r="L11" s="74">
        <v>2</v>
      </c>
      <c r="M11" s="70" t="s">
        <v>4620</v>
      </c>
    </row>
    <row r="12" spans="1:13" ht="15" thickBot="1" x14ac:dyDescent="0.4">
      <c r="A12" s="103" t="s">
        <v>4624</v>
      </c>
      <c r="G12" s="93" t="s">
        <v>4622</v>
      </c>
      <c r="H12" s="78">
        <f>SUM(H2:H11)</f>
        <v>711</v>
      </c>
      <c r="I12" s="79">
        <f>SUM(I2:I11)</f>
        <v>0.99999999999999989</v>
      </c>
      <c r="J12" s="71"/>
      <c r="K12" s="80">
        <f>SUM(K2:K11)</f>
        <v>1</v>
      </c>
      <c r="L12" s="81">
        <f>SUM(L2:L11)</f>
        <v>325</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176</v>
      </c>
      <c r="C15" s="30"/>
      <c r="D15" s="31"/>
    </row>
    <row r="16" spans="1:13" x14ac:dyDescent="0.35">
      <c r="A16" s="22" t="s">
        <v>4626</v>
      </c>
      <c r="B16" s="30"/>
      <c r="C16" s="52">
        <v>0.98162438725201706</v>
      </c>
      <c r="D16" s="42">
        <v>11467341</v>
      </c>
    </row>
    <row r="17" spans="1:6" x14ac:dyDescent="0.35">
      <c r="A17" s="22" t="s">
        <v>4628</v>
      </c>
      <c r="B17" s="30"/>
      <c r="C17" s="34">
        <v>1.8375612747982901E-2</v>
      </c>
      <c r="D17" s="42">
        <v>214664</v>
      </c>
      <c r="E17" s="37"/>
      <c r="F17" s="34"/>
    </row>
    <row r="18" spans="1:6" x14ac:dyDescent="0.35">
      <c r="A18" s="22" t="s">
        <v>4629</v>
      </c>
      <c r="B18" s="30"/>
      <c r="C18" s="23">
        <v>5.5314688677080413E-2</v>
      </c>
      <c r="D18" s="42">
        <v>343975</v>
      </c>
    </row>
    <row r="19" spans="1:6" x14ac:dyDescent="0.35">
      <c r="A19" s="22" t="s">
        <v>4630</v>
      </c>
      <c r="B19" s="30"/>
      <c r="C19" s="30"/>
      <c r="D19" s="42">
        <v>6218511</v>
      </c>
      <c r="E19" s="37"/>
      <c r="F19" s="111"/>
    </row>
    <row r="20" spans="1:6" x14ac:dyDescent="0.35">
      <c r="A20" s="22" t="s">
        <v>4631</v>
      </c>
      <c r="B20" s="6">
        <v>16</v>
      </c>
      <c r="C20" s="23">
        <v>0.09</v>
      </c>
      <c r="D20" s="32"/>
    </row>
    <row r="21" spans="1:6" x14ac:dyDescent="0.35">
      <c r="A21" s="22" t="s">
        <v>4632</v>
      </c>
      <c r="B21" s="33"/>
      <c r="C21" s="23">
        <v>0.23</v>
      </c>
      <c r="D21" s="32"/>
      <c r="E21" s="40"/>
    </row>
    <row r="22" spans="1:6" ht="15" thickBot="1" x14ac:dyDescent="0.4">
      <c r="A22" s="25" t="s">
        <v>4633</v>
      </c>
      <c r="B22" s="26">
        <v>14</v>
      </c>
      <c r="C22" s="36">
        <v>0.02</v>
      </c>
      <c r="D22" s="28">
        <v>50706.66</v>
      </c>
    </row>
    <row r="23" spans="1:6" x14ac:dyDescent="0.35">
      <c r="E23" s="37"/>
    </row>
    <row r="27" spans="1:6" x14ac:dyDescent="0.35">
      <c r="B27" s="40"/>
    </row>
  </sheetData>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C01A-6C80-41E5-B78C-B4404A261D41}">
  <sheetPr codeName="Sheet44"/>
  <dimension ref="A1:M22"/>
  <sheetViews>
    <sheetView topLeftCell="A4" zoomScaleNormal="100" workbookViewId="0">
      <selection activeCell="D16" sqref="D16"/>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639</v>
      </c>
      <c r="C2" s="19">
        <f>B2/$B$7</f>
        <v>0.91547277936962745</v>
      </c>
      <c r="D2" s="20">
        <f>SUM(D3:D5)</f>
        <v>16644152</v>
      </c>
      <c r="E2" s="21">
        <f t="shared" ref="E2:E7" si="0">D2/B2</f>
        <v>26047.186228482002</v>
      </c>
      <c r="G2" s="82" t="s">
        <v>4599</v>
      </c>
      <c r="H2" s="83">
        <v>319</v>
      </c>
      <c r="I2" s="84">
        <f>H2/$H$12</f>
        <v>0.45702005730659023</v>
      </c>
      <c r="J2" s="85"/>
      <c r="K2" s="86">
        <f>L2/$L$12</f>
        <v>0.47962382445141066</v>
      </c>
      <c r="L2" s="83">
        <f t="shared" ref="L2:L9" si="1">H2-H3</f>
        <v>153</v>
      </c>
      <c r="M2" s="87" t="s">
        <v>4600</v>
      </c>
    </row>
    <row r="3" spans="1:13" x14ac:dyDescent="0.35">
      <c r="A3" s="22" t="s">
        <v>13</v>
      </c>
      <c r="B3" s="6">
        <v>522</v>
      </c>
      <c r="C3" s="19">
        <f>B3/$B$7</f>
        <v>0.74785100286532946</v>
      </c>
      <c r="D3" s="24">
        <v>13248652</v>
      </c>
      <c r="E3" s="21">
        <f t="shared" si="0"/>
        <v>25380.559386973178</v>
      </c>
      <c r="F3" s="37"/>
      <c r="G3" s="66" t="s">
        <v>4601</v>
      </c>
      <c r="H3" s="65">
        <v>166</v>
      </c>
      <c r="I3" s="75">
        <f t="shared" ref="I3:I11" si="2">H3/$H$12</f>
        <v>0.23782234957020057</v>
      </c>
      <c r="J3" s="77"/>
      <c r="K3" s="72">
        <f t="shared" ref="K3:K11" si="3">L3/$L$12</f>
        <v>0.2413793103448276</v>
      </c>
      <c r="L3" s="65">
        <f t="shared" si="1"/>
        <v>77</v>
      </c>
      <c r="M3" s="69" t="s">
        <v>4602</v>
      </c>
    </row>
    <row r="4" spans="1:13" x14ac:dyDescent="0.35">
      <c r="A4" s="22" t="s">
        <v>55</v>
      </c>
      <c r="B4" s="6">
        <v>22</v>
      </c>
      <c r="C4" s="19">
        <f>B4/$B$7</f>
        <v>3.151862464183381E-2</v>
      </c>
      <c r="D4" s="24">
        <v>312000</v>
      </c>
      <c r="E4" s="21">
        <f t="shared" si="0"/>
        <v>14181.818181818182</v>
      </c>
      <c r="G4" s="88" t="s">
        <v>4603</v>
      </c>
      <c r="H4" s="89">
        <v>89</v>
      </c>
      <c r="I4" s="90">
        <f t="shared" si="2"/>
        <v>0.12750716332378223</v>
      </c>
      <c r="J4" s="85"/>
      <c r="K4" s="91">
        <f t="shared" si="3"/>
        <v>0.109717868338558</v>
      </c>
      <c r="L4" s="89">
        <f t="shared" si="1"/>
        <v>35</v>
      </c>
      <c r="M4" s="92" t="s">
        <v>4604</v>
      </c>
    </row>
    <row r="5" spans="1:13" x14ac:dyDescent="0.35">
      <c r="A5" s="22" t="s">
        <v>70</v>
      </c>
      <c r="B5" s="6">
        <v>95</v>
      </c>
      <c r="C5" s="19">
        <f>B5/$B$7</f>
        <v>0.13610315186246419</v>
      </c>
      <c r="D5" s="24">
        <v>3083500</v>
      </c>
      <c r="E5" s="21">
        <f t="shared" si="0"/>
        <v>32457.894736842107</v>
      </c>
      <c r="F5" s="37"/>
      <c r="G5" s="66" t="s">
        <v>4605</v>
      </c>
      <c r="H5" s="65">
        <v>54</v>
      </c>
      <c r="I5" s="75">
        <f t="shared" si="2"/>
        <v>7.7363896848137534E-2</v>
      </c>
      <c r="J5" s="77"/>
      <c r="K5" s="72">
        <f t="shared" si="3"/>
        <v>7.8369905956112859E-2</v>
      </c>
      <c r="L5" s="65">
        <f t="shared" si="1"/>
        <v>25</v>
      </c>
      <c r="M5" s="69" t="s">
        <v>4606</v>
      </c>
    </row>
    <row r="6" spans="1:13" x14ac:dyDescent="0.35">
      <c r="A6" s="22" t="s">
        <v>4648</v>
      </c>
      <c r="B6" s="6">
        <v>59</v>
      </c>
      <c r="C6" s="19">
        <f>B6/$B$7</f>
        <v>8.452722063037249E-2</v>
      </c>
      <c r="D6" s="24">
        <v>288700</v>
      </c>
      <c r="E6" s="21">
        <f t="shared" si="0"/>
        <v>4893.2203389830511</v>
      </c>
      <c r="G6" s="88" t="s">
        <v>4607</v>
      </c>
      <c r="H6" s="89">
        <v>29</v>
      </c>
      <c r="I6" s="90">
        <f t="shared" si="2"/>
        <v>4.1547277936962751E-2</v>
      </c>
      <c r="J6" s="85"/>
      <c r="K6" s="91">
        <f t="shared" si="3"/>
        <v>3.4482758620689655E-2</v>
      </c>
      <c r="L6" s="89">
        <f t="shared" si="1"/>
        <v>11</v>
      </c>
      <c r="M6" s="92" t="s">
        <v>4608</v>
      </c>
    </row>
    <row r="7" spans="1:13" ht="15" thickBot="1" x14ac:dyDescent="0.4">
      <c r="A7" s="55" t="s">
        <v>633</v>
      </c>
      <c r="B7" s="56">
        <f>B2+B6</f>
        <v>698</v>
      </c>
      <c r="C7" s="56"/>
      <c r="D7" s="53">
        <f>D2+D6</f>
        <v>16932852</v>
      </c>
      <c r="E7" s="54">
        <f t="shared" si="0"/>
        <v>24259.10028653295</v>
      </c>
      <c r="G7" s="66" t="s">
        <v>4609</v>
      </c>
      <c r="H7" s="65">
        <v>18</v>
      </c>
      <c r="I7" s="75">
        <f t="shared" si="2"/>
        <v>2.5787965616045846E-2</v>
      </c>
      <c r="J7" s="77"/>
      <c r="K7" s="72">
        <f t="shared" si="3"/>
        <v>2.1943573667711599E-2</v>
      </c>
      <c r="L7" s="65">
        <f t="shared" si="1"/>
        <v>7</v>
      </c>
      <c r="M7" s="69" t="s">
        <v>4610</v>
      </c>
    </row>
    <row r="8" spans="1:13" ht="15" thickBot="1" x14ac:dyDescent="0.4">
      <c r="G8" s="88" t="s">
        <v>4611</v>
      </c>
      <c r="H8" s="89">
        <v>11</v>
      </c>
      <c r="I8" s="90">
        <f t="shared" si="2"/>
        <v>1.5759312320916905E-2</v>
      </c>
      <c r="J8" s="85"/>
      <c r="K8" s="91">
        <f t="shared" si="3"/>
        <v>1.2539184952978056E-2</v>
      </c>
      <c r="L8" s="89">
        <f t="shared" si="1"/>
        <v>4</v>
      </c>
      <c r="M8" s="92" t="s">
        <v>4612</v>
      </c>
    </row>
    <row r="9" spans="1:13" x14ac:dyDescent="0.35">
      <c r="A9" s="29" t="s">
        <v>4615</v>
      </c>
      <c r="B9" s="13" t="s">
        <v>4592</v>
      </c>
      <c r="C9" s="100" t="s">
        <v>4593</v>
      </c>
      <c r="G9" s="66" t="s">
        <v>4613</v>
      </c>
      <c r="H9" s="65">
        <v>7</v>
      </c>
      <c r="I9" s="75">
        <f t="shared" si="2"/>
        <v>1.0028653295128941E-2</v>
      </c>
      <c r="J9" s="77"/>
      <c r="K9" s="72">
        <f t="shared" si="3"/>
        <v>1.5673981191222569E-2</v>
      </c>
      <c r="L9" s="65">
        <f t="shared" si="1"/>
        <v>5</v>
      </c>
      <c r="M9" s="69" t="s">
        <v>4614</v>
      </c>
    </row>
    <row r="10" spans="1:13" x14ac:dyDescent="0.35">
      <c r="A10" s="17" t="s">
        <v>4618</v>
      </c>
      <c r="B10" s="6">
        <v>3</v>
      </c>
      <c r="C10" s="31"/>
      <c r="G10" s="88" t="s">
        <v>4616</v>
      </c>
      <c r="H10" s="89">
        <v>2</v>
      </c>
      <c r="I10" s="90">
        <f t="shared" si="2"/>
        <v>2.8653295128939827E-3</v>
      </c>
      <c r="J10" s="85"/>
      <c r="K10" s="91">
        <f t="shared" si="3"/>
        <v>0</v>
      </c>
      <c r="L10" s="89">
        <v>0</v>
      </c>
      <c r="M10" s="92" t="s">
        <v>4617</v>
      </c>
    </row>
    <row r="11" spans="1:13" ht="15" thickBot="1" x14ac:dyDescent="0.4">
      <c r="A11" s="101" t="s">
        <v>4621</v>
      </c>
      <c r="B11" s="26">
        <v>357</v>
      </c>
      <c r="C11" s="104">
        <f>B11/800</f>
        <v>0.44624999999999998</v>
      </c>
      <c r="G11" s="67" t="s">
        <v>4619</v>
      </c>
      <c r="H11" s="74">
        <v>3</v>
      </c>
      <c r="I11" s="76">
        <f t="shared" si="2"/>
        <v>4.2979942693409743E-3</v>
      </c>
      <c r="J11" s="77"/>
      <c r="K11" s="73">
        <f t="shared" si="3"/>
        <v>6.269592476489028E-3</v>
      </c>
      <c r="L11" s="74">
        <v>2</v>
      </c>
      <c r="M11" s="70" t="s">
        <v>4620</v>
      </c>
    </row>
    <row r="12" spans="1:13" ht="15" thickBot="1" x14ac:dyDescent="0.4">
      <c r="A12" s="103" t="s">
        <v>4624</v>
      </c>
      <c r="G12" s="93" t="s">
        <v>4622</v>
      </c>
      <c r="H12" s="78">
        <f>SUM(H2:H11)</f>
        <v>698</v>
      </c>
      <c r="I12" s="79">
        <f>SUM(I2:I11)</f>
        <v>0.99999999999999978</v>
      </c>
      <c r="J12" s="71"/>
      <c r="K12" s="80">
        <f>SUM(K2:K11)</f>
        <v>0.99999999999999989</v>
      </c>
      <c r="L12" s="81">
        <f>SUM(L2:L11)</f>
        <v>319</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175</v>
      </c>
      <c r="C15" s="30"/>
      <c r="D15" s="31"/>
      <c r="G15" s="37"/>
    </row>
    <row r="16" spans="1:13" x14ac:dyDescent="0.35">
      <c r="A16" s="22" t="s">
        <v>4626</v>
      </c>
      <c r="B16" s="30"/>
      <c r="C16" s="52">
        <v>0.9406407624182419</v>
      </c>
      <c r="D16" s="42">
        <v>11455841.439999996</v>
      </c>
      <c r="G16" s="37"/>
    </row>
    <row r="17" spans="1:7" x14ac:dyDescent="0.35">
      <c r="A17" s="22" t="s">
        <v>4628</v>
      </c>
      <c r="B17" s="30"/>
      <c r="C17" s="34">
        <v>5.5534013139759246E-2</v>
      </c>
      <c r="D17" s="42">
        <v>296665.39500000002</v>
      </c>
      <c r="F17" s="34"/>
      <c r="G17" s="37"/>
    </row>
    <row r="18" spans="1:7" x14ac:dyDescent="0.35">
      <c r="A18" s="22" t="s">
        <v>4629</v>
      </c>
      <c r="B18" s="30"/>
      <c r="C18" s="23">
        <v>5.7776607244664505E-2</v>
      </c>
      <c r="D18" s="42">
        <v>316443.08799999999</v>
      </c>
      <c r="G18" s="37"/>
    </row>
    <row r="19" spans="1:7" x14ac:dyDescent="0.35">
      <c r="A19" s="22" t="s">
        <v>4630</v>
      </c>
      <c r="B19" s="30"/>
      <c r="C19" s="30"/>
      <c r="D19" s="42">
        <v>5477010.5599999996</v>
      </c>
      <c r="G19" s="37"/>
    </row>
    <row r="20" spans="1:7" x14ac:dyDescent="0.35">
      <c r="A20" s="22" t="s">
        <v>4631</v>
      </c>
      <c r="B20" s="6">
        <v>18</v>
      </c>
      <c r="C20" s="23">
        <v>0.1</v>
      </c>
      <c r="D20" s="32"/>
    </row>
    <row r="21" spans="1:7" x14ac:dyDescent="0.35">
      <c r="A21" s="22" t="s">
        <v>4632</v>
      </c>
      <c r="B21" s="33"/>
      <c r="C21" s="23">
        <v>0.23</v>
      </c>
      <c r="D21" s="32"/>
    </row>
    <row r="22" spans="1:7" ht="15" thickBot="1" x14ac:dyDescent="0.4">
      <c r="A22" s="25" t="s">
        <v>4633</v>
      </c>
      <c r="B22" s="26">
        <v>14</v>
      </c>
      <c r="C22" s="36">
        <v>0.02</v>
      </c>
      <c r="D22" s="28">
        <v>50706.66</v>
      </c>
    </row>
  </sheetData>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2CEE-C31C-4C2A-82BB-E53BA070BEE0}">
  <sheetPr codeName="Sheet45"/>
  <dimension ref="A1:M22"/>
  <sheetViews>
    <sheetView zoomScaleNormal="100" workbookViewId="0">
      <selection activeCell="D19" activeCellId="1" sqref="D16 D19"/>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633</v>
      </c>
      <c r="C2" s="19">
        <f>B2/$B$7</f>
        <v>0.91739130434782612</v>
      </c>
      <c r="D2" s="20">
        <f>SUM(D3:D5)</f>
        <v>16218152</v>
      </c>
      <c r="E2" s="21">
        <f t="shared" ref="E2:E7" si="0">D2/B2</f>
        <v>25621.093206951027</v>
      </c>
      <c r="G2" s="82" t="s">
        <v>4599</v>
      </c>
      <c r="H2" s="83">
        <v>318</v>
      </c>
      <c r="I2" s="84">
        <f>H2/$H$12</f>
        <v>0.46086956521739131</v>
      </c>
      <c r="J2" s="85"/>
      <c r="K2" s="86">
        <f>L2/$L$12</f>
        <v>0.49056603773584906</v>
      </c>
      <c r="L2" s="83">
        <f t="shared" ref="L2:L9" si="1">H2-H3</f>
        <v>156</v>
      </c>
      <c r="M2" s="87" t="s">
        <v>4600</v>
      </c>
    </row>
    <row r="3" spans="1:13" x14ac:dyDescent="0.35">
      <c r="A3" s="22" t="s">
        <v>13</v>
      </c>
      <c r="B3" s="6">
        <v>519</v>
      </c>
      <c r="C3" s="19">
        <f>B3/$B$7</f>
        <v>0.75217391304347825</v>
      </c>
      <c r="D3" s="24">
        <v>12918652</v>
      </c>
      <c r="E3" s="21">
        <f t="shared" si="0"/>
        <v>24891.429672447015</v>
      </c>
      <c r="F3" s="37"/>
      <c r="G3" s="66" t="s">
        <v>4601</v>
      </c>
      <c r="H3" s="65">
        <v>162</v>
      </c>
      <c r="I3" s="75">
        <f t="shared" ref="I3:I11" si="2">H3/$H$12</f>
        <v>0.23478260869565218</v>
      </c>
      <c r="J3" s="77"/>
      <c r="K3" s="72">
        <f t="shared" ref="K3:K11" si="3">L3/$L$12</f>
        <v>0.22955974842767296</v>
      </c>
      <c r="L3" s="65">
        <f t="shared" si="1"/>
        <v>73</v>
      </c>
      <c r="M3" s="69" t="s">
        <v>4602</v>
      </c>
    </row>
    <row r="4" spans="1:13" x14ac:dyDescent="0.35">
      <c r="A4" s="22" t="s">
        <v>55</v>
      </c>
      <c r="B4" s="6">
        <v>22</v>
      </c>
      <c r="C4" s="19">
        <f>B4/$B$7</f>
        <v>3.1884057971014491E-2</v>
      </c>
      <c r="D4" s="24">
        <v>312000</v>
      </c>
      <c r="E4" s="21">
        <f t="shared" si="0"/>
        <v>14181.818181818182</v>
      </c>
      <c r="G4" s="88" t="s">
        <v>4603</v>
      </c>
      <c r="H4" s="89">
        <v>89</v>
      </c>
      <c r="I4" s="90">
        <f t="shared" si="2"/>
        <v>0.12898550724637681</v>
      </c>
      <c r="J4" s="85"/>
      <c r="K4" s="91">
        <f t="shared" si="3"/>
        <v>0.11006289308176101</v>
      </c>
      <c r="L4" s="89">
        <f t="shared" si="1"/>
        <v>35</v>
      </c>
      <c r="M4" s="92" t="s">
        <v>4604</v>
      </c>
    </row>
    <row r="5" spans="1:13" x14ac:dyDescent="0.35">
      <c r="A5" s="22" t="s">
        <v>70</v>
      </c>
      <c r="B5" s="6">
        <v>92</v>
      </c>
      <c r="C5" s="19">
        <f>B5/$B$7</f>
        <v>0.13333333333333333</v>
      </c>
      <c r="D5" s="24">
        <v>2987500</v>
      </c>
      <c r="E5" s="21">
        <f t="shared" si="0"/>
        <v>32472.82608695652</v>
      </c>
      <c r="F5" s="37"/>
      <c r="G5" s="66" t="s">
        <v>4605</v>
      </c>
      <c r="H5" s="65">
        <v>54</v>
      </c>
      <c r="I5" s="75">
        <f t="shared" si="2"/>
        <v>7.8260869565217397E-2</v>
      </c>
      <c r="J5" s="77"/>
      <c r="K5" s="72">
        <f t="shared" si="3"/>
        <v>8.1761006289308172E-2</v>
      </c>
      <c r="L5" s="65">
        <f t="shared" si="1"/>
        <v>26</v>
      </c>
      <c r="M5" s="69" t="s">
        <v>4606</v>
      </c>
    </row>
    <row r="6" spans="1:13" x14ac:dyDescent="0.35">
      <c r="A6" s="22" t="s">
        <v>4648</v>
      </c>
      <c r="B6" s="6">
        <v>57</v>
      </c>
      <c r="C6" s="19">
        <f>B6/$B$7</f>
        <v>8.2608695652173908E-2</v>
      </c>
      <c r="D6" s="24">
        <v>273700</v>
      </c>
      <c r="E6" s="21">
        <f t="shared" si="0"/>
        <v>4801.7543859649122</v>
      </c>
      <c r="G6" s="88" t="s">
        <v>4607</v>
      </c>
      <c r="H6" s="89">
        <v>28</v>
      </c>
      <c r="I6" s="90">
        <f t="shared" si="2"/>
        <v>4.0579710144927533E-2</v>
      </c>
      <c r="J6" s="85"/>
      <c r="K6" s="91">
        <f t="shared" si="3"/>
        <v>3.1446540880503145E-2</v>
      </c>
      <c r="L6" s="89">
        <f t="shared" si="1"/>
        <v>10</v>
      </c>
      <c r="M6" s="92" t="s">
        <v>4608</v>
      </c>
    </row>
    <row r="7" spans="1:13" ht="15" thickBot="1" x14ac:dyDescent="0.4">
      <c r="A7" s="55" t="s">
        <v>633</v>
      </c>
      <c r="B7" s="56">
        <f>B2+B6</f>
        <v>690</v>
      </c>
      <c r="C7" s="56"/>
      <c r="D7" s="53">
        <f>D2+D6</f>
        <v>16491852</v>
      </c>
      <c r="E7" s="54">
        <f t="shared" si="0"/>
        <v>23901.234782608695</v>
      </c>
      <c r="G7" s="66" t="s">
        <v>4609</v>
      </c>
      <c r="H7" s="65">
        <v>18</v>
      </c>
      <c r="I7" s="75">
        <f t="shared" si="2"/>
        <v>2.6086956521739129E-2</v>
      </c>
      <c r="J7" s="77"/>
      <c r="K7" s="72">
        <f t="shared" si="3"/>
        <v>2.8301886792452831E-2</v>
      </c>
      <c r="L7" s="65">
        <f t="shared" si="1"/>
        <v>9</v>
      </c>
      <c r="M7" s="69" t="s">
        <v>4610</v>
      </c>
    </row>
    <row r="8" spans="1:13" ht="15" thickBot="1" x14ac:dyDescent="0.4">
      <c r="G8" s="88" t="s">
        <v>4611</v>
      </c>
      <c r="H8" s="89">
        <v>9</v>
      </c>
      <c r="I8" s="90">
        <f t="shared" si="2"/>
        <v>1.3043478260869565E-2</v>
      </c>
      <c r="J8" s="85"/>
      <c r="K8" s="91">
        <f t="shared" si="3"/>
        <v>6.2893081761006293E-3</v>
      </c>
      <c r="L8" s="89">
        <f t="shared" si="1"/>
        <v>2</v>
      </c>
      <c r="M8" s="92" t="s">
        <v>4612</v>
      </c>
    </row>
    <row r="9" spans="1:13" x14ac:dyDescent="0.35">
      <c r="A9" s="29" t="s">
        <v>4615</v>
      </c>
      <c r="B9" s="13" t="s">
        <v>4592</v>
      </c>
      <c r="C9" s="100" t="s">
        <v>4593</v>
      </c>
      <c r="G9" s="66" t="s">
        <v>4613</v>
      </c>
      <c r="H9" s="65">
        <v>7</v>
      </c>
      <c r="I9" s="75">
        <f t="shared" si="2"/>
        <v>1.0144927536231883E-2</v>
      </c>
      <c r="J9" s="77"/>
      <c r="K9" s="72">
        <f t="shared" si="3"/>
        <v>1.5723270440251572E-2</v>
      </c>
      <c r="L9" s="65">
        <f t="shared" si="1"/>
        <v>5</v>
      </c>
      <c r="M9" s="69" t="s">
        <v>4614</v>
      </c>
    </row>
    <row r="10" spans="1:13" x14ac:dyDescent="0.35">
      <c r="A10" s="17" t="s">
        <v>4618</v>
      </c>
      <c r="B10" s="6">
        <v>2</v>
      </c>
      <c r="C10" s="31"/>
      <c r="G10" s="88" t="s">
        <v>4616</v>
      </c>
      <c r="H10" s="89">
        <v>2</v>
      </c>
      <c r="I10" s="90">
        <f t="shared" si="2"/>
        <v>2.8985507246376812E-3</v>
      </c>
      <c r="J10" s="85"/>
      <c r="K10" s="91">
        <f t="shared" si="3"/>
        <v>0</v>
      </c>
      <c r="L10" s="89">
        <v>0</v>
      </c>
      <c r="M10" s="92" t="s">
        <v>4617</v>
      </c>
    </row>
    <row r="11" spans="1:13" ht="15" thickBot="1" x14ac:dyDescent="0.4">
      <c r="A11" s="101" t="s">
        <v>4621</v>
      </c>
      <c r="B11" s="26">
        <v>354</v>
      </c>
      <c r="C11" s="104">
        <f>B11/800</f>
        <v>0.4425</v>
      </c>
      <c r="G11" s="67" t="s">
        <v>4619</v>
      </c>
      <c r="H11" s="74">
        <v>3</v>
      </c>
      <c r="I11" s="76">
        <f t="shared" si="2"/>
        <v>4.3478260869565218E-3</v>
      </c>
      <c r="J11" s="77"/>
      <c r="K11" s="73">
        <f t="shared" si="3"/>
        <v>6.2893081761006293E-3</v>
      </c>
      <c r="L11" s="74">
        <v>2</v>
      </c>
      <c r="M11" s="70" t="s">
        <v>4620</v>
      </c>
    </row>
    <row r="12" spans="1:13" ht="15" thickBot="1" x14ac:dyDescent="0.4">
      <c r="A12" s="103" t="s">
        <v>4624</v>
      </c>
      <c r="G12" s="93" t="s">
        <v>4622</v>
      </c>
      <c r="H12" s="78">
        <f>SUM(H2:H11)</f>
        <v>690</v>
      </c>
      <c r="I12" s="79">
        <f>SUM(I2:I11)</f>
        <v>0.99999999999999989</v>
      </c>
      <c r="J12" s="71"/>
      <c r="K12" s="80">
        <f>SUM(K2:K11)</f>
        <v>0.99999999999999989</v>
      </c>
      <c r="L12" s="81">
        <f>SUM(L2:L11)</f>
        <v>318</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169</v>
      </c>
      <c r="C15" s="30"/>
      <c r="D15" s="31"/>
      <c r="G15" s="37"/>
    </row>
    <row r="16" spans="1:13" x14ac:dyDescent="0.35">
      <c r="A16" s="22" t="s">
        <v>4626</v>
      </c>
      <c r="B16" s="30"/>
      <c r="C16" s="52">
        <v>0.94153824939715325</v>
      </c>
      <c r="D16" s="42">
        <v>11258681.799999995</v>
      </c>
      <c r="G16" s="37"/>
    </row>
    <row r="17" spans="1:7" x14ac:dyDescent="0.35">
      <c r="A17" s="22" t="s">
        <v>4628</v>
      </c>
      <c r="B17" s="30"/>
      <c r="C17" s="34">
        <v>5.348792883550562E-2</v>
      </c>
      <c r="D17" s="42">
        <v>280549.81800000003</v>
      </c>
      <c r="F17" s="34"/>
      <c r="G17" s="37"/>
    </row>
    <row r="18" spans="1:7" x14ac:dyDescent="0.35">
      <c r="A18" s="22" t="s">
        <v>4629</v>
      </c>
      <c r="B18" s="30"/>
      <c r="C18" s="23">
        <v>5.7183908859531882E-2</v>
      </c>
      <c r="D18" s="42">
        <v>299253.13920000003</v>
      </c>
      <c r="G18" s="37"/>
    </row>
    <row r="19" spans="1:7" x14ac:dyDescent="0.35">
      <c r="A19" s="22" t="s">
        <v>4630</v>
      </c>
      <c r="B19" s="30"/>
      <c r="C19" s="30"/>
      <c r="D19" s="42">
        <v>5233170.4000000004</v>
      </c>
      <c r="G19" s="37"/>
    </row>
    <row r="20" spans="1:7" x14ac:dyDescent="0.35">
      <c r="A20" s="22" t="s">
        <v>4631</v>
      </c>
      <c r="B20" s="6">
        <v>17</v>
      </c>
      <c r="C20" s="23">
        <v>0.1</v>
      </c>
      <c r="D20" s="32"/>
    </row>
    <row r="21" spans="1:7" x14ac:dyDescent="0.35">
      <c r="A21" s="22" t="s">
        <v>4632</v>
      </c>
      <c r="B21" s="33"/>
      <c r="C21" s="23">
        <v>0.23</v>
      </c>
      <c r="D21" s="32"/>
    </row>
    <row r="22" spans="1:7" ht="15" thickBot="1" x14ac:dyDescent="0.4">
      <c r="A22" s="25" t="s">
        <v>4650</v>
      </c>
      <c r="B22" s="26">
        <v>14</v>
      </c>
      <c r="C22" s="36">
        <v>0.02</v>
      </c>
      <c r="D22" s="28">
        <v>50706.66</v>
      </c>
    </row>
  </sheetData>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F515-240F-46B9-8165-B9C98B511DF3}">
  <sheetPr codeName="Sheet46"/>
  <dimension ref="A1:M22"/>
  <sheetViews>
    <sheetView workbookViewId="0">
      <selection activeCell="G16" sqref="G16"/>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625</v>
      </c>
      <c r="C2" s="19">
        <f>B2/$B$7</f>
        <v>0.91642228739002929</v>
      </c>
      <c r="D2" s="20">
        <f>SUM(D3:D5)</f>
        <v>15808152</v>
      </c>
      <c r="E2" s="21">
        <f t="shared" ref="E2:E7" si="0">D2/B2</f>
        <v>25293.0432</v>
      </c>
      <c r="G2" s="82" t="s">
        <v>4599</v>
      </c>
      <c r="H2" s="83">
        <v>317</v>
      </c>
      <c r="I2" s="84">
        <f>H2/$H$12</f>
        <v>0.46480938416422285</v>
      </c>
      <c r="J2" s="85"/>
      <c r="K2" s="86">
        <f>L2/$L$12</f>
        <v>0.50157728706624605</v>
      </c>
      <c r="L2" s="83">
        <f t="shared" ref="L2:L9" si="1">H2-H3</f>
        <v>159</v>
      </c>
      <c r="M2" s="87" t="s">
        <v>4600</v>
      </c>
    </row>
    <row r="3" spans="1:13" x14ac:dyDescent="0.35">
      <c r="A3" s="22" t="s">
        <v>13</v>
      </c>
      <c r="B3" s="6">
        <v>513</v>
      </c>
      <c r="C3" s="19">
        <f>B3/$B$7</f>
        <v>0.75219941348973607</v>
      </c>
      <c r="D3" s="24">
        <v>12608652</v>
      </c>
      <c r="E3" s="21">
        <f t="shared" si="0"/>
        <v>24578.269005847953</v>
      </c>
      <c r="F3" s="37"/>
      <c r="G3" s="66" t="s">
        <v>4601</v>
      </c>
      <c r="H3" s="65">
        <v>158</v>
      </c>
      <c r="I3" s="75">
        <f t="shared" ref="I3:I11" si="2">H3/$H$12</f>
        <v>0.2316715542521994</v>
      </c>
      <c r="J3" s="77"/>
      <c r="K3" s="72">
        <f t="shared" ref="K3:K11" si="3">L3/$L$12</f>
        <v>0.22397476340694006</v>
      </c>
      <c r="L3" s="65">
        <f t="shared" si="1"/>
        <v>71</v>
      </c>
      <c r="M3" s="69" t="s">
        <v>4602</v>
      </c>
    </row>
    <row r="4" spans="1:13" x14ac:dyDescent="0.35">
      <c r="A4" s="22" t="s">
        <v>55</v>
      </c>
      <c r="B4" s="6">
        <v>22</v>
      </c>
      <c r="C4" s="19">
        <f>B4/$B$7</f>
        <v>3.2258064516129031E-2</v>
      </c>
      <c r="D4" s="24">
        <v>312000</v>
      </c>
      <c r="E4" s="21">
        <f t="shared" si="0"/>
        <v>14181.818181818182</v>
      </c>
      <c r="G4" s="88" t="s">
        <v>4603</v>
      </c>
      <c r="H4" s="89">
        <v>87</v>
      </c>
      <c r="I4" s="90">
        <f t="shared" si="2"/>
        <v>0.12756598240469208</v>
      </c>
      <c r="J4" s="85"/>
      <c r="K4" s="91">
        <f t="shared" si="3"/>
        <v>0.10725552050473186</v>
      </c>
      <c r="L4" s="89">
        <f t="shared" si="1"/>
        <v>34</v>
      </c>
      <c r="M4" s="92" t="s">
        <v>4604</v>
      </c>
    </row>
    <row r="5" spans="1:13" x14ac:dyDescent="0.35">
      <c r="A5" s="22" t="s">
        <v>70</v>
      </c>
      <c r="B5" s="6">
        <v>90</v>
      </c>
      <c r="C5" s="19">
        <f>B5/$B$7</f>
        <v>0.13196480938416422</v>
      </c>
      <c r="D5" s="24">
        <v>2887500</v>
      </c>
      <c r="E5" s="21">
        <f t="shared" si="0"/>
        <v>32083.333333333332</v>
      </c>
      <c r="F5" s="37"/>
      <c r="G5" s="66" t="s">
        <v>4605</v>
      </c>
      <c r="H5" s="65">
        <v>53</v>
      </c>
      <c r="I5" s="75">
        <f t="shared" si="2"/>
        <v>7.7712609970674487E-2</v>
      </c>
      <c r="J5" s="77"/>
      <c r="K5" s="72">
        <f t="shared" si="3"/>
        <v>7.8864353312302835E-2</v>
      </c>
      <c r="L5" s="65">
        <f t="shared" si="1"/>
        <v>25</v>
      </c>
      <c r="M5" s="69" t="s">
        <v>4606</v>
      </c>
    </row>
    <row r="6" spans="1:13" x14ac:dyDescent="0.35">
      <c r="A6" s="22" t="s">
        <v>4648</v>
      </c>
      <c r="B6" s="6">
        <v>57</v>
      </c>
      <c r="C6" s="19">
        <f>B6/$B$7</f>
        <v>8.357771260997067E-2</v>
      </c>
      <c r="D6" s="24">
        <v>273700</v>
      </c>
      <c r="E6" s="21">
        <f t="shared" si="0"/>
        <v>4801.7543859649122</v>
      </c>
      <c r="G6" s="88" t="s">
        <v>4607</v>
      </c>
      <c r="H6" s="89">
        <v>28</v>
      </c>
      <c r="I6" s="90">
        <f t="shared" si="2"/>
        <v>4.1055718475073312E-2</v>
      </c>
      <c r="J6" s="85"/>
      <c r="K6" s="91">
        <f t="shared" si="3"/>
        <v>3.1545741324921134E-2</v>
      </c>
      <c r="L6" s="89">
        <f t="shared" si="1"/>
        <v>10</v>
      </c>
      <c r="M6" s="92" t="s">
        <v>4608</v>
      </c>
    </row>
    <row r="7" spans="1:13" ht="15" thickBot="1" x14ac:dyDescent="0.4">
      <c r="A7" s="55" t="s">
        <v>633</v>
      </c>
      <c r="B7" s="56">
        <f>B2+B6</f>
        <v>682</v>
      </c>
      <c r="C7" s="56"/>
      <c r="D7" s="53">
        <f>D2+D6</f>
        <v>16081852</v>
      </c>
      <c r="E7" s="54">
        <f t="shared" si="0"/>
        <v>23580.42815249267</v>
      </c>
      <c r="G7" s="66" t="s">
        <v>4609</v>
      </c>
      <c r="H7" s="65">
        <v>18</v>
      </c>
      <c r="I7" s="75">
        <f t="shared" si="2"/>
        <v>2.6392961876832845E-2</v>
      </c>
      <c r="J7" s="77"/>
      <c r="K7" s="72">
        <f t="shared" si="3"/>
        <v>2.8391167192429023E-2</v>
      </c>
      <c r="L7" s="65">
        <f t="shared" si="1"/>
        <v>9</v>
      </c>
      <c r="M7" s="69" t="s">
        <v>4610</v>
      </c>
    </row>
    <row r="8" spans="1:13" ht="15" thickBot="1" x14ac:dyDescent="0.4">
      <c r="G8" s="88" t="s">
        <v>4611</v>
      </c>
      <c r="H8" s="89">
        <v>9</v>
      </c>
      <c r="I8" s="90">
        <f t="shared" si="2"/>
        <v>1.3196480938416423E-2</v>
      </c>
      <c r="J8" s="85"/>
      <c r="K8" s="91">
        <f t="shared" si="3"/>
        <v>6.3091482649842269E-3</v>
      </c>
      <c r="L8" s="89">
        <f t="shared" si="1"/>
        <v>2</v>
      </c>
      <c r="M8" s="92" t="s">
        <v>4612</v>
      </c>
    </row>
    <row r="9" spans="1:13" x14ac:dyDescent="0.35">
      <c r="A9" s="29" t="s">
        <v>4615</v>
      </c>
      <c r="B9" s="13" t="s">
        <v>4592</v>
      </c>
      <c r="C9" s="100" t="s">
        <v>4593</v>
      </c>
      <c r="G9" s="66" t="s">
        <v>4613</v>
      </c>
      <c r="H9" s="65">
        <v>7</v>
      </c>
      <c r="I9" s="75">
        <f t="shared" si="2"/>
        <v>1.0263929618768328E-2</v>
      </c>
      <c r="J9" s="77"/>
      <c r="K9" s="72">
        <f t="shared" si="3"/>
        <v>1.5772870662460567E-2</v>
      </c>
      <c r="L9" s="65">
        <f t="shared" si="1"/>
        <v>5</v>
      </c>
      <c r="M9" s="69" t="s">
        <v>4614</v>
      </c>
    </row>
    <row r="10" spans="1:13" x14ac:dyDescent="0.35">
      <c r="A10" s="17" t="s">
        <v>4618</v>
      </c>
      <c r="B10" s="6">
        <v>2</v>
      </c>
      <c r="C10" s="31"/>
      <c r="G10" s="88" t="s">
        <v>4616</v>
      </c>
      <c r="H10" s="89">
        <v>2</v>
      </c>
      <c r="I10" s="90">
        <f t="shared" si="2"/>
        <v>2.9325513196480938E-3</v>
      </c>
      <c r="J10" s="85"/>
      <c r="K10" s="91">
        <f t="shared" si="3"/>
        <v>0</v>
      </c>
      <c r="L10" s="89">
        <v>0</v>
      </c>
      <c r="M10" s="92" t="s">
        <v>4617</v>
      </c>
    </row>
    <row r="11" spans="1:13" ht="15" thickBot="1" x14ac:dyDescent="0.4">
      <c r="A11" s="101" t="s">
        <v>4621</v>
      </c>
      <c r="B11" s="26">
        <v>352</v>
      </c>
      <c r="C11" s="104">
        <f>B11/800</f>
        <v>0.44</v>
      </c>
      <c r="G11" s="67" t="s">
        <v>4619</v>
      </c>
      <c r="H11" s="74">
        <v>3</v>
      </c>
      <c r="I11" s="76">
        <f t="shared" si="2"/>
        <v>4.3988269794721412E-3</v>
      </c>
      <c r="J11" s="77"/>
      <c r="K11" s="73">
        <f t="shared" si="3"/>
        <v>6.3091482649842269E-3</v>
      </c>
      <c r="L11" s="74">
        <v>2</v>
      </c>
      <c r="M11" s="70" t="s">
        <v>4620</v>
      </c>
    </row>
    <row r="12" spans="1:13" ht="15" thickBot="1" x14ac:dyDescent="0.4">
      <c r="A12" s="103" t="s">
        <v>4624</v>
      </c>
      <c r="G12" s="93" t="s">
        <v>4622</v>
      </c>
      <c r="H12" s="78">
        <f>SUM(H2:H11)</f>
        <v>682</v>
      </c>
      <c r="I12" s="79">
        <f>SUM(I2:I11)</f>
        <v>0.99999999999999989</v>
      </c>
      <c r="J12" s="71"/>
      <c r="K12" s="80">
        <f>SUM(K2:K11)</f>
        <v>0.99999999999999989</v>
      </c>
      <c r="L12" s="81">
        <f>SUM(L2:L11)</f>
        <v>317</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164</v>
      </c>
      <c r="C15" s="30"/>
      <c r="D15" s="31"/>
      <c r="G15" s="37"/>
    </row>
    <row r="16" spans="1:13" x14ac:dyDescent="0.35">
      <c r="A16" s="22" t="s">
        <v>4626</v>
      </c>
      <c r="B16" s="30"/>
      <c r="C16" s="52">
        <v>0.94</v>
      </c>
      <c r="D16" s="42">
        <v>10983669</v>
      </c>
      <c r="G16" s="37"/>
    </row>
    <row r="17" spans="1:7" x14ac:dyDescent="0.35">
      <c r="A17" s="22" t="s">
        <v>4628</v>
      </c>
      <c r="B17" s="30"/>
      <c r="C17" s="34">
        <v>0.06</v>
      </c>
      <c r="D17" s="42">
        <v>287386</v>
      </c>
      <c r="F17" s="34"/>
      <c r="G17" s="37"/>
    </row>
    <row r="18" spans="1:7" x14ac:dyDescent="0.35">
      <c r="A18" s="22" t="s">
        <v>4629</v>
      </c>
      <c r="B18" s="30"/>
      <c r="C18" s="23">
        <v>0.06</v>
      </c>
      <c r="D18" s="42">
        <v>306545</v>
      </c>
      <c r="G18" s="37"/>
    </row>
    <row r="19" spans="1:7" x14ac:dyDescent="0.35">
      <c r="A19" s="22" t="s">
        <v>4630</v>
      </c>
      <c r="B19" s="30"/>
      <c r="C19" s="30"/>
      <c r="D19" s="42">
        <v>5098183</v>
      </c>
      <c r="G19" s="37"/>
    </row>
    <row r="20" spans="1:7" x14ac:dyDescent="0.35">
      <c r="A20" s="22" t="s">
        <v>4631</v>
      </c>
      <c r="B20" s="6">
        <v>18</v>
      </c>
      <c r="C20" s="23">
        <v>0.11</v>
      </c>
      <c r="D20" s="32"/>
    </row>
    <row r="21" spans="1:7" x14ac:dyDescent="0.35">
      <c r="A21" s="22" t="s">
        <v>4632</v>
      </c>
      <c r="B21" s="33"/>
      <c r="C21" s="23">
        <v>0.23</v>
      </c>
      <c r="D21" s="32"/>
    </row>
    <row r="22" spans="1:7" ht="15" thickBot="1" x14ac:dyDescent="0.4">
      <c r="A22" s="25" t="s">
        <v>4633</v>
      </c>
      <c r="B22" s="26">
        <v>14</v>
      </c>
      <c r="C22" s="36">
        <v>0.02</v>
      </c>
      <c r="D22" s="28">
        <v>50707</v>
      </c>
    </row>
  </sheetData>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FB618-11F9-427E-816C-782D309A6865}">
  <sheetPr codeName="Sheet47"/>
  <dimension ref="A1:M22"/>
  <sheetViews>
    <sheetView workbookViewId="0">
      <selection activeCell="G15" sqref="G15"/>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621</v>
      </c>
      <c r="C2" s="19">
        <f>B2/$B$7</f>
        <v>0.91592920353982299</v>
      </c>
      <c r="D2" s="20">
        <f>SUM(D3:D5)</f>
        <v>15638152</v>
      </c>
      <c r="E2" s="21">
        <f t="shared" ref="E2:E7" si="0">D2/B2</f>
        <v>25182.209339774556</v>
      </c>
      <c r="G2" s="82" t="s">
        <v>4599</v>
      </c>
      <c r="H2" s="83">
        <v>314</v>
      </c>
      <c r="I2" s="84">
        <f>H2/$H$12</f>
        <v>0.46312684365781709</v>
      </c>
      <c r="J2" s="85"/>
      <c r="K2" s="86">
        <f>L2/$L$12</f>
        <v>0.5</v>
      </c>
      <c r="L2" s="83">
        <f t="shared" ref="L2:L9" si="1">H2-H3</f>
        <v>157</v>
      </c>
      <c r="M2" s="87" t="s">
        <v>4600</v>
      </c>
    </row>
    <row r="3" spans="1:13" x14ac:dyDescent="0.35">
      <c r="A3" s="22" t="s">
        <v>13</v>
      </c>
      <c r="B3" s="6">
        <v>509</v>
      </c>
      <c r="C3" s="19">
        <f>B3/$B$7</f>
        <v>0.75073746312684364</v>
      </c>
      <c r="D3" s="24">
        <v>12438652</v>
      </c>
      <c r="E3" s="21">
        <f t="shared" si="0"/>
        <v>24437.430255402749</v>
      </c>
      <c r="F3" s="37"/>
      <c r="G3" s="66" t="s">
        <v>4601</v>
      </c>
      <c r="H3" s="65">
        <v>157</v>
      </c>
      <c r="I3" s="75">
        <f t="shared" ref="I3:I11" si="2">H3/$H$12</f>
        <v>0.23156342182890854</v>
      </c>
      <c r="J3" s="77"/>
      <c r="K3" s="72">
        <f t="shared" ref="K3:K11" si="3">L3/$L$12</f>
        <v>0.22292993630573249</v>
      </c>
      <c r="L3" s="65">
        <f t="shared" si="1"/>
        <v>70</v>
      </c>
      <c r="M3" s="69" t="s">
        <v>4602</v>
      </c>
    </row>
    <row r="4" spans="1:13" x14ac:dyDescent="0.35">
      <c r="A4" s="22" t="s">
        <v>55</v>
      </c>
      <c r="B4" s="6">
        <v>22</v>
      </c>
      <c r="C4" s="19">
        <f>B4/$B$7</f>
        <v>3.2448377581120944E-2</v>
      </c>
      <c r="D4" s="24">
        <v>312000</v>
      </c>
      <c r="E4" s="21">
        <f t="shared" si="0"/>
        <v>14181.818181818182</v>
      </c>
      <c r="G4" s="88" t="s">
        <v>4603</v>
      </c>
      <c r="H4" s="89">
        <v>87</v>
      </c>
      <c r="I4" s="90">
        <f t="shared" si="2"/>
        <v>0.12831858407079647</v>
      </c>
      <c r="J4" s="85"/>
      <c r="K4" s="91">
        <f t="shared" si="3"/>
        <v>0.10828025477707007</v>
      </c>
      <c r="L4" s="89">
        <f t="shared" si="1"/>
        <v>34</v>
      </c>
      <c r="M4" s="92" t="s">
        <v>4604</v>
      </c>
    </row>
    <row r="5" spans="1:13" x14ac:dyDescent="0.35">
      <c r="A5" s="22" t="s">
        <v>70</v>
      </c>
      <c r="B5" s="6">
        <v>90</v>
      </c>
      <c r="C5" s="19">
        <f>B5/$B$7</f>
        <v>0.13274336283185842</v>
      </c>
      <c r="D5" s="24">
        <v>2887500</v>
      </c>
      <c r="E5" s="21">
        <f t="shared" si="0"/>
        <v>32083.333333333332</v>
      </c>
      <c r="F5" s="37"/>
      <c r="G5" s="66" t="s">
        <v>4605</v>
      </c>
      <c r="H5" s="65">
        <v>53</v>
      </c>
      <c r="I5" s="75">
        <f t="shared" si="2"/>
        <v>7.8171091445427734E-2</v>
      </c>
      <c r="J5" s="77"/>
      <c r="K5" s="72">
        <f t="shared" si="3"/>
        <v>7.9617834394904455E-2</v>
      </c>
      <c r="L5" s="65">
        <f t="shared" si="1"/>
        <v>25</v>
      </c>
      <c r="M5" s="69" t="s">
        <v>4606</v>
      </c>
    </row>
    <row r="6" spans="1:13" x14ac:dyDescent="0.35">
      <c r="A6" s="22" t="s">
        <v>4648</v>
      </c>
      <c r="B6" s="6">
        <v>57</v>
      </c>
      <c r="C6" s="19">
        <f>B6/$B$7</f>
        <v>8.4070796460176997E-2</v>
      </c>
      <c r="D6" s="24">
        <v>273700</v>
      </c>
      <c r="E6" s="21">
        <f t="shared" si="0"/>
        <v>4801.7543859649122</v>
      </c>
      <c r="G6" s="88" t="s">
        <v>4607</v>
      </c>
      <c r="H6" s="89">
        <v>28</v>
      </c>
      <c r="I6" s="90">
        <f t="shared" si="2"/>
        <v>4.1297935103244837E-2</v>
      </c>
      <c r="J6" s="85"/>
      <c r="K6" s="91">
        <f t="shared" si="3"/>
        <v>3.1847133757961783E-2</v>
      </c>
      <c r="L6" s="89">
        <f t="shared" si="1"/>
        <v>10</v>
      </c>
      <c r="M6" s="92" t="s">
        <v>4608</v>
      </c>
    </row>
    <row r="7" spans="1:13" ht="15" thickBot="1" x14ac:dyDescent="0.4">
      <c r="A7" s="55" t="s">
        <v>633</v>
      </c>
      <c r="B7" s="56">
        <f>B2+B6</f>
        <v>678</v>
      </c>
      <c r="C7" s="56"/>
      <c r="D7" s="53">
        <f>D2+D6</f>
        <v>15911852</v>
      </c>
      <c r="E7" s="54">
        <f t="shared" si="0"/>
        <v>23468.808259587022</v>
      </c>
      <c r="G7" s="66" t="s">
        <v>4609</v>
      </c>
      <c r="H7" s="65">
        <v>18</v>
      </c>
      <c r="I7" s="75">
        <f t="shared" si="2"/>
        <v>2.6548672566371681E-2</v>
      </c>
      <c r="J7" s="77"/>
      <c r="K7" s="72">
        <f t="shared" si="3"/>
        <v>2.8662420382165606E-2</v>
      </c>
      <c r="L7" s="65">
        <f t="shared" si="1"/>
        <v>9</v>
      </c>
      <c r="M7" s="69" t="s">
        <v>4610</v>
      </c>
    </row>
    <row r="8" spans="1:13" ht="15" thickBot="1" x14ac:dyDescent="0.4">
      <c r="G8" s="88" t="s">
        <v>4611</v>
      </c>
      <c r="H8" s="89">
        <v>9</v>
      </c>
      <c r="I8" s="90">
        <f t="shared" si="2"/>
        <v>1.3274336283185841E-2</v>
      </c>
      <c r="J8" s="85"/>
      <c r="K8" s="91">
        <f t="shared" si="3"/>
        <v>6.369426751592357E-3</v>
      </c>
      <c r="L8" s="89">
        <f t="shared" si="1"/>
        <v>2</v>
      </c>
      <c r="M8" s="92" t="s">
        <v>4612</v>
      </c>
    </row>
    <row r="9" spans="1:13" x14ac:dyDescent="0.35">
      <c r="A9" s="29" t="s">
        <v>4615</v>
      </c>
      <c r="B9" s="13" t="s">
        <v>4592</v>
      </c>
      <c r="C9" s="100" t="s">
        <v>4593</v>
      </c>
      <c r="G9" s="66" t="s">
        <v>4613</v>
      </c>
      <c r="H9" s="65">
        <v>7</v>
      </c>
      <c r="I9" s="75">
        <f t="shared" si="2"/>
        <v>1.0324483775811209E-2</v>
      </c>
      <c r="J9" s="77"/>
      <c r="K9" s="72">
        <f t="shared" si="3"/>
        <v>1.5923566878980892E-2</v>
      </c>
      <c r="L9" s="65">
        <f t="shared" si="1"/>
        <v>5</v>
      </c>
      <c r="M9" s="69" t="s">
        <v>4614</v>
      </c>
    </row>
    <row r="10" spans="1:13" x14ac:dyDescent="0.35">
      <c r="A10" s="17" t="s">
        <v>4618</v>
      </c>
      <c r="B10" s="6">
        <v>4</v>
      </c>
      <c r="C10" s="31"/>
      <c r="G10" s="88" t="s">
        <v>4616</v>
      </c>
      <c r="H10" s="89">
        <v>2</v>
      </c>
      <c r="I10" s="90">
        <f t="shared" si="2"/>
        <v>2.9498525073746312E-3</v>
      </c>
      <c r="J10" s="85"/>
      <c r="K10" s="91">
        <f t="shared" si="3"/>
        <v>0</v>
      </c>
      <c r="L10" s="89">
        <v>0</v>
      </c>
      <c r="M10" s="92" t="s">
        <v>4617</v>
      </c>
    </row>
    <row r="11" spans="1:13" ht="15" thickBot="1" x14ac:dyDescent="0.4">
      <c r="A11" s="101" t="s">
        <v>4621</v>
      </c>
      <c r="B11" s="26">
        <v>350</v>
      </c>
      <c r="C11" s="104">
        <f>B11/800</f>
        <v>0.4375</v>
      </c>
      <c r="G11" s="67" t="s">
        <v>4619</v>
      </c>
      <c r="H11" s="74">
        <v>3</v>
      </c>
      <c r="I11" s="76">
        <f t="shared" si="2"/>
        <v>4.4247787610619468E-3</v>
      </c>
      <c r="J11" s="77"/>
      <c r="K11" s="73">
        <f t="shared" si="3"/>
        <v>6.369426751592357E-3</v>
      </c>
      <c r="L11" s="74">
        <v>2</v>
      </c>
      <c r="M11" s="70" t="s">
        <v>4620</v>
      </c>
    </row>
    <row r="12" spans="1:13" ht="15" thickBot="1" x14ac:dyDescent="0.4">
      <c r="A12" s="103" t="s">
        <v>4624</v>
      </c>
      <c r="G12" s="93" t="s">
        <v>4622</v>
      </c>
      <c r="H12" s="78">
        <f>SUM(H2:H11)</f>
        <v>678</v>
      </c>
      <c r="I12" s="79">
        <f>SUM(I2:I11)</f>
        <v>1</v>
      </c>
      <c r="J12" s="71"/>
      <c r="K12" s="80">
        <f>SUM(K2:K11)</f>
        <v>0.99999999999999989</v>
      </c>
      <c r="L12" s="81">
        <f>SUM(L2:L11)</f>
        <v>314</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160</v>
      </c>
      <c r="C15" s="30"/>
      <c r="D15" s="31"/>
      <c r="G15" s="37"/>
    </row>
    <row r="16" spans="1:13" x14ac:dyDescent="0.35">
      <c r="A16" s="22" t="s">
        <v>4626</v>
      </c>
      <c r="B16" s="30"/>
      <c r="C16" s="52">
        <v>0.94</v>
      </c>
      <c r="D16" s="42">
        <v>10706258</v>
      </c>
      <c r="G16" s="37"/>
    </row>
    <row r="17" spans="1:7" x14ac:dyDescent="0.35">
      <c r="A17" s="22" t="s">
        <v>4628</v>
      </c>
      <c r="B17" s="30"/>
      <c r="C17" s="34">
        <v>0.06</v>
      </c>
      <c r="D17" s="42">
        <v>290839</v>
      </c>
      <c r="F17" s="34"/>
      <c r="G17" s="37"/>
    </row>
    <row r="18" spans="1:7" x14ac:dyDescent="0.35">
      <c r="A18" s="22" t="s">
        <v>4629</v>
      </c>
      <c r="B18" s="30"/>
      <c r="C18" s="23">
        <v>0.06</v>
      </c>
      <c r="D18" s="42">
        <v>310557</v>
      </c>
      <c r="G18" s="37"/>
    </row>
    <row r="19" spans="1:7" x14ac:dyDescent="0.35">
      <c r="A19" s="22" t="s">
        <v>4630</v>
      </c>
      <c r="B19" s="30"/>
      <c r="C19" s="30"/>
      <c r="D19" s="42">
        <v>5205585</v>
      </c>
      <c r="G19" s="37"/>
    </row>
    <row r="20" spans="1:7" x14ac:dyDescent="0.35">
      <c r="A20" s="22" t="s">
        <v>4631</v>
      </c>
      <c r="B20" s="6">
        <v>17</v>
      </c>
      <c r="C20" s="23">
        <v>0.11</v>
      </c>
      <c r="D20" s="32"/>
    </row>
    <row r="21" spans="1:7" x14ac:dyDescent="0.35">
      <c r="A21" s="22" t="s">
        <v>4632</v>
      </c>
      <c r="B21" s="33"/>
      <c r="C21" s="23">
        <v>0.23</v>
      </c>
      <c r="D21" s="32"/>
    </row>
    <row r="22" spans="1:7" ht="15" thickBot="1" x14ac:dyDescent="0.4">
      <c r="A22" s="25" t="s">
        <v>4633</v>
      </c>
      <c r="B22" s="26">
        <v>14</v>
      </c>
      <c r="C22" s="36">
        <v>0.02</v>
      </c>
      <c r="D22" s="28">
        <v>50707</v>
      </c>
    </row>
  </sheetData>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92A5A-EBB5-47C3-B8E6-7961493109E5}">
  <sheetPr codeName="Sheet48"/>
  <dimension ref="A1:M22"/>
  <sheetViews>
    <sheetView topLeftCell="A4" workbookViewId="0">
      <selection activeCell="G21" sqref="G21"/>
    </sheetView>
  </sheetViews>
  <sheetFormatPr defaultColWidth="9.1796875" defaultRowHeight="14.5" x14ac:dyDescent="0.35"/>
  <cols>
    <col min="1" max="1" width="31.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617</v>
      </c>
      <c r="C2" s="19">
        <f>B2/$B$7</f>
        <v>0.91679049034175331</v>
      </c>
      <c r="D2" s="20">
        <f>SUM(D3:D5)</f>
        <v>15368152</v>
      </c>
      <c r="E2" s="21">
        <f t="shared" ref="E2:E7" si="0">D2/B2</f>
        <v>24907.863857374392</v>
      </c>
      <c r="G2" s="82" t="s">
        <v>4599</v>
      </c>
      <c r="H2" s="83">
        <v>311</v>
      </c>
      <c r="I2" s="84">
        <f>H2/$H$12</f>
        <v>0.46210995542347699</v>
      </c>
      <c r="J2" s="85"/>
      <c r="K2" s="86">
        <f>L2/$L$12</f>
        <v>0.49517684887459806</v>
      </c>
      <c r="L2" s="83">
        <f t="shared" ref="L2:L9" si="1">H2-H3</f>
        <v>154</v>
      </c>
      <c r="M2" s="87" t="s">
        <v>4600</v>
      </c>
    </row>
    <row r="3" spans="1:13" x14ac:dyDescent="0.35">
      <c r="A3" s="22" t="s">
        <v>13</v>
      </c>
      <c r="B3" s="6">
        <v>506</v>
      </c>
      <c r="C3" s="19">
        <f>B3/$B$7</f>
        <v>0.75185735512630014</v>
      </c>
      <c r="D3" s="24">
        <v>12248652</v>
      </c>
      <c r="E3" s="21">
        <f t="shared" si="0"/>
        <v>24206.822134387352</v>
      </c>
      <c r="F3" s="37"/>
      <c r="G3" s="66" t="s">
        <v>4601</v>
      </c>
      <c r="H3" s="65">
        <v>157</v>
      </c>
      <c r="I3" s="75">
        <f t="shared" ref="I3:I11" si="2">H3/$H$12</f>
        <v>0.23328380386329867</v>
      </c>
      <c r="J3" s="77"/>
      <c r="K3" s="72">
        <f t="shared" ref="K3:K11" si="3">L3/$L$12</f>
        <v>0.22508038585209003</v>
      </c>
      <c r="L3" s="65">
        <f t="shared" si="1"/>
        <v>70</v>
      </c>
      <c r="M3" s="69" t="s">
        <v>4602</v>
      </c>
    </row>
    <row r="4" spans="1:13" x14ac:dyDescent="0.35">
      <c r="A4" s="22" t="s">
        <v>55</v>
      </c>
      <c r="B4" s="6">
        <v>22</v>
      </c>
      <c r="C4" s="19">
        <f>B4/$B$7</f>
        <v>3.2689450222882617E-2</v>
      </c>
      <c r="D4" s="24">
        <v>312000</v>
      </c>
      <c r="E4" s="21">
        <f t="shared" si="0"/>
        <v>14181.818181818182</v>
      </c>
      <c r="G4" s="88" t="s">
        <v>4603</v>
      </c>
      <c r="H4" s="89">
        <v>87</v>
      </c>
      <c r="I4" s="90">
        <f t="shared" si="2"/>
        <v>0.12927191679049035</v>
      </c>
      <c r="J4" s="85"/>
      <c r="K4" s="91">
        <f t="shared" si="3"/>
        <v>0.11254019292604502</v>
      </c>
      <c r="L4" s="89">
        <f t="shared" si="1"/>
        <v>35</v>
      </c>
      <c r="M4" s="92" t="s">
        <v>4604</v>
      </c>
    </row>
    <row r="5" spans="1:13" x14ac:dyDescent="0.35">
      <c r="A5" s="22" t="s">
        <v>70</v>
      </c>
      <c r="B5" s="6">
        <v>89</v>
      </c>
      <c r="C5" s="19">
        <f>B5/$B$7</f>
        <v>0.13224368499257058</v>
      </c>
      <c r="D5" s="24">
        <v>2807500</v>
      </c>
      <c r="E5" s="21">
        <f t="shared" si="0"/>
        <v>31544.943820224718</v>
      </c>
      <c r="F5" s="37"/>
      <c r="G5" s="66" t="s">
        <v>4605</v>
      </c>
      <c r="H5" s="65">
        <v>52</v>
      </c>
      <c r="I5" s="75">
        <f t="shared" si="2"/>
        <v>7.7265973254086184E-2</v>
      </c>
      <c r="J5" s="77"/>
      <c r="K5" s="72">
        <f t="shared" si="3"/>
        <v>8.0385852090032156E-2</v>
      </c>
      <c r="L5" s="65">
        <f t="shared" si="1"/>
        <v>25</v>
      </c>
      <c r="M5" s="69" t="s">
        <v>4606</v>
      </c>
    </row>
    <row r="6" spans="1:13" x14ac:dyDescent="0.35">
      <c r="A6" s="22" t="s">
        <v>4648</v>
      </c>
      <c r="B6" s="6">
        <v>56</v>
      </c>
      <c r="C6" s="19">
        <f>B6/$B$7</f>
        <v>8.3209509658246653E-2</v>
      </c>
      <c r="D6" s="24">
        <v>263700</v>
      </c>
      <c r="E6" s="21">
        <f t="shared" si="0"/>
        <v>4708.9285714285716</v>
      </c>
      <c r="G6" s="88" t="s">
        <v>4607</v>
      </c>
      <c r="H6" s="89">
        <v>27</v>
      </c>
      <c r="I6" s="90">
        <f t="shared" si="2"/>
        <v>4.0118870728083213E-2</v>
      </c>
      <c r="J6" s="85"/>
      <c r="K6" s="91">
        <f t="shared" si="3"/>
        <v>2.8938906752411574E-2</v>
      </c>
      <c r="L6" s="89">
        <f t="shared" si="1"/>
        <v>9</v>
      </c>
      <c r="M6" s="92" t="s">
        <v>4608</v>
      </c>
    </row>
    <row r="7" spans="1:13" ht="15" thickBot="1" x14ac:dyDescent="0.4">
      <c r="A7" s="55" t="s">
        <v>633</v>
      </c>
      <c r="B7" s="56">
        <f>B2+B6</f>
        <v>673</v>
      </c>
      <c r="C7" s="56"/>
      <c r="D7" s="53">
        <f>D2+D6</f>
        <v>15631852</v>
      </c>
      <c r="E7" s="54">
        <f t="shared" si="0"/>
        <v>23227.120356612184</v>
      </c>
      <c r="G7" s="66" t="s">
        <v>4609</v>
      </c>
      <c r="H7" s="65">
        <v>18</v>
      </c>
      <c r="I7" s="75">
        <f t="shared" si="2"/>
        <v>2.6745913818722138E-2</v>
      </c>
      <c r="J7" s="77"/>
      <c r="K7" s="72">
        <f t="shared" si="3"/>
        <v>2.8938906752411574E-2</v>
      </c>
      <c r="L7" s="65">
        <f t="shared" si="1"/>
        <v>9</v>
      </c>
      <c r="M7" s="69" t="s">
        <v>4610</v>
      </c>
    </row>
    <row r="8" spans="1:13" ht="15" thickBot="1" x14ac:dyDescent="0.4">
      <c r="G8" s="88" t="s">
        <v>4611</v>
      </c>
      <c r="H8" s="89">
        <v>9</v>
      </c>
      <c r="I8" s="90">
        <f t="shared" si="2"/>
        <v>1.3372956909361069E-2</v>
      </c>
      <c r="J8" s="85"/>
      <c r="K8" s="91">
        <f t="shared" si="3"/>
        <v>6.4308681672025723E-3</v>
      </c>
      <c r="L8" s="89">
        <f t="shared" si="1"/>
        <v>2</v>
      </c>
      <c r="M8" s="92" t="s">
        <v>4612</v>
      </c>
    </row>
    <row r="9" spans="1:13" x14ac:dyDescent="0.35">
      <c r="A9" s="29" t="s">
        <v>4615</v>
      </c>
      <c r="B9" s="13" t="s">
        <v>4592</v>
      </c>
      <c r="C9" s="100" t="s">
        <v>4593</v>
      </c>
      <c r="G9" s="66" t="s">
        <v>4613</v>
      </c>
      <c r="H9" s="65">
        <v>7</v>
      </c>
      <c r="I9" s="75">
        <f t="shared" si="2"/>
        <v>1.0401188707280832E-2</v>
      </c>
      <c r="J9" s="77"/>
      <c r="K9" s="72">
        <f t="shared" si="3"/>
        <v>1.607717041800643E-2</v>
      </c>
      <c r="L9" s="65">
        <f t="shared" si="1"/>
        <v>5</v>
      </c>
      <c r="M9" s="69" t="s">
        <v>4614</v>
      </c>
    </row>
    <row r="10" spans="1:13" x14ac:dyDescent="0.35">
      <c r="A10" s="17" t="s">
        <v>4618</v>
      </c>
      <c r="B10" s="6"/>
      <c r="C10" s="31"/>
      <c r="G10" s="88" t="s">
        <v>4616</v>
      </c>
      <c r="H10" s="89">
        <v>2</v>
      </c>
      <c r="I10" s="90">
        <f t="shared" si="2"/>
        <v>2.9717682020802376E-3</v>
      </c>
      <c r="J10" s="85"/>
      <c r="K10" s="91">
        <f t="shared" si="3"/>
        <v>0</v>
      </c>
      <c r="L10" s="89">
        <v>0</v>
      </c>
      <c r="M10" s="92" t="s">
        <v>4617</v>
      </c>
    </row>
    <row r="11" spans="1:13" ht="15" thickBot="1" x14ac:dyDescent="0.4">
      <c r="A11" s="101" t="s">
        <v>4621</v>
      </c>
      <c r="B11" s="26">
        <v>346</v>
      </c>
      <c r="C11" s="104">
        <f>B11/800</f>
        <v>0.4325</v>
      </c>
      <c r="G11" s="67" t="s">
        <v>4619</v>
      </c>
      <c r="H11" s="74">
        <v>3</v>
      </c>
      <c r="I11" s="76">
        <f t="shared" si="2"/>
        <v>4.4576523031203564E-3</v>
      </c>
      <c r="J11" s="77"/>
      <c r="K11" s="73">
        <f t="shared" si="3"/>
        <v>6.4308681672025723E-3</v>
      </c>
      <c r="L11" s="74">
        <v>2</v>
      </c>
      <c r="M11" s="70" t="s">
        <v>4620</v>
      </c>
    </row>
    <row r="12" spans="1:13" ht="15" thickBot="1" x14ac:dyDescent="0.4">
      <c r="A12" s="103" t="s">
        <v>4624</v>
      </c>
      <c r="G12" s="93" t="s">
        <v>4622</v>
      </c>
      <c r="H12" s="78">
        <f>SUM(H2:H11)</f>
        <v>673</v>
      </c>
      <c r="I12" s="79">
        <f>SUM(I2:I11)</f>
        <v>0.99999999999999978</v>
      </c>
      <c r="J12" s="71"/>
      <c r="K12" s="80">
        <f>SUM(K2:K11)</f>
        <v>1</v>
      </c>
      <c r="L12" s="81">
        <f>SUM(L2:L11)</f>
        <v>311</v>
      </c>
      <c r="M12" s="94" t="s">
        <v>4623</v>
      </c>
    </row>
    <row r="13" spans="1:13" ht="15" thickBot="1" x14ac:dyDescent="0.4">
      <c r="E13" s="37"/>
    </row>
    <row r="14" spans="1:13" x14ac:dyDescent="0.35">
      <c r="A14" s="29" t="s">
        <v>4626</v>
      </c>
      <c r="B14" s="13" t="s">
        <v>4592</v>
      </c>
      <c r="C14" s="13" t="s">
        <v>4593</v>
      </c>
      <c r="D14" s="15" t="s">
        <v>4594</v>
      </c>
    </row>
    <row r="15" spans="1:13" x14ac:dyDescent="0.35">
      <c r="A15" s="22" t="s">
        <v>4627</v>
      </c>
      <c r="B15" s="6">
        <v>155</v>
      </c>
      <c r="C15" s="30"/>
      <c r="D15" s="31"/>
      <c r="G15" s="37"/>
    </row>
    <row r="16" spans="1:13" x14ac:dyDescent="0.35">
      <c r="A16" s="22" t="s">
        <v>4626</v>
      </c>
      <c r="B16" s="30"/>
      <c r="C16" s="52">
        <v>0.94443456263030634</v>
      </c>
      <c r="D16" s="42">
        <v>10542437.459999995</v>
      </c>
      <c r="G16" s="37"/>
    </row>
    <row r="17" spans="1:7" x14ac:dyDescent="0.35">
      <c r="A17" s="22" t="s">
        <v>4628</v>
      </c>
      <c r="B17" s="30"/>
      <c r="C17" s="34">
        <v>5.5347854099336652E-2</v>
      </c>
      <c r="D17" s="42">
        <v>285379.24729999999</v>
      </c>
      <c r="F17" s="34"/>
      <c r="G17" s="37"/>
    </row>
    <row r="18" spans="1:7" x14ac:dyDescent="0.35">
      <c r="A18" s="22" t="s">
        <v>4629</v>
      </c>
      <c r="B18" s="30"/>
      <c r="C18" s="23">
        <v>5.9948281017918797E-2</v>
      </c>
      <c r="D18" s="42">
        <v>305060.5747</v>
      </c>
      <c r="G18" s="40"/>
    </row>
    <row r="19" spans="1:7" x14ac:dyDescent="0.35">
      <c r="A19" s="22" t="s">
        <v>4630</v>
      </c>
      <c r="B19" s="30"/>
      <c r="C19" s="30"/>
      <c r="D19" s="42">
        <v>5088729.3099999996</v>
      </c>
      <c r="G19" s="37"/>
    </row>
    <row r="20" spans="1:7" x14ac:dyDescent="0.35">
      <c r="A20" s="22" t="s">
        <v>4631</v>
      </c>
      <c r="B20" s="6">
        <v>16</v>
      </c>
      <c r="C20" s="23">
        <v>0.1</v>
      </c>
      <c r="D20" s="32"/>
    </row>
    <row r="21" spans="1:7" x14ac:dyDescent="0.35">
      <c r="A21" s="22" t="s">
        <v>4632</v>
      </c>
      <c r="B21" s="33"/>
      <c r="C21" s="23">
        <v>0.23</v>
      </c>
      <c r="D21" s="32"/>
      <c r="G21" s="40"/>
    </row>
    <row r="22" spans="1:7" ht="15" thickBot="1" x14ac:dyDescent="0.4">
      <c r="A22" s="25" t="s">
        <v>4633</v>
      </c>
      <c r="B22" s="26">
        <v>14</v>
      </c>
      <c r="C22" s="36">
        <v>0.02</v>
      </c>
      <c r="D22" s="28">
        <v>50706.66</v>
      </c>
    </row>
  </sheetData>
  <pageMargins left="0.7" right="0.7" top="0.75" bottom="0.75" header="0.3" footer="0.3"/>
  <pageSetup orientation="portrait" r:id="rId1"/>
  <ignoredErrors>
    <ignoredError sqref="B2 D2" formulaRange="1"/>
    <ignoredError sqref="C2" formula="1" formulaRange="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951FC-594B-4014-9526-35CECC3D39AC}">
  <sheetPr codeName="Sheet49"/>
  <dimension ref="A1:M19"/>
  <sheetViews>
    <sheetView workbookViewId="0">
      <selection activeCell="H3" sqref="H3"/>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608</v>
      </c>
      <c r="C2" s="19">
        <f>B2/$B$7</f>
        <v>0.91566265060240959</v>
      </c>
      <c r="D2" s="20">
        <f>SUM(D3:D5)</f>
        <v>14993152</v>
      </c>
      <c r="E2" s="21">
        <f t="shared" ref="E2:E7" si="0">D2/B2</f>
        <v>24659.78947368421</v>
      </c>
      <c r="G2" s="82" t="s">
        <v>4599</v>
      </c>
      <c r="H2" s="83">
        <v>309</v>
      </c>
      <c r="I2" s="84">
        <f>H2/$H$12</f>
        <v>0.46536144578313254</v>
      </c>
      <c r="J2" s="85"/>
      <c r="K2" s="86">
        <f>L2/$L$12</f>
        <v>0.50485436893203883</v>
      </c>
      <c r="L2" s="83">
        <f t="shared" ref="L2:L9" si="1">H2-H3</f>
        <v>156</v>
      </c>
      <c r="M2" s="87" t="s">
        <v>4600</v>
      </c>
    </row>
    <row r="3" spans="1:13" x14ac:dyDescent="0.35">
      <c r="A3" s="22" t="s">
        <v>13</v>
      </c>
      <c r="B3" s="6">
        <v>497</v>
      </c>
      <c r="C3" s="19">
        <f>B3/$B$7</f>
        <v>0.74849397590361444</v>
      </c>
      <c r="D3" s="24">
        <v>11873652</v>
      </c>
      <c r="E3" s="21">
        <f t="shared" si="0"/>
        <v>23890.647887323943</v>
      </c>
      <c r="F3" s="37"/>
      <c r="G3" s="66" t="s">
        <v>4601</v>
      </c>
      <c r="H3" s="65">
        <v>153</v>
      </c>
      <c r="I3" s="75">
        <f t="shared" ref="I3:I11" si="2">H3/$H$12</f>
        <v>0.23042168674698796</v>
      </c>
      <c r="J3" s="77"/>
      <c r="K3" s="72">
        <f t="shared" ref="K3:K11" si="3">L3/$L$12</f>
        <v>0.2168284789644013</v>
      </c>
      <c r="L3" s="65">
        <f t="shared" si="1"/>
        <v>67</v>
      </c>
      <c r="M3" s="69" t="s">
        <v>4602</v>
      </c>
    </row>
    <row r="4" spans="1:13" x14ac:dyDescent="0.35">
      <c r="A4" s="22" t="s">
        <v>55</v>
      </c>
      <c r="B4" s="6">
        <v>22</v>
      </c>
      <c r="C4" s="19">
        <f>B4/$B$7</f>
        <v>3.313253012048193E-2</v>
      </c>
      <c r="D4" s="24">
        <v>312000</v>
      </c>
      <c r="E4" s="21">
        <f t="shared" si="0"/>
        <v>14181.818181818182</v>
      </c>
      <c r="G4" s="88" t="s">
        <v>4603</v>
      </c>
      <c r="H4" s="89">
        <v>86</v>
      </c>
      <c r="I4" s="90">
        <f t="shared" si="2"/>
        <v>0.12951807228915663</v>
      </c>
      <c r="J4" s="85"/>
      <c r="K4" s="91">
        <f t="shared" si="3"/>
        <v>0.11326860841423948</v>
      </c>
      <c r="L4" s="89">
        <f t="shared" si="1"/>
        <v>35</v>
      </c>
      <c r="M4" s="92" t="s">
        <v>4604</v>
      </c>
    </row>
    <row r="5" spans="1:13" x14ac:dyDescent="0.35">
      <c r="A5" s="22" t="s">
        <v>70</v>
      </c>
      <c r="B5" s="6">
        <v>89</v>
      </c>
      <c r="C5" s="19">
        <f>B5/$B$7</f>
        <v>0.13403614457831325</v>
      </c>
      <c r="D5" s="24">
        <v>2807500</v>
      </c>
      <c r="E5" s="21">
        <f t="shared" si="0"/>
        <v>31544.943820224718</v>
      </c>
      <c r="F5" s="37"/>
      <c r="G5" s="66" t="s">
        <v>4605</v>
      </c>
      <c r="H5" s="65">
        <v>51</v>
      </c>
      <c r="I5" s="75">
        <f t="shared" si="2"/>
        <v>7.6807228915662648E-2</v>
      </c>
      <c r="J5" s="77"/>
      <c r="K5" s="72">
        <f t="shared" si="3"/>
        <v>7.7669902912621352E-2</v>
      </c>
      <c r="L5" s="65">
        <f t="shared" si="1"/>
        <v>24</v>
      </c>
      <c r="M5" s="69" t="s">
        <v>4606</v>
      </c>
    </row>
    <row r="6" spans="1:13" x14ac:dyDescent="0.35">
      <c r="A6" s="22" t="s">
        <v>4648</v>
      </c>
      <c r="B6" s="6">
        <v>56</v>
      </c>
      <c r="C6" s="19">
        <f>B6/$B$7</f>
        <v>8.4337349397590355E-2</v>
      </c>
      <c r="D6" s="24">
        <v>263700</v>
      </c>
      <c r="E6" s="21">
        <f t="shared" si="0"/>
        <v>4708.9285714285716</v>
      </c>
      <c r="G6" s="88" t="s">
        <v>4607</v>
      </c>
      <c r="H6" s="89">
        <v>27</v>
      </c>
      <c r="I6" s="90">
        <f t="shared" si="2"/>
        <v>4.0662650602409638E-2</v>
      </c>
      <c r="J6" s="85"/>
      <c r="K6" s="91">
        <f t="shared" si="3"/>
        <v>2.9126213592233011E-2</v>
      </c>
      <c r="L6" s="89">
        <f t="shared" si="1"/>
        <v>9</v>
      </c>
      <c r="M6" s="92" t="s">
        <v>4608</v>
      </c>
    </row>
    <row r="7" spans="1:13" ht="15" thickBot="1" x14ac:dyDescent="0.4">
      <c r="A7" s="55" t="s">
        <v>633</v>
      </c>
      <c r="B7" s="56">
        <f>B2+B6</f>
        <v>664</v>
      </c>
      <c r="C7" s="56"/>
      <c r="D7" s="53">
        <f>D2+D6</f>
        <v>15256852</v>
      </c>
      <c r="E7" s="54">
        <f t="shared" si="0"/>
        <v>22977.186746987951</v>
      </c>
      <c r="G7" s="66" t="s">
        <v>4609</v>
      </c>
      <c r="H7" s="65">
        <v>18</v>
      </c>
      <c r="I7" s="75">
        <f t="shared" si="2"/>
        <v>2.710843373493976E-2</v>
      </c>
      <c r="J7" s="77"/>
      <c r="K7" s="72">
        <f t="shared" si="3"/>
        <v>3.2362459546925564E-2</v>
      </c>
      <c r="L7" s="65">
        <f t="shared" si="1"/>
        <v>10</v>
      </c>
      <c r="M7" s="69" t="s">
        <v>4610</v>
      </c>
    </row>
    <row r="8" spans="1:13" x14ac:dyDescent="0.35">
      <c r="G8" s="88" t="s">
        <v>4611</v>
      </c>
      <c r="H8" s="89">
        <v>8</v>
      </c>
      <c r="I8" s="90">
        <f t="shared" si="2"/>
        <v>1.2048192771084338E-2</v>
      </c>
      <c r="J8" s="85"/>
      <c r="K8" s="91">
        <f t="shared" si="3"/>
        <v>3.2362459546925568E-3</v>
      </c>
      <c r="L8" s="89">
        <f t="shared" si="1"/>
        <v>1</v>
      </c>
      <c r="M8" s="92" t="s">
        <v>4612</v>
      </c>
    </row>
    <row r="9" spans="1:13" ht="15" thickBot="1" x14ac:dyDescent="0.4">
      <c r="E9" s="37"/>
      <c r="G9" s="66" t="s">
        <v>4613</v>
      </c>
      <c r="H9" s="65">
        <v>7</v>
      </c>
      <c r="I9" s="75">
        <f t="shared" si="2"/>
        <v>1.0542168674698794E-2</v>
      </c>
      <c r="J9" s="77"/>
      <c r="K9" s="72">
        <f t="shared" si="3"/>
        <v>1.6181229773462782E-2</v>
      </c>
      <c r="L9" s="65">
        <f t="shared" si="1"/>
        <v>5</v>
      </c>
      <c r="M9" s="69" t="s">
        <v>4614</v>
      </c>
    </row>
    <row r="10" spans="1:13" x14ac:dyDescent="0.35">
      <c r="A10" s="29" t="s">
        <v>4626</v>
      </c>
      <c r="B10" s="13" t="s">
        <v>4592</v>
      </c>
      <c r="C10" s="13" t="s">
        <v>4593</v>
      </c>
      <c r="D10" s="15" t="s">
        <v>4594</v>
      </c>
      <c r="G10" s="88" t="s">
        <v>4616</v>
      </c>
      <c r="H10" s="89">
        <v>2</v>
      </c>
      <c r="I10" s="90">
        <f t="shared" si="2"/>
        <v>3.0120481927710845E-3</v>
      </c>
      <c r="J10" s="85"/>
      <c r="K10" s="91">
        <f t="shared" si="3"/>
        <v>0</v>
      </c>
      <c r="L10" s="89">
        <v>0</v>
      </c>
      <c r="M10" s="92" t="s">
        <v>4617</v>
      </c>
    </row>
    <row r="11" spans="1:13" ht="15" thickBot="1" x14ac:dyDescent="0.4">
      <c r="A11" s="22" t="s">
        <v>4627</v>
      </c>
      <c r="B11" s="6">
        <v>146</v>
      </c>
      <c r="C11" s="30"/>
      <c r="D11" s="31"/>
      <c r="G11" s="67" t="s">
        <v>4619</v>
      </c>
      <c r="H11" s="74">
        <v>3</v>
      </c>
      <c r="I11" s="76">
        <f t="shared" si="2"/>
        <v>4.5180722891566263E-3</v>
      </c>
      <c r="J11" s="77"/>
      <c r="K11" s="73">
        <f t="shared" si="3"/>
        <v>6.4724919093851136E-3</v>
      </c>
      <c r="L11" s="74">
        <v>2</v>
      </c>
      <c r="M11" s="70" t="s">
        <v>4620</v>
      </c>
    </row>
    <row r="12" spans="1:13" ht="15" thickBot="1" x14ac:dyDescent="0.4">
      <c r="A12" s="22" t="s">
        <v>4626</v>
      </c>
      <c r="B12" s="30"/>
      <c r="C12" s="52">
        <v>0.94340007231315004</v>
      </c>
      <c r="D12" s="42">
        <v>10229451.869999995</v>
      </c>
      <c r="G12" s="93" t="s">
        <v>4622</v>
      </c>
      <c r="H12" s="78">
        <f>SUM(H2:H11)</f>
        <v>664</v>
      </c>
      <c r="I12" s="79">
        <f>SUM(I2:I11)</f>
        <v>1</v>
      </c>
      <c r="J12" s="71"/>
      <c r="K12" s="80">
        <f>SUM(K2:K11)</f>
        <v>0.99999999999999989</v>
      </c>
      <c r="L12" s="81">
        <f>SUM(L2:L11)</f>
        <v>309</v>
      </c>
      <c r="M12" s="94" t="s">
        <v>4623</v>
      </c>
    </row>
    <row r="13" spans="1:13" x14ac:dyDescent="0.35">
      <c r="A13" s="22" t="s">
        <v>4628</v>
      </c>
      <c r="B13" s="30"/>
      <c r="C13" s="34">
        <v>5.7587472311737248E-2</v>
      </c>
      <c r="D13" s="42">
        <v>288427.66499999998</v>
      </c>
    </row>
    <row r="14" spans="1:13" x14ac:dyDescent="0.35">
      <c r="A14" s="22" t="s">
        <v>4629</v>
      </c>
      <c r="B14" s="30"/>
      <c r="C14" s="23">
        <v>6.2467680324821702E-2</v>
      </c>
      <c r="D14" s="42">
        <v>307656.17600000004</v>
      </c>
    </row>
    <row r="15" spans="1:13" x14ac:dyDescent="0.35">
      <c r="A15" s="22" t="s">
        <v>4630</v>
      </c>
      <c r="B15" s="30"/>
      <c r="C15" s="30"/>
      <c r="D15" s="42">
        <v>4933170.629999999</v>
      </c>
      <c r="G15" s="37"/>
    </row>
    <row r="16" spans="1:13" x14ac:dyDescent="0.35">
      <c r="A16" s="22" t="s">
        <v>4631</v>
      </c>
      <c r="B16" s="6">
        <v>15</v>
      </c>
      <c r="C16" s="23">
        <v>0.1</v>
      </c>
      <c r="D16" s="32"/>
      <c r="G16" s="37"/>
    </row>
    <row r="17" spans="1:7" x14ac:dyDescent="0.35">
      <c r="A17" s="22" t="s">
        <v>4632</v>
      </c>
      <c r="B17" s="33"/>
      <c r="C17" s="23">
        <v>0.23</v>
      </c>
      <c r="D17" s="32"/>
      <c r="F17" s="34"/>
      <c r="G17" s="37"/>
    </row>
    <row r="18" spans="1:7" ht="15" thickBot="1" x14ac:dyDescent="0.4">
      <c r="A18" s="25" t="s">
        <v>4633</v>
      </c>
      <c r="B18" s="26">
        <v>14</v>
      </c>
      <c r="C18" s="36">
        <v>0.02</v>
      </c>
      <c r="D18" s="28">
        <v>50706.66</v>
      </c>
      <c r="G18" s="37"/>
    </row>
    <row r="19" spans="1:7" x14ac:dyDescent="0.35">
      <c r="G19" s="37"/>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5F60D-75E9-417C-A12C-F62592CC0513}">
  <sheetPr codeName="Sheet50"/>
  <dimension ref="A1:M19"/>
  <sheetViews>
    <sheetView workbookViewId="0">
      <selection activeCell="D7" sqref="D7"/>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599</v>
      </c>
      <c r="C2" s="19">
        <f>B2/$B$7</f>
        <v>0.91450381679389314</v>
      </c>
      <c r="D2" s="20">
        <f>SUM(D3:D5)</f>
        <v>14403152</v>
      </c>
      <c r="E2" s="21">
        <f t="shared" ref="E2:E7" si="0">D2/B2</f>
        <v>24045.328881469115</v>
      </c>
      <c r="G2" s="82" t="s">
        <v>4599</v>
      </c>
      <c r="H2" s="83">
        <v>306</v>
      </c>
      <c r="I2" s="84">
        <f>H2/$H$12</f>
        <v>0.46717557251908398</v>
      </c>
      <c r="J2" s="85"/>
      <c r="K2" s="86">
        <f>L2/$L$12</f>
        <v>0.50653594771241828</v>
      </c>
      <c r="L2" s="83">
        <f t="shared" ref="L2:L9" si="1">H2-H3</f>
        <v>155</v>
      </c>
      <c r="M2" s="87" t="s">
        <v>4600</v>
      </c>
    </row>
    <row r="3" spans="1:13" x14ac:dyDescent="0.35">
      <c r="A3" s="22" t="s">
        <v>13</v>
      </c>
      <c r="B3" s="6">
        <v>490</v>
      </c>
      <c r="C3" s="19">
        <f>B3/$B$7</f>
        <v>0.74809160305343514</v>
      </c>
      <c r="D3" s="24">
        <v>11413652</v>
      </c>
      <c r="E3" s="21">
        <f t="shared" si="0"/>
        <v>23293.167346938775</v>
      </c>
      <c r="F3" s="37"/>
      <c r="G3" s="66" t="s">
        <v>4601</v>
      </c>
      <c r="H3" s="65">
        <v>151</v>
      </c>
      <c r="I3" s="75">
        <f t="shared" ref="I3:I11" si="2">H3/$H$12</f>
        <v>0.23053435114503817</v>
      </c>
      <c r="J3" s="77"/>
      <c r="K3" s="72">
        <f t="shared" ref="K3:K11" si="3">L3/$L$12</f>
        <v>0.21568627450980393</v>
      </c>
      <c r="L3" s="65">
        <f t="shared" si="1"/>
        <v>66</v>
      </c>
      <c r="M3" s="69" t="s">
        <v>4602</v>
      </c>
    </row>
    <row r="4" spans="1:13" x14ac:dyDescent="0.35">
      <c r="A4" s="22" t="s">
        <v>55</v>
      </c>
      <c r="B4" s="6">
        <v>22</v>
      </c>
      <c r="C4" s="19">
        <f>B4/$B$7</f>
        <v>3.3587786259541987E-2</v>
      </c>
      <c r="D4" s="24">
        <v>312000</v>
      </c>
      <c r="E4" s="21">
        <f t="shared" si="0"/>
        <v>14181.818181818182</v>
      </c>
      <c r="G4" s="88" t="s">
        <v>4603</v>
      </c>
      <c r="H4" s="89">
        <v>85</v>
      </c>
      <c r="I4" s="90">
        <f t="shared" si="2"/>
        <v>0.12977099236641221</v>
      </c>
      <c r="J4" s="85"/>
      <c r="K4" s="91">
        <f t="shared" si="3"/>
        <v>0.11437908496732026</v>
      </c>
      <c r="L4" s="89">
        <f t="shared" si="1"/>
        <v>35</v>
      </c>
      <c r="M4" s="92" t="s">
        <v>4604</v>
      </c>
    </row>
    <row r="5" spans="1:13" x14ac:dyDescent="0.35">
      <c r="A5" s="22" t="s">
        <v>70</v>
      </c>
      <c r="B5" s="6">
        <v>87</v>
      </c>
      <c r="C5" s="19">
        <f>B5/$B$7</f>
        <v>0.13282442748091602</v>
      </c>
      <c r="D5" s="24">
        <v>2677500</v>
      </c>
      <c r="E5" s="21">
        <f t="shared" si="0"/>
        <v>30775.862068965518</v>
      </c>
      <c r="F5" s="37"/>
      <c r="G5" s="66" t="s">
        <v>4605</v>
      </c>
      <c r="H5" s="65">
        <v>50</v>
      </c>
      <c r="I5" s="75">
        <f t="shared" si="2"/>
        <v>7.6335877862595422E-2</v>
      </c>
      <c r="J5" s="77"/>
      <c r="K5" s="72">
        <f t="shared" si="3"/>
        <v>7.5163398692810454E-2</v>
      </c>
      <c r="L5" s="65">
        <f t="shared" si="1"/>
        <v>23</v>
      </c>
      <c r="M5" s="69" t="s">
        <v>4606</v>
      </c>
    </row>
    <row r="6" spans="1:13" x14ac:dyDescent="0.35">
      <c r="A6" s="22" t="s">
        <v>4648</v>
      </c>
      <c r="B6" s="6">
        <v>56</v>
      </c>
      <c r="C6" s="19">
        <f>B6/$B$7</f>
        <v>8.5496183206106871E-2</v>
      </c>
      <c r="D6" s="24">
        <v>263700</v>
      </c>
      <c r="E6" s="21">
        <f t="shared" si="0"/>
        <v>4708.9285714285716</v>
      </c>
      <c r="G6" s="88" t="s">
        <v>4607</v>
      </c>
      <c r="H6" s="89">
        <v>27</v>
      </c>
      <c r="I6" s="90">
        <f t="shared" si="2"/>
        <v>4.1221374045801527E-2</v>
      </c>
      <c r="J6" s="85"/>
      <c r="K6" s="91">
        <f t="shared" si="3"/>
        <v>3.2679738562091505E-2</v>
      </c>
      <c r="L6" s="89">
        <f t="shared" si="1"/>
        <v>10</v>
      </c>
      <c r="M6" s="92" t="s">
        <v>4608</v>
      </c>
    </row>
    <row r="7" spans="1:13" ht="15" thickBot="1" x14ac:dyDescent="0.4">
      <c r="A7" s="55" t="s">
        <v>633</v>
      </c>
      <c r="B7" s="56">
        <f>B2+B6</f>
        <v>655</v>
      </c>
      <c r="C7" s="56"/>
      <c r="D7" s="53">
        <f>D2+D6</f>
        <v>14666852</v>
      </c>
      <c r="E7" s="54">
        <f t="shared" si="0"/>
        <v>22392.140458015267</v>
      </c>
      <c r="G7" s="66" t="s">
        <v>4609</v>
      </c>
      <c r="H7" s="65">
        <v>17</v>
      </c>
      <c r="I7" s="75">
        <f t="shared" si="2"/>
        <v>2.5954198473282442E-2</v>
      </c>
      <c r="J7" s="77"/>
      <c r="K7" s="72">
        <f t="shared" si="3"/>
        <v>2.9411764705882353E-2</v>
      </c>
      <c r="L7" s="65">
        <f t="shared" si="1"/>
        <v>9</v>
      </c>
      <c r="M7" s="69" t="s">
        <v>4610</v>
      </c>
    </row>
    <row r="8" spans="1:13" x14ac:dyDescent="0.35">
      <c r="G8" s="88" t="s">
        <v>4611</v>
      </c>
      <c r="H8" s="89">
        <v>8</v>
      </c>
      <c r="I8" s="90">
        <f t="shared" si="2"/>
        <v>1.2213740458015267E-2</v>
      </c>
      <c r="J8" s="85"/>
      <c r="K8" s="91">
        <f t="shared" si="3"/>
        <v>3.2679738562091504E-3</v>
      </c>
      <c r="L8" s="89">
        <f t="shared" si="1"/>
        <v>1</v>
      </c>
      <c r="M8" s="92" t="s">
        <v>4612</v>
      </c>
    </row>
    <row r="9" spans="1:13" ht="15" thickBot="1" x14ac:dyDescent="0.4">
      <c r="E9" s="37"/>
      <c r="G9" s="66" t="s">
        <v>4613</v>
      </c>
      <c r="H9" s="65">
        <v>7</v>
      </c>
      <c r="I9" s="75">
        <f t="shared" si="2"/>
        <v>1.0687022900763359E-2</v>
      </c>
      <c r="J9" s="77"/>
      <c r="K9" s="72">
        <f t="shared" si="3"/>
        <v>1.6339869281045753E-2</v>
      </c>
      <c r="L9" s="65">
        <f t="shared" si="1"/>
        <v>5</v>
      </c>
      <c r="M9" s="69" t="s">
        <v>4614</v>
      </c>
    </row>
    <row r="10" spans="1:13" x14ac:dyDescent="0.35">
      <c r="A10" s="29" t="s">
        <v>4626</v>
      </c>
      <c r="B10" s="13" t="s">
        <v>4592</v>
      </c>
      <c r="C10" s="13" t="s">
        <v>4593</v>
      </c>
      <c r="D10" s="15" t="s">
        <v>4594</v>
      </c>
      <c r="G10" s="88" t="s">
        <v>4616</v>
      </c>
      <c r="H10" s="89">
        <v>2</v>
      </c>
      <c r="I10" s="90">
        <f t="shared" si="2"/>
        <v>3.0534351145038168E-3</v>
      </c>
      <c r="J10" s="85"/>
      <c r="K10" s="91">
        <f t="shared" si="3"/>
        <v>3.2679738562091504E-3</v>
      </c>
      <c r="L10" s="89">
        <v>1</v>
      </c>
      <c r="M10" s="92" t="s">
        <v>4617</v>
      </c>
    </row>
    <row r="11" spans="1:13" ht="15" thickBot="1" x14ac:dyDescent="0.4">
      <c r="A11" s="22" t="s">
        <v>4627</v>
      </c>
      <c r="B11" s="6">
        <v>137</v>
      </c>
      <c r="C11" s="30"/>
      <c r="D11" s="31"/>
      <c r="G11" s="67" t="s">
        <v>4619</v>
      </c>
      <c r="H11" s="74">
        <v>2</v>
      </c>
      <c r="I11" s="76">
        <f t="shared" si="2"/>
        <v>3.0534351145038168E-3</v>
      </c>
      <c r="J11" s="77"/>
      <c r="K11" s="73">
        <f t="shared" si="3"/>
        <v>3.2679738562091504E-3</v>
      </c>
      <c r="L11" s="74">
        <v>1</v>
      </c>
      <c r="M11" s="70" t="s">
        <v>4620</v>
      </c>
    </row>
    <row r="12" spans="1:13" ht="15" thickBot="1" x14ac:dyDescent="0.4">
      <c r="A12" s="22" t="s">
        <v>4626</v>
      </c>
      <c r="B12" s="30"/>
      <c r="C12" s="52">
        <v>0.93924766416546368</v>
      </c>
      <c r="D12" s="42">
        <v>9246258.2700000014</v>
      </c>
      <c r="G12" s="93" t="s">
        <v>4622</v>
      </c>
      <c r="H12" s="78">
        <f>SUM(H2:H11)</f>
        <v>655</v>
      </c>
      <c r="I12" s="79">
        <f>SUM(I2:I11)</f>
        <v>1</v>
      </c>
      <c r="J12" s="71"/>
      <c r="K12" s="80">
        <f>SUM(K2:K11)</f>
        <v>1</v>
      </c>
      <c r="L12" s="81">
        <f>SUM(L2:L11)</f>
        <v>306</v>
      </c>
      <c r="M12" s="94" t="s">
        <v>4623</v>
      </c>
    </row>
    <row r="13" spans="1:13" x14ac:dyDescent="0.35">
      <c r="A13" s="22" t="s">
        <v>4628</v>
      </c>
      <c r="B13" s="30"/>
      <c r="C13" s="34">
        <v>6.2455774839212885E-2</v>
      </c>
      <c r="D13" s="42">
        <v>302735.95600000001</v>
      </c>
    </row>
    <row r="14" spans="1:13" x14ac:dyDescent="0.35">
      <c r="A14" s="22" t="s">
        <v>4629</v>
      </c>
      <c r="B14" s="30"/>
      <c r="C14" s="23">
        <v>6.844556273567054E-2</v>
      </c>
      <c r="D14" s="42">
        <v>332032.984</v>
      </c>
    </row>
    <row r="15" spans="1:13" x14ac:dyDescent="0.35">
      <c r="A15" s="22" t="s">
        <v>4630</v>
      </c>
      <c r="B15" s="30"/>
      <c r="C15" s="30"/>
      <c r="D15" s="42">
        <v>4801052</v>
      </c>
      <c r="G15" s="37"/>
    </row>
    <row r="16" spans="1:13" x14ac:dyDescent="0.35">
      <c r="A16" s="22" t="s">
        <v>4631</v>
      </c>
      <c r="B16" s="6">
        <v>18</v>
      </c>
      <c r="C16" s="23">
        <v>0.14000000000000001</v>
      </c>
      <c r="D16" s="32"/>
      <c r="G16" s="37"/>
    </row>
    <row r="17" spans="1:7" x14ac:dyDescent="0.35">
      <c r="A17" s="22" t="s">
        <v>4632</v>
      </c>
      <c r="B17" s="33"/>
      <c r="C17" s="23">
        <v>0.23</v>
      </c>
      <c r="D17" s="32"/>
      <c r="F17" s="34"/>
      <c r="G17" s="37"/>
    </row>
    <row r="18" spans="1:7" ht="15" thickBot="1" x14ac:dyDescent="0.4">
      <c r="A18" s="25" t="s">
        <v>4633</v>
      </c>
      <c r="B18" s="26">
        <v>14</v>
      </c>
      <c r="C18" s="36">
        <v>0.02</v>
      </c>
      <c r="D18" s="28">
        <v>50706.66</v>
      </c>
      <c r="G18" s="37"/>
    </row>
    <row r="19" spans="1:7" x14ac:dyDescent="0.35">
      <c r="G19" s="37"/>
    </row>
  </sheetData>
  <pageMargins left="0.7" right="0.7" top="0.75" bottom="0.75" header="0.3" footer="0.3"/>
  <ignoredErrors>
    <ignoredError sqref="B2 D2" formulaRange="1"/>
    <ignoredError sqref="C2" formula="1" formulaRange="1"/>
  </ignoredError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72CC5-7503-45B9-94B6-8D9C1A589110}">
  <sheetPr codeName="Sheet51"/>
  <dimension ref="A1:M19"/>
  <sheetViews>
    <sheetView workbookViewId="0">
      <selection activeCell="B6" sqref="B6"/>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593</v>
      </c>
      <c r="C2" s="19">
        <f>B2/$B$7</f>
        <v>0.91371340523882894</v>
      </c>
      <c r="D2" s="20">
        <f>SUM(D3:D5)</f>
        <v>14033152</v>
      </c>
      <c r="E2" s="21">
        <f t="shared" ref="E2:E7" si="0">D2/B2</f>
        <v>23664.674536256323</v>
      </c>
      <c r="G2" s="82" t="s">
        <v>4599</v>
      </c>
      <c r="H2" s="83">
        <v>302</v>
      </c>
      <c r="I2" s="84">
        <f>H2/$H$12</f>
        <v>0.46533127889060094</v>
      </c>
      <c r="J2" s="85"/>
      <c r="K2" s="86">
        <f>L2/$L$12</f>
        <v>0.50331125827814571</v>
      </c>
      <c r="L2" s="83">
        <f t="shared" ref="L2:L9" si="1">H2-H3</f>
        <v>152</v>
      </c>
      <c r="M2" s="87" t="s">
        <v>4600</v>
      </c>
    </row>
    <row r="3" spans="1:13" x14ac:dyDescent="0.35">
      <c r="A3" s="22" t="s">
        <v>13</v>
      </c>
      <c r="B3" s="6">
        <v>485</v>
      </c>
      <c r="C3" s="19">
        <f>B3/$B$7</f>
        <v>0.74730354391371345</v>
      </c>
      <c r="D3" s="24">
        <v>11123652</v>
      </c>
      <c r="E3" s="21">
        <f t="shared" si="0"/>
        <v>22935.364948453607</v>
      </c>
      <c r="F3" s="37"/>
      <c r="G3" s="66" t="s">
        <v>4601</v>
      </c>
      <c r="H3" s="65">
        <v>150</v>
      </c>
      <c r="I3" s="75">
        <f t="shared" ref="I3:I11" si="2">H3/$H$12</f>
        <v>0.23112480739599384</v>
      </c>
      <c r="J3" s="77"/>
      <c r="K3" s="72">
        <f t="shared" ref="K3:K11" si="3">L3/$L$12</f>
        <v>0.21523178807947019</v>
      </c>
      <c r="L3" s="65">
        <f t="shared" si="1"/>
        <v>65</v>
      </c>
      <c r="M3" s="69" t="s">
        <v>4602</v>
      </c>
    </row>
    <row r="4" spans="1:13" x14ac:dyDescent="0.35">
      <c r="A4" s="22" t="s">
        <v>55</v>
      </c>
      <c r="B4" s="6">
        <v>22</v>
      </c>
      <c r="C4" s="19">
        <f>B4/$B$7</f>
        <v>3.3898305084745763E-2</v>
      </c>
      <c r="D4" s="24">
        <v>312000</v>
      </c>
      <c r="E4" s="21">
        <f t="shared" si="0"/>
        <v>14181.818181818182</v>
      </c>
      <c r="G4" s="88" t="s">
        <v>4603</v>
      </c>
      <c r="H4" s="89">
        <v>85</v>
      </c>
      <c r="I4" s="90">
        <f t="shared" si="2"/>
        <v>0.13097072419106318</v>
      </c>
      <c r="J4" s="85"/>
      <c r="K4" s="91">
        <f t="shared" si="3"/>
        <v>0.11589403973509933</v>
      </c>
      <c r="L4" s="89">
        <f t="shared" si="1"/>
        <v>35</v>
      </c>
      <c r="M4" s="92" t="s">
        <v>4604</v>
      </c>
    </row>
    <row r="5" spans="1:13" x14ac:dyDescent="0.35">
      <c r="A5" s="22" t="s">
        <v>70</v>
      </c>
      <c r="B5" s="6">
        <v>86</v>
      </c>
      <c r="C5" s="19">
        <f>B5/$B$7</f>
        <v>0.13251155624036981</v>
      </c>
      <c r="D5" s="24">
        <v>2597500</v>
      </c>
      <c r="E5" s="21">
        <f t="shared" si="0"/>
        <v>30203.488372093023</v>
      </c>
      <c r="F5" s="37"/>
      <c r="G5" s="66" t="s">
        <v>4605</v>
      </c>
      <c r="H5" s="65">
        <v>50</v>
      </c>
      <c r="I5" s="75">
        <f t="shared" si="2"/>
        <v>7.7041602465331274E-2</v>
      </c>
      <c r="J5" s="77"/>
      <c r="K5" s="72">
        <f t="shared" si="3"/>
        <v>7.6158940397350994E-2</v>
      </c>
      <c r="L5" s="65">
        <f t="shared" si="1"/>
        <v>23</v>
      </c>
      <c r="M5" s="69" t="s">
        <v>4606</v>
      </c>
    </row>
    <row r="6" spans="1:13" x14ac:dyDescent="0.35">
      <c r="A6" s="22" t="s">
        <v>4648</v>
      </c>
      <c r="B6" s="6">
        <v>56</v>
      </c>
      <c r="C6" s="19">
        <f>B6/$B$7</f>
        <v>8.6286594761171037E-2</v>
      </c>
      <c r="D6" s="24">
        <v>263700</v>
      </c>
      <c r="E6" s="21">
        <f t="shared" si="0"/>
        <v>4708.9285714285716</v>
      </c>
      <c r="G6" s="88" t="s">
        <v>4607</v>
      </c>
      <c r="H6" s="89">
        <v>27</v>
      </c>
      <c r="I6" s="90">
        <f t="shared" si="2"/>
        <v>4.1602465331278891E-2</v>
      </c>
      <c r="J6" s="85"/>
      <c r="K6" s="91">
        <f t="shared" si="3"/>
        <v>3.3112582781456956E-2</v>
      </c>
      <c r="L6" s="89">
        <f t="shared" si="1"/>
        <v>10</v>
      </c>
      <c r="M6" s="92" t="s">
        <v>4608</v>
      </c>
    </row>
    <row r="7" spans="1:13" ht="15" thickBot="1" x14ac:dyDescent="0.4">
      <c r="A7" s="55" t="s">
        <v>633</v>
      </c>
      <c r="B7" s="56">
        <f>B2+B6</f>
        <v>649</v>
      </c>
      <c r="C7" s="56"/>
      <c r="D7" s="53">
        <f>D2+D6</f>
        <v>14296852</v>
      </c>
      <c r="E7" s="54">
        <f t="shared" si="0"/>
        <v>22029.04776579353</v>
      </c>
      <c r="G7" s="66" t="s">
        <v>4609</v>
      </c>
      <c r="H7" s="65">
        <v>17</v>
      </c>
      <c r="I7" s="75">
        <f t="shared" si="2"/>
        <v>2.6194144838212634E-2</v>
      </c>
      <c r="J7" s="77"/>
      <c r="K7" s="72">
        <f t="shared" si="3"/>
        <v>2.9801324503311258E-2</v>
      </c>
      <c r="L7" s="65">
        <f t="shared" si="1"/>
        <v>9</v>
      </c>
      <c r="M7" s="69" t="s">
        <v>4610</v>
      </c>
    </row>
    <row r="8" spans="1:13" x14ac:dyDescent="0.35">
      <c r="G8" s="88" t="s">
        <v>4611</v>
      </c>
      <c r="H8" s="89">
        <v>8</v>
      </c>
      <c r="I8" s="90">
        <f t="shared" si="2"/>
        <v>1.2326656394453005E-2</v>
      </c>
      <c r="J8" s="85"/>
      <c r="K8" s="91">
        <f t="shared" si="3"/>
        <v>6.6225165562913907E-3</v>
      </c>
      <c r="L8" s="89">
        <f t="shared" si="1"/>
        <v>2</v>
      </c>
      <c r="M8" s="92" t="s">
        <v>4612</v>
      </c>
    </row>
    <row r="9" spans="1:13" ht="15" thickBot="1" x14ac:dyDescent="0.4">
      <c r="E9" s="37"/>
      <c r="G9" s="66" t="s">
        <v>4613</v>
      </c>
      <c r="H9" s="65">
        <v>6</v>
      </c>
      <c r="I9" s="75">
        <f t="shared" si="2"/>
        <v>9.2449922958397542E-3</v>
      </c>
      <c r="J9" s="77"/>
      <c r="K9" s="72">
        <f t="shared" si="3"/>
        <v>1.3245033112582781E-2</v>
      </c>
      <c r="L9" s="65">
        <f t="shared" si="1"/>
        <v>4</v>
      </c>
      <c r="M9" s="69" t="s">
        <v>4614</v>
      </c>
    </row>
    <row r="10" spans="1:13" x14ac:dyDescent="0.35">
      <c r="A10" s="29" t="s">
        <v>4626</v>
      </c>
      <c r="B10" s="13" t="s">
        <v>4592</v>
      </c>
      <c r="C10" s="13" t="s">
        <v>4593</v>
      </c>
      <c r="D10" s="15" t="s">
        <v>4594</v>
      </c>
      <c r="G10" s="88" t="s">
        <v>4616</v>
      </c>
      <c r="H10" s="89">
        <v>2</v>
      </c>
      <c r="I10" s="90">
        <f t="shared" si="2"/>
        <v>3.0816640986132513E-3</v>
      </c>
      <c r="J10" s="85"/>
      <c r="K10" s="91">
        <f t="shared" si="3"/>
        <v>3.3112582781456954E-3</v>
      </c>
      <c r="L10" s="89">
        <v>1</v>
      </c>
      <c r="M10" s="92" t="s">
        <v>4617</v>
      </c>
    </row>
    <row r="11" spans="1:13" ht="15" thickBot="1" x14ac:dyDescent="0.4">
      <c r="A11" s="22" t="s">
        <v>4627</v>
      </c>
      <c r="B11" s="6">
        <v>131</v>
      </c>
      <c r="C11" s="30"/>
      <c r="D11" s="31"/>
      <c r="G11" s="67" t="s">
        <v>4619</v>
      </c>
      <c r="H11" s="74">
        <v>2</v>
      </c>
      <c r="I11" s="76">
        <f t="shared" si="2"/>
        <v>3.0816640986132513E-3</v>
      </c>
      <c r="J11" s="77"/>
      <c r="K11" s="73">
        <f t="shared" si="3"/>
        <v>3.3112582781456954E-3</v>
      </c>
      <c r="L11" s="74">
        <v>1</v>
      </c>
      <c r="M11" s="70" t="s">
        <v>4620</v>
      </c>
    </row>
    <row r="12" spans="1:13" ht="15" thickBot="1" x14ac:dyDescent="0.4">
      <c r="A12" s="22" t="s">
        <v>4626</v>
      </c>
      <c r="B12" s="30"/>
      <c r="C12" s="52">
        <v>0.94</v>
      </c>
      <c r="D12" s="42">
        <v>5550105</v>
      </c>
      <c r="G12" s="93" t="s">
        <v>4622</v>
      </c>
      <c r="H12" s="78">
        <f>SUM(H2:H11)</f>
        <v>649</v>
      </c>
      <c r="I12" s="79">
        <f>SUM(I2:I11)</f>
        <v>0.99999999999999978</v>
      </c>
      <c r="J12" s="71"/>
      <c r="K12" s="80">
        <f>SUM(K2:K11)</f>
        <v>1</v>
      </c>
      <c r="L12" s="81">
        <f>SUM(L2:L11)</f>
        <v>302</v>
      </c>
      <c r="M12" s="94" t="s">
        <v>4623</v>
      </c>
    </row>
    <row r="13" spans="1:13" x14ac:dyDescent="0.35">
      <c r="A13" s="22" t="s">
        <v>4628</v>
      </c>
      <c r="B13" s="30"/>
      <c r="C13" s="34">
        <v>0.06</v>
      </c>
      <c r="D13" s="42">
        <v>329493</v>
      </c>
    </row>
    <row r="14" spans="1:13" x14ac:dyDescent="0.35">
      <c r="A14" s="22" t="s">
        <v>4629</v>
      </c>
      <c r="B14" s="30"/>
      <c r="C14" s="23">
        <v>0.06</v>
      </c>
      <c r="D14" s="42">
        <v>261656</v>
      </c>
    </row>
    <row r="15" spans="1:13" x14ac:dyDescent="0.35">
      <c r="A15" s="22" t="s">
        <v>4630</v>
      </c>
      <c r="B15" s="30"/>
      <c r="C15" s="30"/>
      <c r="D15" s="42">
        <v>4203721</v>
      </c>
      <c r="G15" s="37"/>
    </row>
    <row r="16" spans="1:13" x14ac:dyDescent="0.35">
      <c r="A16" s="22" t="s">
        <v>4631</v>
      </c>
      <c r="B16" s="6">
        <v>18</v>
      </c>
      <c r="C16" s="23">
        <v>0.14000000000000001</v>
      </c>
      <c r="D16" s="32"/>
      <c r="G16" s="37"/>
    </row>
    <row r="17" spans="1:7" x14ac:dyDescent="0.35">
      <c r="A17" s="22" t="s">
        <v>4632</v>
      </c>
      <c r="B17" s="33"/>
      <c r="C17" s="23">
        <v>0.23</v>
      </c>
      <c r="D17" s="32"/>
      <c r="F17" s="34"/>
      <c r="G17" s="37"/>
    </row>
    <row r="18" spans="1:7" ht="15" thickBot="1" x14ac:dyDescent="0.4">
      <c r="A18" s="25" t="s">
        <v>4633</v>
      </c>
      <c r="B18" s="26">
        <v>14</v>
      </c>
      <c r="C18" s="36">
        <v>0.02</v>
      </c>
      <c r="D18" s="28">
        <v>50707</v>
      </c>
      <c r="G18" s="37"/>
    </row>
    <row r="19" spans="1:7" x14ac:dyDescent="0.35">
      <c r="G19" s="37"/>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F88CD-EBED-4C26-9A94-2A790DA10612}">
  <sheetPr codeName="Sheet52"/>
  <dimension ref="A1:M23"/>
  <sheetViews>
    <sheetView workbookViewId="0">
      <selection activeCell="B12" sqref="B12"/>
    </sheetView>
  </sheetViews>
  <sheetFormatPr defaultColWidth="9.1796875" defaultRowHeight="14.5" x14ac:dyDescent="0.35"/>
  <cols>
    <col min="1" max="1" width="31.72656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574</v>
      </c>
      <c r="C2" s="19">
        <f>B2/$B$7</f>
        <v>0.91111111111111109</v>
      </c>
      <c r="D2" s="20">
        <f>SUM(D3:D5)</f>
        <v>13061152</v>
      </c>
      <c r="E2" s="21">
        <f t="shared" ref="E2:E7" si="0">D2/B2</f>
        <v>22754.620209059234</v>
      </c>
      <c r="G2" s="82" t="s">
        <v>4599</v>
      </c>
      <c r="H2" s="83">
        <v>292</v>
      </c>
      <c r="I2" s="84">
        <f>H2/$H$12</f>
        <v>0.46349206349206351</v>
      </c>
      <c r="J2" s="85"/>
      <c r="K2" s="86">
        <f>L2/$L$12</f>
        <v>0.49657534246575341</v>
      </c>
      <c r="L2" s="83">
        <f t="shared" ref="L2:L9" si="1">H2-H3</f>
        <v>145</v>
      </c>
      <c r="M2" s="87" t="s">
        <v>4600</v>
      </c>
    </row>
    <row r="3" spans="1:13" x14ac:dyDescent="0.35">
      <c r="A3" s="22" t="s">
        <v>13</v>
      </c>
      <c r="B3" s="6">
        <v>468</v>
      </c>
      <c r="C3" s="19">
        <f>B3/$B$7</f>
        <v>0.74285714285714288</v>
      </c>
      <c r="D3" s="24">
        <v>10194652</v>
      </c>
      <c r="E3" s="21">
        <f t="shared" si="0"/>
        <v>21783.444444444445</v>
      </c>
      <c r="F3" s="37"/>
      <c r="G3" s="66" t="s">
        <v>4601</v>
      </c>
      <c r="H3" s="65">
        <v>147</v>
      </c>
      <c r="I3" s="75">
        <f t="shared" ref="I3:I11" si="2">H3/$H$12</f>
        <v>0.23333333333333334</v>
      </c>
      <c r="J3" s="77"/>
      <c r="K3" s="72">
        <f t="shared" ref="K3:K11" si="3">L3/$L$12</f>
        <v>0.2226027397260274</v>
      </c>
      <c r="L3" s="65">
        <f t="shared" si="1"/>
        <v>65</v>
      </c>
      <c r="M3" s="69" t="s">
        <v>4602</v>
      </c>
    </row>
    <row r="4" spans="1:13" x14ac:dyDescent="0.35">
      <c r="A4" s="22" t="s">
        <v>55</v>
      </c>
      <c r="B4" s="6">
        <v>22</v>
      </c>
      <c r="C4" s="19">
        <f>B4/$B$7</f>
        <v>3.4920634920634921E-2</v>
      </c>
      <c r="D4" s="24">
        <v>312000</v>
      </c>
      <c r="E4" s="21">
        <f t="shared" si="0"/>
        <v>14181.818181818182</v>
      </c>
      <c r="G4" s="88" t="s">
        <v>4603</v>
      </c>
      <c r="H4" s="89">
        <v>82</v>
      </c>
      <c r="I4" s="90">
        <f t="shared" si="2"/>
        <v>0.13015873015873017</v>
      </c>
      <c r="J4" s="85"/>
      <c r="K4" s="91">
        <f t="shared" si="3"/>
        <v>0.11643835616438356</v>
      </c>
      <c r="L4" s="89">
        <f t="shared" si="1"/>
        <v>34</v>
      </c>
      <c r="M4" s="92" t="s">
        <v>4604</v>
      </c>
    </row>
    <row r="5" spans="1:13" x14ac:dyDescent="0.35">
      <c r="A5" s="22" t="s">
        <v>70</v>
      </c>
      <c r="B5" s="6">
        <v>84</v>
      </c>
      <c r="C5" s="19">
        <f>B5/$B$7</f>
        <v>0.13333333333333333</v>
      </c>
      <c r="D5" s="24">
        <v>2554500</v>
      </c>
      <c r="E5" s="21">
        <f t="shared" si="0"/>
        <v>30410.714285714286</v>
      </c>
      <c r="F5" s="37"/>
      <c r="G5" s="66" t="s">
        <v>4605</v>
      </c>
      <c r="H5" s="65">
        <v>48</v>
      </c>
      <c r="I5" s="75">
        <f t="shared" si="2"/>
        <v>7.6190476190476197E-2</v>
      </c>
      <c r="J5" s="77"/>
      <c r="K5" s="72">
        <f t="shared" si="3"/>
        <v>7.5342465753424653E-2</v>
      </c>
      <c r="L5" s="65">
        <f t="shared" si="1"/>
        <v>22</v>
      </c>
      <c r="M5" s="69" t="s">
        <v>4606</v>
      </c>
    </row>
    <row r="6" spans="1:13" x14ac:dyDescent="0.35">
      <c r="A6" s="22" t="s">
        <v>4648</v>
      </c>
      <c r="B6" s="6">
        <v>56</v>
      </c>
      <c r="C6" s="19">
        <f>B6/$B$7</f>
        <v>8.8888888888888892E-2</v>
      </c>
      <c r="D6" s="24">
        <v>263700</v>
      </c>
      <c r="E6" s="21">
        <f t="shared" si="0"/>
        <v>4708.9285714285716</v>
      </c>
      <c r="G6" s="88" t="s">
        <v>4607</v>
      </c>
      <c r="H6" s="89">
        <v>26</v>
      </c>
      <c r="I6" s="90">
        <f t="shared" si="2"/>
        <v>4.1269841269841269E-2</v>
      </c>
      <c r="J6" s="85"/>
      <c r="K6" s="91">
        <f t="shared" si="3"/>
        <v>3.0821917808219176E-2</v>
      </c>
      <c r="L6" s="89">
        <f t="shared" si="1"/>
        <v>9</v>
      </c>
      <c r="M6" s="92" t="s">
        <v>4608</v>
      </c>
    </row>
    <row r="7" spans="1:13" ht="15" thickBot="1" x14ac:dyDescent="0.4">
      <c r="A7" s="55" t="s">
        <v>633</v>
      </c>
      <c r="B7" s="56">
        <f>B2+B6</f>
        <v>630</v>
      </c>
      <c r="C7" s="56"/>
      <c r="D7" s="53">
        <f>D2+D6</f>
        <v>13324852</v>
      </c>
      <c r="E7" s="54">
        <f t="shared" si="0"/>
        <v>21150.558730158729</v>
      </c>
      <c r="G7" s="66" t="s">
        <v>4609</v>
      </c>
      <c r="H7" s="65">
        <v>17</v>
      </c>
      <c r="I7" s="75">
        <f t="shared" si="2"/>
        <v>2.6984126984126985E-2</v>
      </c>
      <c r="J7" s="77"/>
      <c r="K7" s="72">
        <f t="shared" si="3"/>
        <v>3.0821917808219176E-2</v>
      </c>
      <c r="L7" s="65">
        <f t="shared" si="1"/>
        <v>9</v>
      </c>
      <c r="M7" s="69" t="s">
        <v>4610</v>
      </c>
    </row>
    <row r="8" spans="1:13" x14ac:dyDescent="0.35">
      <c r="G8" s="88" t="s">
        <v>4611</v>
      </c>
      <c r="H8" s="89">
        <v>8</v>
      </c>
      <c r="I8" s="90">
        <f t="shared" si="2"/>
        <v>1.2698412698412698E-2</v>
      </c>
      <c r="J8" s="85"/>
      <c r="K8" s="91">
        <f t="shared" si="3"/>
        <v>6.8493150684931503E-3</v>
      </c>
      <c r="L8" s="89">
        <f t="shared" si="1"/>
        <v>2</v>
      </c>
      <c r="M8" s="92" t="s">
        <v>4612</v>
      </c>
    </row>
    <row r="9" spans="1:13" ht="15" thickBot="1" x14ac:dyDescent="0.4">
      <c r="G9" s="66" t="s">
        <v>4613</v>
      </c>
      <c r="H9" s="65">
        <v>6</v>
      </c>
      <c r="I9" s="75">
        <f t="shared" si="2"/>
        <v>9.5238095238095247E-3</v>
      </c>
      <c r="J9" s="77"/>
      <c r="K9" s="72">
        <f t="shared" si="3"/>
        <v>1.3698630136986301E-2</v>
      </c>
      <c r="L9" s="65">
        <f t="shared" si="1"/>
        <v>4</v>
      </c>
      <c r="M9" s="69" t="s">
        <v>4614</v>
      </c>
    </row>
    <row r="10" spans="1:13" x14ac:dyDescent="0.35">
      <c r="A10" s="29" t="s">
        <v>4615</v>
      </c>
      <c r="B10" s="13" t="s">
        <v>4592</v>
      </c>
      <c r="C10" s="100" t="s">
        <v>4593</v>
      </c>
      <c r="G10" s="88" t="s">
        <v>4616</v>
      </c>
      <c r="H10" s="89">
        <v>2</v>
      </c>
      <c r="I10" s="90">
        <f t="shared" si="2"/>
        <v>3.1746031746031746E-3</v>
      </c>
      <c r="J10" s="85"/>
      <c r="K10" s="91">
        <f t="shared" si="3"/>
        <v>3.4246575342465752E-3</v>
      </c>
      <c r="L10" s="89">
        <v>1</v>
      </c>
      <c r="M10" s="92" t="s">
        <v>4617</v>
      </c>
    </row>
    <row r="11" spans="1:13" ht="15" thickBot="1" x14ac:dyDescent="0.4">
      <c r="A11" s="17" t="s">
        <v>4618</v>
      </c>
      <c r="B11" s="6"/>
      <c r="C11" s="30"/>
      <c r="G11" s="67" t="s">
        <v>4619</v>
      </c>
      <c r="H11" s="74">
        <v>2</v>
      </c>
      <c r="I11" s="76">
        <f t="shared" si="2"/>
        <v>3.1746031746031746E-3</v>
      </c>
      <c r="J11" s="77"/>
      <c r="K11" s="73">
        <f t="shared" si="3"/>
        <v>3.4246575342465752E-3</v>
      </c>
      <c r="L11" s="74">
        <v>1</v>
      </c>
      <c r="M11" s="70" t="s">
        <v>4620</v>
      </c>
    </row>
    <row r="12" spans="1:13" ht="15" thickBot="1" x14ac:dyDescent="0.4">
      <c r="A12" s="101" t="s">
        <v>4621</v>
      </c>
      <c r="B12" s="26"/>
      <c r="C12" s="102">
        <f>B12/800</f>
        <v>0</v>
      </c>
      <c r="G12" s="93" t="s">
        <v>4622</v>
      </c>
      <c r="H12" s="78">
        <f>SUM(H2:H11)</f>
        <v>630</v>
      </c>
      <c r="I12" s="79">
        <f>SUM(I2:I11)</f>
        <v>0.99999999999999978</v>
      </c>
      <c r="J12" s="71"/>
      <c r="K12" s="80">
        <f>SUM(K2:K11)</f>
        <v>1</v>
      </c>
      <c r="L12" s="81">
        <f>SUM(L2:L11)</f>
        <v>292</v>
      </c>
      <c r="M12" s="94" t="s">
        <v>4623</v>
      </c>
    </row>
    <row r="13" spans="1:13" x14ac:dyDescent="0.35">
      <c r="A13" s="103" t="s">
        <v>4624</v>
      </c>
    </row>
    <row r="14" spans="1:13" ht="15" thickBot="1" x14ac:dyDescent="0.4">
      <c r="E14" s="37"/>
      <c r="G14" s="37"/>
    </row>
    <row r="15" spans="1:13" x14ac:dyDescent="0.35">
      <c r="A15" s="29" t="s">
        <v>4626</v>
      </c>
      <c r="B15" s="13" t="s">
        <v>4592</v>
      </c>
      <c r="C15" s="13" t="s">
        <v>4593</v>
      </c>
      <c r="D15" s="15" t="s">
        <v>4594</v>
      </c>
      <c r="G15" s="37"/>
    </row>
    <row r="16" spans="1:13" x14ac:dyDescent="0.35">
      <c r="A16" s="22" t="s">
        <v>4627</v>
      </c>
      <c r="B16" s="6">
        <v>122</v>
      </c>
      <c r="C16" s="30"/>
      <c r="D16" s="31"/>
      <c r="F16" s="34"/>
      <c r="G16" s="40"/>
    </row>
    <row r="17" spans="1:4" x14ac:dyDescent="0.35">
      <c r="A17" s="22" t="s">
        <v>4626</v>
      </c>
      <c r="B17" s="30"/>
      <c r="C17" s="52">
        <v>0.94</v>
      </c>
      <c r="D17" s="42">
        <v>5203207</v>
      </c>
    </row>
    <row r="18" spans="1:4" x14ac:dyDescent="0.35">
      <c r="A18" s="22" t="s">
        <v>4628</v>
      </c>
      <c r="B18" s="30"/>
      <c r="C18" s="34">
        <v>0.06</v>
      </c>
      <c r="D18" s="42">
        <v>325367</v>
      </c>
    </row>
    <row r="19" spans="1:4" x14ac:dyDescent="0.35">
      <c r="A19" s="22" t="s">
        <v>4629</v>
      </c>
      <c r="B19" s="30"/>
      <c r="C19" s="23">
        <v>7.0000000000000007E-2</v>
      </c>
      <c r="D19" s="42">
        <v>239240</v>
      </c>
    </row>
    <row r="20" spans="1:4" x14ac:dyDescent="0.35">
      <c r="A20" s="22" t="s">
        <v>4630</v>
      </c>
      <c r="B20" s="30"/>
      <c r="C20" s="30"/>
      <c r="D20" s="42">
        <v>3340853</v>
      </c>
    </row>
    <row r="21" spans="1:4" x14ac:dyDescent="0.35">
      <c r="A21" s="22" t="s">
        <v>4631</v>
      </c>
      <c r="B21" s="6">
        <v>17</v>
      </c>
      <c r="C21" s="23">
        <v>0.14000000000000001</v>
      </c>
      <c r="D21" s="32"/>
    </row>
    <row r="22" spans="1:4" x14ac:dyDescent="0.35">
      <c r="A22" s="22" t="s">
        <v>4632</v>
      </c>
      <c r="B22" s="33"/>
      <c r="C22" s="23">
        <v>0.23</v>
      </c>
      <c r="D22" s="32"/>
    </row>
    <row r="23" spans="1:4" ht="15" thickBot="1" x14ac:dyDescent="0.4">
      <c r="A23" s="25" t="s">
        <v>4633</v>
      </c>
      <c r="B23" s="26">
        <v>14</v>
      </c>
      <c r="C23" s="36">
        <v>0.02</v>
      </c>
      <c r="D23" s="28">
        <v>50707</v>
      </c>
    </row>
  </sheetData>
  <pageMargins left="0.7" right="0.7" top="0.75" bottom="0.75" header="0.3" footer="0.3"/>
  <ignoredErrors>
    <ignoredError sqref="D2" formulaRange="1"/>
  </ignoredError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538D-A37A-4CAA-9A3E-F54CA829AE60}">
  <sheetPr codeName="Sheet53"/>
  <dimension ref="A1:M18"/>
  <sheetViews>
    <sheetView workbookViewId="0">
      <selection activeCell="L16" sqref="L16"/>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19.1796875" customWidth="1"/>
    <col min="8" max="8" width="6.1796875" customWidth="1"/>
    <col min="9" max="9" width="7.26953125" customWidth="1"/>
    <col min="10" max="10" width="1.26953125" customWidth="1"/>
    <col min="11" max="11" width="6.5429687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565</v>
      </c>
      <c r="C2" s="19">
        <f>B2/$B$7</f>
        <v>0.91276252019386106</v>
      </c>
      <c r="D2" s="20">
        <f>SUM(D3:D5)</f>
        <v>12406152</v>
      </c>
      <c r="E2" s="21">
        <f t="shared" ref="E2:E7" si="0">D2/B2</f>
        <v>21957.791150442477</v>
      </c>
      <c r="G2" s="82" t="s">
        <v>4599</v>
      </c>
      <c r="H2" s="83">
        <v>289</v>
      </c>
      <c r="I2" s="84">
        <f>H2/$H$12</f>
        <v>0.46688206785137321</v>
      </c>
      <c r="J2" s="85"/>
      <c r="K2" s="86">
        <f>L2/$L$12</f>
        <v>0.49480968858131485</v>
      </c>
      <c r="L2" s="83">
        <f t="shared" ref="L2:L9" si="1">H2-H3</f>
        <v>143</v>
      </c>
      <c r="M2" s="87" t="s">
        <v>4600</v>
      </c>
    </row>
    <row r="3" spans="1:13" x14ac:dyDescent="0.35">
      <c r="A3" s="22" t="s">
        <v>13</v>
      </c>
      <c r="B3" s="6">
        <v>461</v>
      </c>
      <c r="C3" s="19">
        <f>B3/$B$7</f>
        <v>0.74474959612277869</v>
      </c>
      <c r="D3" s="24">
        <v>9644652</v>
      </c>
      <c r="E3" s="21">
        <f t="shared" si="0"/>
        <v>20921.154013015184</v>
      </c>
      <c r="F3" s="37"/>
      <c r="G3" s="66" t="s">
        <v>4601</v>
      </c>
      <c r="H3" s="65">
        <v>146</v>
      </c>
      <c r="I3" s="75">
        <f t="shared" ref="I3:I11" si="2">H3/$H$12</f>
        <v>0.23586429725363489</v>
      </c>
      <c r="J3" s="77"/>
      <c r="K3" s="72">
        <f t="shared" ref="K3:K11" si="3">L3/$L$12</f>
        <v>0.22491349480968859</v>
      </c>
      <c r="L3" s="65">
        <f t="shared" si="1"/>
        <v>65</v>
      </c>
      <c r="M3" s="69" t="s">
        <v>4602</v>
      </c>
    </row>
    <row r="4" spans="1:13" x14ac:dyDescent="0.35">
      <c r="A4" s="22" t="s">
        <v>55</v>
      </c>
      <c r="B4" s="6">
        <v>22</v>
      </c>
      <c r="C4" s="19">
        <f>B4/$B$7</f>
        <v>3.5541195476575124E-2</v>
      </c>
      <c r="D4" s="24">
        <v>312000</v>
      </c>
      <c r="E4" s="21">
        <f t="shared" si="0"/>
        <v>14181.818181818182</v>
      </c>
      <c r="G4" s="88" t="s">
        <v>4603</v>
      </c>
      <c r="H4" s="89">
        <v>81</v>
      </c>
      <c r="I4" s="90">
        <f t="shared" si="2"/>
        <v>0.13085621970920841</v>
      </c>
      <c r="J4" s="85"/>
      <c r="K4" s="91">
        <f t="shared" si="3"/>
        <v>0.11764705882352941</v>
      </c>
      <c r="L4" s="89">
        <f t="shared" si="1"/>
        <v>34</v>
      </c>
      <c r="M4" s="92" t="s">
        <v>4604</v>
      </c>
    </row>
    <row r="5" spans="1:13" x14ac:dyDescent="0.35">
      <c r="A5" s="22" t="s">
        <v>70</v>
      </c>
      <c r="B5" s="6">
        <v>82</v>
      </c>
      <c r="C5" s="19">
        <f>B5/$B$7</f>
        <v>0.13247172859450726</v>
      </c>
      <c r="D5" s="24">
        <v>2449500</v>
      </c>
      <c r="E5" s="21">
        <f t="shared" si="0"/>
        <v>29871.951219512193</v>
      </c>
      <c r="F5" s="37"/>
      <c r="G5" s="66" t="s">
        <v>4605</v>
      </c>
      <c r="H5" s="65">
        <v>47</v>
      </c>
      <c r="I5" s="75">
        <f t="shared" si="2"/>
        <v>7.5928917609046853E-2</v>
      </c>
      <c r="J5" s="77"/>
      <c r="K5" s="72">
        <f t="shared" si="3"/>
        <v>7.2664359861591699E-2</v>
      </c>
      <c r="L5" s="65">
        <f t="shared" si="1"/>
        <v>21</v>
      </c>
      <c r="M5" s="69" t="s">
        <v>4606</v>
      </c>
    </row>
    <row r="6" spans="1:13" x14ac:dyDescent="0.35">
      <c r="A6" s="22" t="s">
        <v>4648</v>
      </c>
      <c r="B6" s="6">
        <v>54</v>
      </c>
      <c r="C6" s="19">
        <f>B6/$B$7</f>
        <v>8.723747980613894E-2</v>
      </c>
      <c r="D6" s="24">
        <v>254700</v>
      </c>
      <c r="E6" s="21">
        <f t="shared" si="0"/>
        <v>4716.666666666667</v>
      </c>
      <c r="G6" s="88" t="s">
        <v>4607</v>
      </c>
      <c r="H6" s="89">
        <v>26</v>
      </c>
      <c r="I6" s="90">
        <f t="shared" si="2"/>
        <v>4.2003231017770599E-2</v>
      </c>
      <c r="J6" s="85"/>
      <c r="K6" s="91">
        <f t="shared" si="3"/>
        <v>3.8062283737024222E-2</v>
      </c>
      <c r="L6" s="89">
        <f t="shared" si="1"/>
        <v>11</v>
      </c>
      <c r="M6" s="92" t="s">
        <v>4608</v>
      </c>
    </row>
    <row r="7" spans="1:13" ht="15" thickBot="1" x14ac:dyDescent="0.4">
      <c r="A7" s="55" t="s">
        <v>633</v>
      </c>
      <c r="B7" s="56">
        <f>B2+B6</f>
        <v>619</v>
      </c>
      <c r="C7" s="56"/>
      <c r="D7" s="53">
        <f>D2+D6</f>
        <v>12660852</v>
      </c>
      <c r="E7" s="54">
        <f t="shared" si="0"/>
        <v>20453.718901453958</v>
      </c>
      <c r="G7" s="66" t="s">
        <v>4609</v>
      </c>
      <c r="H7" s="65">
        <v>15</v>
      </c>
      <c r="I7" s="75">
        <f t="shared" si="2"/>
        <v>2.4232633279483037E-2</v>
      </c>
      <c r="J7" s="77"/>
      <c r="K7" s="72">
        <f t="shared" si="3"/>
        <v>2.4221453287197232E-2</v>
      </c>
      <c r="L7" s="65">
        <f t="shared" si="1"/>
        <v>7</v>
      </c>
      <c r="M7" s="69" t="s">
        <v>4610</v>
      </c>
    </row>
    <row r="8" spans="1:13" x14ac:dyDescent="0.35">
      <c r="G8" s="88" t="s">
        <v>4611</v>
      </c>
      <c r="H8" s="89">
        <v>8</v>
      </c>
      <c r="I8" s="90">
        <f t="shared" si="2"/>
        <v>1.2924071082390954E-2</v>
      </c>
      <c r="J8" s="85"/>
      <c r="K8" s="91">
        <f t="shared" si="3"/>
        <v>1.384083044982699E-2</v>
      </c>
      <c r="L8" s="89">
        <f t="shared" si="1"/>
        <v>4</v>
      </c>
      <c r="M8" s="92" t="s">
        <v>4612</v>
      </c>
    </row>
    <row r="9" spans="1:13" ht="15" thickBot="1" x14ac:dyDescent="0.4">
      <c r="E9" s="37"/>
      <c r="G9" s="66" t="s">
        <v>4613</v>
      </c>
      <c r="H9" s="65">
        <v>4</v>
      </c>
      <c r="I9" s="75">
        <f t="shared" si="2"/>
        <v>6.462035541195477E-3</v>
      </c>
      <c r="J9" s="77"/>
      <c r="K9" s="72">
        <f t="shared" si="3"/>
        <v>1.0380622837370242E-2</v>
      </c>
      <c r="L9" s="65">
        <f t="shared" si="1"/>
        <v>3</v>
      </c>
      <c r="M9" s="69" t="s">
        <v>4614</v>
      </c>
    </row>
    <row r="10" spans="1:13" x14ac:dyDescent="0.35">
      <c r="A10" s="29" t="s">
        <v>4626</v>
      </c>
      <c r="B10" s="13" t="s">
        <v>4592</v>
      </c>
      <c r="C10" s="13" t="s">
        <v>4593</v>
      </c>
      <c r="D10" s="15" t="s">
        <v>4594</v>
      </c>
      <c r="G10" s="88" t="s">
        <v>4616</v>
      </c>
      <c r="H10" s="89">
        <v>1</v>
      </c>
      <c r="I10" s="90">
        <f t="shared" si="2"/>
        <v>1.6155088852988692E-3</v>
      </c>
      <c r="J10" s="85"/>
      <c r="K10" s="91">
        <f t="shared" si="3"/>
        <v>0</v>
      </c>
      <c r="L10" s="89">
        <v>0</v>
      </c>
      <c r="M10" s="92" t="s">
        <v>4617</v>
      </c>
    </row>
    <row r="11" spans="1:13" ht="15" thickBot="1" x14ac:dyDescent="0.4">
      <c r="A11" s="22" t="s">
        <v>4627</v>
      </c>
      <c r="B11" s="6">
        <v>113</v>
      </c>
      <c r="C11" s="30"/>
      <c r="D11" s="31"/>
      <c r="G11" s="67" t="s">
        <v>4619</v>
      </c>
      <c r="H11" s="74">
        <v>2</v>
      </c>
      <c r="I11" s="76">
        <f t="shared" si="2"/>
        <v>3.2310177705977385E-3</v>
      </c>
      <c r="J11" s="77"/>
      <c r="K11" s="73">
        <f t="shared" si="3"/>
        <v>3.4602076124567475E-3</v>
      </c>
      <c r="L11" s="74">
        <v>1</v>
      </c>
      <c r="M11" s="70" t="s">
        <v>4620</v>
      </c>
    </row>
    <row r="12" spans="1:13" ht="15" thickBot="1" x14ac:dyDescent="0.4">
      <c r="A12" s="22" t="s">
        <v>4626</v>
      </c>
      <c r="B12" s="30"/>
      <c r="C12" s="52">
        <v>0.94</v>
      </c>
      <c r="D12" s="42">
        <v>5199148</v>
      </c>
      <c r="G12" s="93" t="s">
        <v>4622</v>
      </c>
      <c r="H12" s="78">
        <f>SUM(H2:H11)</f>
        <v>619</v>
      </c>
      <c r="I12" s="79">
        <f>SUM(I2:I11)</f>
        <v>1</v>
      </c>
      <c r="J12" s="71"/>
      <c r="K12" s="80">
        <f>SUM(K2:K11)</f>
        <v>1</v>
      </c>
      <c r="L12" s="81">
        <f>SUM(L2:L11)</f>
        <v>289</v>
      </c>
      <c r="M12" s="94" t="s">
        <v>4623</v>
      </c>
    </row>
    <row r="13" spans="1:13" x14ac:dyDescent="0.35">
      <c r="A13" s="22" t="s">
        <v>4628</v>
      </c>
      <c r="B13" s="30"/>
      <c r="C13" s="34">
        <v>0.06</v>
      </c>
      <c r="D13" s="42">
        <v>346576</v>
      </c>
    </row>
    <row r="14" spans="1:13" x14ac:dyDescent="0.35">
      <c r="A14" s="22" t="s">
        <v>4629</v>
      </c>
      <c r="B14" s="30"/>
      <c r="C14" s="23">
        <v>0.08</v>
      </c>
      <c r="D14" s="42">
        <v>254155</v>
      </c>
    </row>
    <row r="15" spans="1:13" x14ac:dyDescent="0.35">
      <c r="A15" s="22" t="s">
        <v>4630</v>
      </c>
      <c r="B15" s="30"/>
      <c r="C15" s="30"/>
      <c r="D15" s="42">
        <v>3186556</v>
      </c>
      <c r="G15" s="37"/>
    </row>
    <row r="16" spans="1:13" x14ac:dyDescent="0.35">
      <c r="A16" s="22" t="s">
        <v>4631</v>
      </c>
      <c r="B16" s="6">
        <v>13</v>
      </c>
      <c r="C16" s="23">
        <v>0.14000000000000001</v>
      </c>
      <c r="D16" s="32"/>
      <c r="G16" s="37"/>
    </row>
    <row r="17" spans="1:7" x14ac:dyDescent="0.35">
      <c r="A17" s="22" t="s">
        <v>4632</v>
      </c>
      <c r="B17" s="33"/>
      <c r="C17" s="23">
        <v>0.23</v>
      </c>
      <c r="D17" s="32"/>
      <c r="F17" s="34"/>
      <c r="G17" s="37"/>
    </row>
    <row r="18" spans="1:7" ht="15" thickBot="1" x14ac:dyDescent="0.4">
      <c r="A18" s="25" t="s">
        <v>4633</v>
      </c>
      <c r="B18" s="26">
        <v>14</v>
      </c>
      <c r="C18" s="36">
        <v>0.02</v>
      </c>
      <c r="D18" s="28">
        <v>50707</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71EF-F778-4A4C-8006-25C7B5024278}">
  <sheetPr codeName="Sheet54"/>
  <dimension ref="A1:M18"/>
  <sheetViews>
    <sheetView workbookViewId="0">
      <selection activeCell="E20" sqref="E20"/>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555</v>
      </c>
      <c r="C2" s="19">
        <f>B2/$B$7</f>
        <v>0.91133004926108374</v>
      </c>
      <c r="D2" s="20">
        <f>SUM(D3:D5)</f>
        <v>11901152</v>
      </c>
      <c r="E2" s="21">
        <f t="shared" ref="E2:E7" si="0">D2/B2</f>
        <v>21443.517117117117</v>
      </c>
      <c r="G2" s="82" t="s">
        <v>4599</v>
      </c>
      <c r="H2" s="83">
        <v>285</v>
      </c>
      <c r="I2" s="84">
        <f>H2/$H$12</f>
        <v>0.46798029556650245</v>
      </c>
      <c r="J2" s="85"/>
      <c r="K2" s="86">
        <f>L2/$L$12</f>
        <v>0.49122807017543857</v>
      </c>
      <c r="L2" s="83">
        <f t="shared" ref="L2:L10" si="1">H2-H3</f>
        <v>140</v>
      </c>
      <c r="M2" s="87" t="s">
        <v>4653</v>
      </c>
    </row>
    <row r="3" spans="1:13" x14ac:dyDescent="0.35">
      <c r="A3" s="22" t="s">
        <v>13</v>
      </c>
      <c r="B3" s="6">
        <v>454</v>
      </c>
      <c r="C3" s="19">
        <f>B3/$B$7</f>
        <v>0.74548440065681443</v>
      </c>
      <c r="D3" s="24">
        <v>9369652</v>
      </c>
      <c r="E3" s="21">
        <f t="shared" si="0"/>
        <v>20638</v>
      </c>
      <c r="F3" s="37"/>
      <c r="G3" s="66" t="s">
        <v>4601</v>
      </c>
      <c r="H3" s="65">
        <v>145</v>
      </c>
      <c r="I3" s="75">
        <f t="shared" ref="I3:I11" si="2">H3/$H$12</f>
        <v>0.23809523809523808</v>
      </c>
      <c r="J3" s="77"/>
      <c r="K3" s="72">
        <f t="shared" ref="K3:K11" si="3">L3/$L$12</f>
        <v>0.22456140350877193</v>
      </c>
      <c r="L3" s="65">
        <f t="shared" si="1"/>
        <v>64</v>
      </c>
      <c r="M3" s="69" t="s">
        <v>4654</v>
      </c>
    </row>
    <row r="4" spans="1:13" x14ac:dyDescent="0.35">
      <c r="A4" s="22" t="s">
        <v>55</v>
      </c>
      <c r="B4" s="6">
        <v>22</v>
      </c>
      <c r="C4" s="19">
        <f>B4/$B$7</f>
        <v>3.6124794745484398E-2</v>
      </c>
      <c r="D4" s="24">
        <v>312000</v>
      </c>
      <c r="E4" s="21">
        <f t="shared" si="0"/>
        <v>14181.818181818182</v>
      </c>
      <c r="G4" s="88" t="s">
        <v>4603</v>
      </c>
      <c r="H4" s="89">
        <v>81</v>
      </c>
      <c r="I4" s="90">
        <f t="shared" si="2"/>
        <v>0.13300492610837439</v>
      </c>
      <c r="J4" s="85"/>
      <c r="K4" s="91">
        <f t="shared" si="3"/>
        <v>0.12280701754385964</v>
      </c>
      <c r="L4" s="89">
        <f t="shared" si="1"/>
        <v>35</v>
      </c>
      <c r="M4" s="92" t="s">
        <v>4655</v>
      </c>
    </row>
    <row r="5" spans="1:13" x14ac:dyDescent="0.35">
      <c r="A5" s="22" t="s">
        <v>70</v>
      </c>
      <c r="B5" s="6">
        <v>79</v>
      </c>
      <c r="C5" s="19">
        <f>B5/$B$7</f>
        <v>0.1297208538587849</v>
      </c>
      <c r="D5" s="24">
        <v>2219500</v>
      </c>
      <c r="E5" s="21">
        <f t="shared" si="0"/>
        <v>28094.936708860758</v>
      </c>
      <c r="F5" s="37"/>
      <c r="G5" s="66" t="s">
        <v>4605</v>
      </c>
      <c r="H5" s="65">
        <v>46</v>
      </c>
      <c r="I5" s="75">
        <f t="shared" si="2"/>
        <v>7.5533661740558297E-2</v>
      </c>
      <c r="J5" s="77"/>
      <c r="K5" s="72">
        <f t="shared" si="3"/>
        <v>7.3684210526315783E-2</v>
      </c>
      <c r="L5" s="65">
        <f t="shared" si="1"/>
        <v>21</v>
      </c>
      <c r="M5" s="69" t="s">
        <v>4656</v>
      </c>
    </row>
    <row r="6" spans="1:13" x14ac:dyDescent="0.35">
      <c r="A6" s="22" t="s">
        <v>4648</v>
      </c>
      <c r="B6" s="6">
        <v>54</v>
      </c>
      <c r="C6" s="19">
        <f>B6/$B$7</f>
        <v>8.8669950738916259E-2</v>
      </c>
      <c r="D6" s="24">
        <v>254700</v>
      </c>
      <c r="E6" s="21">
        <f t="shared" si="0"/>
        <v>4716.666666666667</v>
      </c>
      <c r="G6" s="88" t="s">
        <v>4607</v>
      </c>
      <c r="H6" s="89">
        <v>25</v>
      </c>
      <c r="I6" s="90">
        <f t="shared" si="2"/>
        <v>4.1050903119868636E-2</v>
      </c>
      <c r="J6" s="85"/>
      <c r="K6" s="91">
        <f t="shared" si="3"/>
        <v>3.8596491228070177E-2</v>
      </c>
      <c r="L6" s="89">
        <f t="shared" si="1"/>
        <v>11</v>
      </c>
      <c r="M6" s="92" t="s">
        <v>4657</v>
      </c>
    </row>
    <row r="7" spans="1:13" ht="15" thickBot="1" x14ac:dyDescent="0.4">
      <c r="A7" s="55" t="s">
        <v>633</v>
      </c>
      <c r="B7" s="56">
        <f>B2+B6</f>
        <v>609</v>
      </c>
      <c r="C7" s="56"/>
      <c r="D7" s="53">
        <f>D2+D6</f>
        <v>12155852</v>
      </c>
      <c r="E7" s="54">
        <f t="shared" si="0"/>
        <v>19960.348111658455</v>
      </c>
      <c r="G7" s="66" t="s">
        <v>4609</v>
      </c>
      <c r="H7" s="65">
        <v>14</v>
      </c>
      <c r="I7" s="75">
        <f t="shared" si="2"/>
        <v>2.2988505747126436E-2</v>
      </c>
      <c r="J7" s="77"/>
      <c r="K7" s="72">
        <f t="shared" si="3"/>
        <v>2.456140350877193E-2</v>
      </c>
      <c r="L7" s="65">
        <f t="shared" si="1"/>
        <v>7</v>
      </c>
      <c r="M7" s="69" t="s">
        <v>4658</v>
      </c>
    </row>
    <row r="8" spans="1:13" x14ac:dyDescent="0.35">
      <c r="G8" s="88" t="s">
        <v>4611</v>
      </c>
      <c r="H8" s="89">
        <v>7</v>
      </c>
      <c r="I8" s="90">
        <f t="shared" si="2"/>
        <v>1.1494252873563218E-2</v>
      </c>
      <c r="J8" s="85"/>
      <c r="K8" s="91">
        <f t="shared" si="3"/>
        <v>1.0526315789473684E-2</v>
      </c>
      <c r="L8" s="89">
        <f t="shared" si="1"/>
        <v>3</v>
      </c>
      <c r="M8" s="92" t="s">
        <v>4659</v>
      </c>
    </row>
    <row r="9" spans="1:13" ht="15" thickBot="1" x14ac:dyDescent="0.4">
      <c r="E9" s="37"/>
      <c r="G9" s="66" t="s">
        <v>4613</v>
      </c>
      <c r="H9" s="65">
        <v>4</v>
      </c>
      <c r="I9" s="75">
        <f t="shared" si="2"/>
        <v>6.5681444991789817E-3</v>
      </c>
      <c r="J9" s="77"/>
      <c r="K9" s="72">
        <f t="shared" si="3"/>
        <v>1.0526315789473684E-2</v>
      </c>
      <c r="L9" s="65">
        <f t="shared" si="1"/>
        <v>3</v>
      </c>
      <c r="M9" s="69" t="s">
        <v>4660</v>
      </c>
    </row>
    <row r="10" spans="1:13" x14ac:dyDescent="0.35">
      <c r="A10" s="29" t="s">
        <v>4626</v>
      </c>
      <c r="B10" s="13" t="s">
        <v>4592</v>
      </c>
      <c r="C10" s="13" t="s">
        <v>4593</v>
      </c>
      <c r="D10" s="15" t="s">
        <v>4594</v>
      </c>
      <c r="G10" s="88" t="s">
        <v>4616</v>
      </c>
      <c r="H10" s="89">
        <v>1</v>
      </c>
      <c r="I10" s="90">
        <f t="shared" si="2"/>
        <v>1.6420361247947454E-3</v>
      </c>
      <c r="J10" s="85"/>
      <c r="K10" s="91">
        <f t="shared" si="3"/>
        <v>0</v>
      </c>
      <c r="L10" s="89">
        <f t="shared" si="1"/>
        <v>0</v>
      </c>
      <c r="M10" s="92" t="s">
        <v>4661</v>
      </c>
    </row>
    <row r="11" spans="1:13" ht="15" thickBot="1" x14ac:dyDescent="0.4">
      <c r="A11" s="22" t="s">
        <v>4627</v>
      </c>
      <c r="B11" s="6">
        <v>115</v>
      </c>
      <c r="C11" s="30"/>
      <c r="D11" s="31"/>
      <c r="G11" s="67" t="s">
        <v>4619</v>
      </c>
      <c r="H11" s="74">
        <v>1</v>
      </c>
      <c r="I11" s="76">
        <f t="shared" si="2"/>
        <v>1.6420361247947454E-3</v>
      </c>
      <c r="J11" s="77"/>
      <c r="K11" s="73">
        <f t="shared" si="3"/>
        <v>3.5087719298245615E-3</v>
      </c>
      <c r="L11" s="74">
        <v>1</v>
      </c>
      <c r="M11" s="70" t="s">
        <v>4662</v>
      </c>
    </row>
    <row r="12" spans="1:13" ht="15" thickBot="1" x14ac:dyDescent="0.4">
      <c r="A12" s="22" t="s">
        <v>4626</v>
      </c>
      <c r="B12" s="30"/>
      <c r="C12" s="52">
        <v>0.93</v>
      </c>
      <c r="D12" s="42">
        <v>5127871</v>
      </c>
      <c r="G12" s="93" t="s">
        <v>4622</v>
      </c>
      <c r="H12" s="78">
        <f>SUM(H2:H11)</f>
        <v>609</v>
      </c>
      <c r="I12" s="79">
        <f>SUM(I2:I11)</f>
        <v>0.99999999999999989</v>
      </c>
      <c r="J12" s="71"/>
      <c r="K12" s="80">
        <f>SUM(K2:K11)</f>
        <v>1</v>
      </c>
      <c r="L12" s="81">
        <f>SUM(L2:L11)</f>
        <v>285</v>
      </c>
      <c r="M12" s="94" t="s">
        <v>4623</v>
      </c>
    </row>
    <row r="13" spans="1:13" x14ac:dyDescent="0.35">
      <c r="A13" s="22" t="s">
        <v>4628</v>
      </c>
      <c r="B13" s="30"/>
      <c r="C13" s="34">
        <v>7.0000000000000007E-2</v>
      </c>
      <c r="D13" s="42">
        <v>371318</v>
      </c>
    </row>
    <row r="14" spans="1:13" x14ac:dyDescent="0.35">
      <c r="A14" s="22" t="s">
        <v>4629</v>
      </c>
      <c r="B14" s="30"/>
      <c r="C14" s="23">
        <v>0.09</v>
      </c>
      <c r="D14" s="42">
        <v>278489</v>
      </c>
    </row>
    <row r="15" spans="1:13" x14ac:dyDescent="0.35">
      <c r="A15" s="22" t="s">
        <v>4630</v>
      </c>
      <c r="B15" s="30"/>
      <c r="C15" s="30"/>
      <c r="D15" s="42">
        <v>2935711</v>
      </c>
      <c r="G15" s="37"/>
    </row>
    <row r="16" spans="1:13" x14ac:dyDescent="0.35">
      <c r="A16" s="22" t="s">
        <v>4631</v>
      </c>
      <c r="B16" s="6">
        <v>15</v>
      </c>
      <c r="C16" s="23">
        <v>0.14000000000000001</v>
      </c>
      <c r="D16" s="32"/>
      <c r="G16" s="37"/>
    </row>
    <row r="17" spans="1:7" x14ac:dyDescent="0.35">
      <c r="A17" s="22" t="s">
        <v>4632</v>
      </c>
      <c r="B17" s="33"/>
      <c r="C17" s="23">
        <v>0.23</v>
      </c>
      <c r="D17" s="32"/>
      <c r="F17" s="34"/>
      <c r="G17" s="37"/>
    </row>
    <row r="18" spans="1:7" ht="15" thickBot="1" x14ac:dyDescent="0.4">
      <c r="A18" s="25" t="s">
        <v>4633</v>
      </c>
      <c r="B18" s="26">
        <v>14</v>
      </c>
      <c r="C18" s="36">
        <v>0.02</v>
      </c>
      <c r="D18" s="28">
        <v>50707</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72ADE-A2F9-44C9-A7BE-B1169E4BB1FC}">
  <sheetPr codeName="Sheet55"/>
  <dimension ref="A1:M18"/>
  <sheetViews>
    <sheetView workbookViewId="0">
      <selection activeCell="G16" sqref="G16"/>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548</v>
      </c>
      <c r="C2" s="19">
        <f>B2/$B$7</f>
        <v>0.91181364392678865</v>
      </c>
      <c r="D2" s="20">
        <f>SUM(D3:D5)</f>
        <v>11531152</v>
      </c>
      <c r="E2" s="21">
        <f t="shared" ref="E2:E7" si="0">D2/B2</f>
        <v>21042.248175182482</v>
      </c>
      <c r="G2" s="82" t="s">
        <v>4599</v>
      </c>
      <c r="H2" s="83">
        <v>281</v>
      </c>
      <c r="I2" s="84">
        <f>H2/$H$12</f>
        <v>0.46755407653910147</v>
      </c>
      <c r="J2" s="85"/>
      <c r="K2" s="86">
        <f>L2/$L$12</f>
        <v>0.48398576512455516</v>
      </c>
      <c r="L2" s="83">
        <f t="shared" ref="L2:L10" si="1">H2-H3</f>
        <v>136</v>
      </c>
      <c r="M2" s="87" t="s">
        <v>4653</v>
      </c>
    </row>
    <row r="3" spans="1:13" x14ac:dyDescent="0.35">
      <c r="A3" s="22" t="s">
        <v>13</v>
      </c>
      <c r="B3" s="6">
        <v>447</v>
      </c>
      <c r="C3" s="19">
        <f>B3/$B$7</f>
        <v>0.7437603993344426</v>
      </c>
      <c r="D3" s="24">
        <v>8999652</v>
      </c>
      <c r="E3" s="21">
        <f t="shared" si="0"/>
        <v>20133.449664429529</v>
      </c>
      <c r="F3" s="37"/>
      <c r="G3" s="66" t="s">
        <v>4601</v>
      </c>
      <c r="H3" s="65">
        <v>145</v>
      </c>
      <c r="I3" s="75">
        <f t="shared" ref="I3:I11" si="2">H3/$H$12</f>
        <v>0.24126455906821964</v>
      </c>
      <c r="J3" s="77"/>
      <c r="K3" s="72">
        <f t="shared" ref="K3:K11" si="3">L3/$L$12</f>
        <v>0.22775800711743771</v>
      </c>
      <c r="L3" s="65">
        <f t="shared" si="1"/>
        <v>64</v>
      </c>
      <c r="M3" s="69" t="s">
        <v>4654</v>
      </c>
    </row>
    <row r="4" spans="1:13" x14ac:dyDescent="0.35">
      <c r="A4" s="22" t="s">
        <v>55</v>
      </c>
      <c r="B4" s="6">
        <v>22</v>
      </c>
      <c r="C4" s="19">
        <f>B4/$B$7</f>
        <v>3.6605657237936774E-2</v>
      </c>
      <c r="D4" s="24">
        <v>312000</v>
      </c>
      <c r="E4" s="21">
        <f t="shared" si="0"/>
        <v>14181.818181818182</v>
      </c>
      <c r="G4" s="88" t="s">
        <v>4603</v>
      </c>
      <c r="H4" s="89">
        <v>81</v>
      </c>
      <c r="I4" s="90">
        <f t="shared" si="2"/>
        <v>0.13477537437603992</v>
      </c>
      <c r="J4" s="85"/>
      <c r="K4" s="91">
        <f t="shared" si="3"/>
        <v>0.13167259786476868</v>
      </c>
      <c r="L4" s="89">
        <f t="shared" si="1"/>
        <v>37</v>
      </c>
      <c r="M4" s="92" t="s">
        <v>4655</v>
      </c>
    </row>
    <row r="5" spans="1:13" x14ac:dyDescent="0.35">
      <c r="A5" s="22" t="s">
        <v>70</v>
      </c>
      <c r="B5" s="6">
        <v>79</v>
      </c>
      <c r="C5" s="19">
        <f>B5/$B$7</f>
        <v>0.13144758735440931</v>
      </c>
      <c r="D5" s="24">
        <v>2219500</v>
      </c>
      <c r="E5" s="21">
        <f t="shared" si="0"/>
        <v>28094.936708860758</v>
      </c>
      <c r="F5" s="37"/>
      <c r="G5" s="66" t="s">
        <v>4605</v>
      </c>
      <c r="H5" s="65">
        <v>44</v>
      </c>
      <c r="I5" s="75">
        <f t="shared" si="2"/>
        <v>7.3211314475873548E-2</v>
      </c>
      <c r="J5" s="77"/>
      <c r="K5" s="72">
        <f t="shared" si="3"/>
        <v>7.4733096085409248E-2</v>
      </c>
      <c r="L5" s="65">
        <f t="shared" si="1"/>
        <v>21</v>
      </c>
      <c r="M5" s="69" t="s">
        <v>4656</v>
      </c>
    </row>
    <row r="6" spans="1:13" x14ac:dyDescent="0.35">
      <c r="A6" s="22" t="s">
        <v>4648</v>
      </c>
      <c r="B6" s="6">
        <v>53</v>
      </c>
      <c r="C6" s="19">
        <f>B6/$B$7</f>
        <v>8.8186356073211319E-2</v>
      </c>
      <c r="D6" s="24">
        <v>248700</v>
      </c>
      <c r="E6" s="21">
        <f t="shared" si="0"/>
        <v>4692.4528301886794</v>
      </c>
      <c r="G6" s="88" t="s">
        <v>4607</v>
      </c>
      <c r="H6" s="89">
        <v>23</v>
      </c>
      <c r="I6" s="90">
        <f t="shared" si="2"/>
        <v>3.8269550748752081E-2</v>
      </c>
      <c r="J6" s="85"/>
      <c r="K6" s="91">
        <f t="shared" si="3"/>
        <v>3.2028469750889681E-2</v>
      </c>
      <c r="L6" s="89">
        <f t="shared" si="1"/>
        <v>9</v>
      </c>
      <c r="M6" s="92" t="s">
        <v>4657</v>
      </c>
    </row>
    <row r="7" spans="1:13" ht="15" thickBot="1" x14ac:dyDescent="0.4">
      <c r="A7" s="55" t="s">
        <v>633</v>
      </c>
      <c r="B7" s="56">
        <f>B2+B6</f>
        <v>601</v>
      </c>
      <c r="C7" s="56"/>
      <c r="D7" s="53">
        <f>D2+D6</f>
        <v>11779852</v>
      </c>
      <c r="E7" s="54">
        <f t="shared" si="0"/>
        <v>19600.419301164726</v>
      </c>
      <c r="G7" s="66" t="s">
        <v>4609</v>
      </c>
      <c r="H7" s="65">
        <v>14</v>
      </c>
      <c r="I7" s="75">
        <f t="shared" si="2"/>
        <v>2.329450915141431E-2</v>
      </c>
      <c r="J7" s="77"/>
      <c r="K7" s="72">
        <f t="shared" si="3"/>
        <v>2.491103202846975E-2</v>
      </c>
      <c r="L7" s="65">
        <f t="shared" si="1"/>
        <v>7</v>
      </c>
      <c r="M7" s="69" t="s">
        <v>4658</v>
      </c>
    </row>
    <row r="8" spans="1:13" x14ac:dyDescent="0.35">
      <c r="G8" s="88" t="s">
        <v>4611</v>
      </c>
      <c r="H8" s="89">
        <v>7</v>
      </c>
      <c r="I8" s="90">
        <f t="shared" si="2"/>
        <v>1.1647254575707155E-2</v>
      </c>
      <c r="J8" s="85"/>
      <c r="K8" s="91">
        <f t="shared" si="3"/>
        <v>1.0676156583629894E-2</v>
      </c>
      <c r="L8" s="89">
        <f t="shared" si="1"/>
        <v>3</v>
      </c>
      <c r="M8" s="92" t="s">
        <v>4659</v>
      </c>
    </row>
    <row r="9" spans="1:13" ht="15" thickBot="1" x14ac:dyDescent="0.4">
      <c r="E9" s="37"/>
      <c r="G9" s="66" t="s">
        <v>4613</v>
      </c>
      <c r="H9" s="65">
        <v>4</v>
      </c>
      <c r="I9" s="75">
        <f t="shared" si="2"/>
        <v>6.6555740432612314E-3</v>
      </c>
      <c r="J9" s="77"/>
      <c r="K9" s="72">
        <f t="shared" si="3"/>
        <v>1.0676156583629894E-2</v>
      </c>
      <c r="L9" s="65">
        <f t="shared" si="1"/>
        <v>3</v>
      </c>
      <c r="M9" s="69" t="s">
        <v>4660</v>
      </c>
    </row>
    <row r="10" spans="1:13" x14ac:dyDescent="0.35">
      <c r="A10" s="29" t="s">
        <v>4626</v>
      </c>
      <c r="B10" s="13" t="s">
        <v>4592</v>
      </c>
      <c r="C10" s="13" t="s">
        <v>4593</v>
      </c>
      <c r="D10" s="15" t="s">
        <v>4594</v>
      </c>
      <c r="G10" s="88" t="s">
        <v>4616</v>
      </c>
      <c r="H10" s="89">
        <v>1</v>
      </c>
      <c r="I10" s="90">
        <f t="shared" si="2"/>
        <v>1.6638935108153079E-3</v>
      </c>
      <c r="J10" s="85"/>
      <c r="K10" s="91">
        <f t="shared" si="3"/>
        <v>0</v>
      </c>
      <c r="L10" s="89">
        <f t="shared" si="1"/>
        <v>0</v>
      </c>
      <c r="M10" s="92" t="s">
        <v>4661</v>
      </c>
    </row>
    <row r="11" spans="1:13" ht="15" thickBot="1" x14ac:dyDescent="0.4">
      <c r="A11" s="22" t="s">
        <v>4627</v>
      </c>
      <c r="B11" s="6">
        <v>120</v>
      </c>
      <c r="C11" s="30"/>
      <c r="D11" s="31"/>
      <c r="G11" s="67" t="s">
        <v>4619</v>
      </c>
      <c r="H11" s="74">
        <v>1</v>
      </c>
      <c r="I11" s="76">
        <f t="shared" si="2"/>
        <v>1.6638935108153079E-3</v>
      </c>
      <c r="J11" s="77"/>
      <c r="K11" s="73">
        <f t="shared" si="3"/>
        <v>3.5587188612099642E-3</v>
      </c>
      <c r="L11" s="74">
        <v>1</v>
      </c>
      <c r="M11" s="70" t="s">
        <v>4662</v>
      </c>
    </row>
    <row r="12" spans="1:13" ht="15" thickBot="1" x14ac:dyDescent="0.4">
      <c r="A12" s="22" t="s">
        <v>4626</v>
      </c>
      <c r="B12" s="30"/>
      <c r="C12" s="52">
        <v>0.93</v>
      </c>
      <c r="D12" s="42">
        <v>5032112</v>
      </c>
      <c r="G12" s="93" t="s">
        <v>4622</v>
      </c>
      <c r="H12" s="78">
        <f>SUM(H2:H11)</f>
        <v>601</v>
      </c>
      <c r="I12" s="79">
        <f>SUM(I2:I11)</f>
        <v>1</v>
      </c>
      <c r="J12" s="71"/>
      <c r="K12" s="80">
        <f>SUM(K2:K11)</f>
        <v>0.99999999999999989</v>
      </c>
      <c r="L12" s="81">
        <f>SUM(L2:L11)</f>
        <v>281</v>
      </c>
      <c r="M12" s="94" t="s">
        <v>4623</v>
      </c>
    </row>
    <row r="13" spans="1:13" x14ac:dyDescent="0.35">
      <c r="A13" s="22" t="s">
        <v>4628</v>
      </c>
      <c r="B13" s="30"/>
      <c r="C13" s="34">
        <v>7.0000000000000007E-2</v>
      </c>
      <c r="D13" s="42">
        <v>402171</v>
      </c>
    </row>
    <row r="14" spans="1:13" x14ac:dyDescent="0.35">
      <c r="A14" s="22" t="s">
        <v>4629</v>
      </c>
      <c r="B14" s="30"/>
      <c r="C14" s="23">
        <v>0.1</v>
      </c>
      <c r="D14" s="42">
        <v>306416</v>
      </c>
    </row>
    <row r="15" spans="1:13" x14ac:dyDescent="0.35">
      <c r="A15" s="22" t="s">
        <v>4630</v>
      </c>
      <c r="B15" s="30"/>
      <c r="C15" s="30"/>
      <c r="D15" s="42">
        <v>2959897</v>
      </c>
      <c r="G15" s="37"/>
    </row>
    <row r="16" spans="1:13" x14ac:dyDescent="0.35">
      <c r="A16" s="22" t="s">
        <v>4631</v>
      </c>
      <c r="B16" s="6">
        <v>25</v>
      </c>
      <c r="C16" s="23">
        <v>0.21</v>
      </c>
      <c r="D16" s="32"/>
      <c r="G16" s="37"/>
    </row>
    <row r="17" spans="1:7" x14ac:dyDescent="0.35">
      <c r="A17" s="22" t="s">
        <v>4632</v>
      </c>
      <c r="B17" s="33"/>
      <c r="C17" s="23">
        <v>0.23</v>
      </c>
      <c r="D17" s="32"/>
      <c r="F17" s="34"/>
      <c r="G17" s="37"/>
    </row>
    <row r="18" spans="1:7" ht="15" thickBot="1" x14ac:dyDescent="0.4">
      <c r="A18" s="25" t="s">
        <v>4633</v>
      </c>
      <c r="B18" s="26">
        <v>14</v>
      </c>
      <c r="C18" s="36">
        <v>0.02</v>
      </c>
      <c r="D18" s="28">
        <v>50707</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BD8D2-36B8-4A3E-AE78-BFFF9F54AB8F}">
  <sheetPr codeName="Sheet56"/>
  <dimension ref="A1:M18"/>
  <sheetViews>
    <sheetView workbookViewId="0">
      <selection activeCell="G19" sqref="G19"/>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541</v>
      </c>
      <c r="C2" s="19">
        <f>B2/$B$7</f>
        <v>0.91077441077441079</v>
      </c>
      <c r="D2" s="20">
        <f>SUM(D3:D5)</f>
        <v>11221152</v>
      </c>
      <c r="E2" s="21">
        <f t="shared" ref="E2:E7" si="0">D2/B2</f>
        <v>20741.500924214419</v>
      </c>
      <c r="G2" s="82" t="s">
        <v>4599</v>
      </c>
      <c r="H2" s="83">
        <v>278</v>
      </c>
      <c r="I2" s="84">
        <f>H2/$H$12</f>
        <v>0.46801346801346799</v>
      </c>
      <c r="J2" s="85"/>
      <c r="K2" s="86">
        <f>L2/$L$12</f>
        <v>0.47841726618705038</v>
      </c>
      <c r="L2" s="83">
        <f t="shared" ref="L2:L10" si="1">H2-H3</f>
        <v>133</v>
      </c>
      <c r="M2" s="87" t="s">
        <v>4653</v>
      </c>
    </row>
    <row r="3" spans="1:13" x14ac:dyDescent="0.35">
      <c r="A3" s="22" t="s">
        <v>13</v>
      </c>
      <c r="B3" s="6">
        <v>440</v>
      </c>
      <c r="C3" s="19">
        <f>B3/$B$7</f>
        <v>0.7407407407407407</v>
      </c>
      <c r="D3" s="24">
        <v>8689652</v>
      </c>
      <c r="E3" s="21">
        <f t="shared" si="0"/>
        <v>19749.209090909091</v>
      </c>
      <c r="F3" s="37"/>
      <c r="G3" s="66" t="s">
        <v>4601</v>
      </c>
      <c r="H3" s="65">
        <v>145</v>
      </c>
      <c r="I3" s="75">
        <f t="shared" ref="I3:I11" si="2">H3/$H$12</f>
        <v>0.24410774410774411</v>
      </c>
      <c r="J3" s="77"/>
      <c r="K3" s="72">
        <f t="shared" ref="K3:K11" si="3">L3/$L$12</f>
        <v>0.23741007194244604</v>
      </c>
      <c r="L3" s="65">
        <f t="shared" si="1"/>
        <v>66</v>
      </c>
      <c r="M3" s="69" t="s">
        <v>4654</v>
      </c>
    </row>
    <row r="4" spans="1:13" x14ac:dyDescent="0.35">
      <c r="A4" s="22" t="s">
        <v>55</v>
      </c>
      <c r="B4" s="6">
        <v>22</v>
      </c>
      <c r="C4" s="19">
        <f>B4/$B$7</f>
        <v>3.7037037037037035E-2</v>
      </c>
      <c r="D4" s="24">
        <v>312000</v>
      </c>
      <c r="E4" s="21">
        <f t="shared" si="0"/>
        <v>14181.818181818182</v>
      </c>
      <c r="G4" s="88" t="s">
        <v>4603</v>
      </c>
      <c r="H4" s="89">
        <v>79</v>
      </c>
      <c r="I4" s="90">
        <f t="shared" si="2"/>
        <v>0.132996632996633</v>
      </c>
      <c r="J4" s="85"/>
      <c r="K4" s="91">
        <f t="shared" si="3"/>
        <v>0.12589928057553956</v>
      </c>
      <c r="L4" s="89">
        <f t="shared" si="1"/>
        <v>35</v>
      </c>
      <c r="M4" s="92" t="s">
        <v>4655</v>
      </c>
    </row>
    <row r="5" spans="1:13" x14ac:dyDescent="0.35">
      <c r="A5" s="22" t="s">
        <v>70</v>
      </c>
      <c r="B5" s="6">
        <v>79</v>
      </c>
      <c r="C5" s="19">
        <f>B5/$B$7</f>
        <v>0.132996632996633</v>
      </c>
      <c r="D5" s="24">
        <v>2219500</v>
      </c>
      <c r="E5" s="21">
        <f t="shared" si="0"/>
        <v>28094.936708860758</v>
      </c>
      <c r="F5" s="37"/>
      <c r="G5" s="66" t="s">
        <v>4605</v>
      </c>
      <c r="H5" s="65">
        <v>44</v>
      </c>
      <c r="I5" s="75">
        <f t="shared" si="2"/>
        <v>7.407407407407407E-2</v>
      </c>
      <c r="J5" s="77"/>
      <c r="K5" s="72">
        <f t="shared" si="3"/>
        <v>7.5539568345323743E-2</v>
      </c>
      <c r="L5" s="65">
        <f t="shared" si="1"/>
        <v>21</v>
      </c>
      <c r="M5" s="69" t="s">
        <v>4656</v>
      </c>
    </row>
    <row r="6" spans="1:13" x14ac:dyDescent="0.35">
      <c r="A6" s="22" t="s">
        <v>4648</v>
      </c>
      <c r="B6" s="6">
        <v>53</v>
      </c>
      <c r="C6" s="19">
        <f>B6/$B$7</f>
        <v>8.9225589225589222E-2</v>
      </c>
      <c r="D6" s="24">
        <v>248700</v>
      </c>
      <c r="E6" s="21">
        <f t="shared" si="0"/>
        <v>4692.4528301886794</v>
      </c>
      <c r="G6" s="88" t="s">
        <v>4607</v>
      </c>
      <c r="H6" s="89">
        <v>23</v>
      </c>
      <c r="I6" s="90">
        <f t="shared" si="2"/>
        <v>3.8720538720538718E-2</v>
      </c>
      <c r="J6" s="85"/>
      <c r="K6" s="91">
        <f t="shared" si="3"/>
        <v>3.5971223021582732E-2</v>
      </c>
      <c r="L6" s="89">
        <f t="shared" si="1"/>
        <v>10</v>
      </c>
      <c r="M6" s="92" t="s">
        <v>4657</v>
      </c>
    </row>
    <row r="7" spans="1:13" ht="15" thickBot="1" x14ac:dyDescent="0.4">
      <c r="A7" s="55" t="s">
        <v>633</v>
      </c>
      <c r="B7" s="56">
        <f>B2+B6</f>
        <v>594</v>
      </c>
      <c r="C7" s="56"/>
      <c r="D7" s="53">
        <f>D2+D6</f>
        <v>11469852</v>
      </c>
      <c r="E7" s="54">
        <f t="shared" si="0"/>
        <v>19309.515151515152</v>
      </c>
      <c r="G7" s="66" t="s">
        <v>4609</v>
      </c>
      <c r="H7" s="65">
        <v>13</v>
      </c>
      <c r="I7" s="75">
        <f t="shared" si="2"/>
        <v>2.1885521885521887E-2</v>
      </c>
      <c r="J7" s="77"/>
      <c r="K7" s="72">
        <f t="shared" si="3"/>
        <v>2.1582733812949641E-2</v>
      </c>
      <c r="L7" s="65">
        <f t="shared" si="1"/>
        <v>6</v>
      </c>
      <c r="M7" s="69" t="s">
        <v>4658</v>
      </c>
    </row>
    <row r="8" spans="1:13" x14ac:dyDescent="0.35">
      <c r="G8" s="88" t="s">
        <v>4611</v>
      </c>
      <c r="H8" s="89">
        <v>7</v>
      </c>
      <c r="I8" s="90">
        <f t="shared" si="2"/>
        <v>1.1784511784511785E-2</v>
      </c>
      <c r="J8" s="85"/>
      <c r="K8" s="91">
        <f t="shared" si="3"/>
        <v>1.4388489208633094E-2</v>
      </c>
      <c r="L8" s="89">
        <f t="shared" si="1"/>
        <v>4</v>
      </c>
      <c r="M8" s="92" t="s">
        <v>4659</v>
      </c>
    </row>
    <row r="9" spans="1:13" ht="15" thickBot="1" x14ac:dyDescent="0.4">
      <c r="E9" s="37"/>
      <c r="G9" s="66" t="s">
        <v>4613</v>
      </c>
      <c r="H9" s="65">
        <v>3</v>
      </c>
      <c r="I9" s="75">
        <f t="shared" si="2"/>
        <v>5.0505050505050509E-3</v>
      </c>
      <c r="J9" s="77"/>
      <c r="K9" s="72">
        <f t="shared" si="3"/>
        <v>7.1942446043165471E-3</v>
      </c>
      <c r="L9" s="65">
        <f t="shared" si="1"/>
        <v>2</v>
      </c>
      <c r="M9" s="69" t="s">
        <v>4660</v>
      </c>
    </row>
    <row r="10" spans="1:13" x14ac:dyDescent="0.35">
      <c r="A10" s="29" t="s">
        <v>4626</v>
      </c>
      <c r="B10" s="13" t="s">
        <v>4592</v>
      </c>
      <c r="C10" s="13" t="s">
        <v>4593</v>
      </c>
      <c r="D10" s="15" t="s">
        <v>4594</v>
      </c>
      <c r="G10" s="88" t="s">
        <v>4616</v>
      </c>
      <c r="H10" s="89">
        <v>1</v>
      </c>
      <c r="I10" s="90">
        <f t="shared" si="2"/>
        <v>1.6835016835016834E-3</v>
      </c>
      <c r="J10" s="85"/>
      <c r="K10" s="91">
        <f t="shared" si="3"/>
        <v>0</v>
      </c>
      <c r="L10" s="89">
        <f t="shared" si="1"/>
        <v>0</v>
      </c>
      <c r="M10" s="92" t="s">
        <v>4661</v>
      </c>
    </row>
    <row r="11" spans="1:13" ht="15" thickBot="1" x14ac:dyDescent="0.4">
      <c r="A11" s="22" t="s">
        <v>4627</v>
      </c>
      <c r="B11" s="6">
        <v>138</v>
      </c>
      <c r="C11" s="30"/>
      <c r="D11" s="31"/>
      <c r="G11" s="67" t="s">
        <v>4619</v>
      </c>
      <c r="H11" s="74">
        <v>1</v>
      </c>
      <c r="I11" s="76">
        <f t="shared" si="2"/>
        <v>1.6835016835016834E-3</v>
      </c>
      <c r="J11" s="77"/>
      <c r="K11" s="73">
        <f t="shared" si="3"/>
        <v>3.5971223021582736E-3</v>
      </c>
      <c r="L11" s="74">
        <v>1</v>
      </c>
      <c r="M11" s="70" t="s">
        <v>4662</v>
      </c>
    </row>
    <row r="12" spans="1:13" ht="15" thickBot="1" x14ac:dyDescent="0.4">
      <c r="A12" s="22" t="s">
        <v>4626</v>
      </c>
      <c r="B12" s="30"/>
      <c r="C12" s="52">
        <v>0.91</v>
      </c>
      <c r="D12" s="42">
        <v>4891334</v>
      </c>
      <c r="G12" s="93" t="s">
        <v>4622</v>
      </c>
      <c r="H12" s="78">
        <f>SUM(H2:H11)</f>
        <v>594</v>
      </c>
      <c r="I12" s="79">
        <f>SUM(I2:I11)</f>
        <v>1</v>
      </c>
      <c r="J12" s="71"/>
      <c r="K12" s="80">
        <f>SUM(K2:K11)</f>
        <v>0.99999999999999989</v>
      </c>
      <c r="L12" s="81">
        <f>SUM(L2:L11)</f>
        <v>278</v>
      </c>
      <c r="M12" s="94" t="s">
        <v>4623</v>
      </c>
    </row>
    <row r="13" spans="1:13" x14ac:dyDescent="0.35">
      <c r="A13" s="22" t="s">
        <v>4628</v>
      </c>
      <c r="B13" s="30"/>
      <c r="C13" s="34">
        <v>0.09</v>
      </c>
      <c r="D13" s="42">
        <v>490402</v>
      </c>
    </row>
    <row r="14" spans="1:13" x14ac:dyDescent="0.35">
      <c r="A14" s="22" t="s">
        <v>4629</v>
      </c>
      <c r="B14" s="30"/>
      <c r="C14" s="23">
        <v>0.13</v>
      </c>
      <c r="D14" s="42">
        <v>394244</v>
      </c>
    </row>
    <row r="15" spans="1:13" x14ac:dyDescent="0.35">
      <c r="A15" s="22" t="s">
        <v>4630</v>
      </c>
      <c r="B15" s="30"/>
      <c r="C15" s="30"/>
      <c r="D15" s="42">
        <v>3029897</v>
      </c>
      <c r="G15" s="37"/>
    </row>
    <row r="16" spans="1:13" x14ac:dyDescent="0.35">
      <c r="A16" s="22" t="s">
        <v>4631</v>
      </c>
      <c r="B16" s="6">
        <v>47</v>
      </c>
      <c r="C16" s="23">
        <v>0.27</v>
      </c>
      <c r="D16" s="32"/>
    </row>
    <row r="17" spans="1:7" x14ac:dyDescent="0.35">
      <c r="A17" s="22" t="s">
        <v>4632</v>
      </c>
      <c r="B17" s="33"/>
      <c r="C17" s="23">
        <v>0.23</v>
      </c>
      <c r="D17" s="32"/>
      <c r="F17" s="34"/>
      <c r="G17" s="37"/>
    </row>
    <row r="18" spans="1:7" ht="15" thickBot="1" x14ac:dyDescent="0.4">
      <c r="A18" s="25" t="s">
        <v>4633</v>
      </c>
      <c r="B18" s="26">
        <v>14</v>
      </c>
      <c r="C18" s="36">
        <v>0.02</v>
      </c>
      <c r="D18" s="28">
        <v>50707</v>
      </c>
    </row>
  </sheetData>
  <pageMargins left="0.7" right="0.7" top="0.75" bottom="0.75" header="0.3" footer="0.3"/>
  <ignoredErrors>
    <ignoredError sqref="B2 D2" formulaRange="1"/>
    <ignoredError sqref="C2" formula="1"/>
  </ignoredError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AE4E3-10AC-48EA-82D1-E7622E59D6A5}">
  <sheetPr codeName="Sheet57"/>
  <dimension ref="A1:M18"/>
  <sheetViews>
    <sheetView workbookViewId="0">
      <selection activeCell="A2" sqref="A2"/>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4649</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539</v>
      </c>
      <c r="C2" s="19">
        <f>B2/$B$7</f>
        <v>0.91047297297297303</v>
      </c>
      <c r="D2" s="20">
        <f>SUM(D3:D5)</f>
        <v>11006152</v>
      </c>
      <c r="E2" s="21">
        <f t="shared" ref="E2:E7" si="0">D2/B2</f>
        <v>20419.576994434137</v>
      </c>
      <c r="G2" s="82" t="s">
        <v>4599</v>
      </c>
      <c r="H2" s="83">
        <v>278</v>
      </c>
      <c r="I2" s="84">
        <f>H2/$H$12</f>
        <v>0.46959459459459457</v>
      </c>
      <c r="J2" s="85"/>
      <c r="K2" s="86">
        <f>L2/$L$12</f>
        <v>0.47841726618705038</v>
      </c>
      <c r="L2" s="83">
        <f t="shared" ref="L2:L10" si="1">H2-H3</f>
        <v>133</v>
      </c>
      <c r="M2" s="87" t="s">
        <v>4653</v>
      </c>
    </row>
    <row r="3" spans="1:13" x14ac:dyDescent="0.35">
      <c r="A3" s="22" t="s">
        <v>13</v>
      </c>
      <c r="B3" s="6">
        <v>438</v>
      </c>
      <c r="C3" s="19">
        <f>B3/$B$7</f>
        <v>0.73986486486486491</v>
      </c>
      <c r="D3" s="24">
        <v>8474652</v>
      </c>
      <c r="E3" s="21">
        <f t="shared" si="0"/>
        <v>19348.520547945205</v>
      </c>
      <c r="F3" s="37"/>
      <c r="G3" s="66" t="s">
        <v>4601</v>
      </c>
      <c r="H3" s="65">
        <v>145</v>
      </c>
      <c r="I3" s="75">
        <f t="shared" ref="I3:I11" si="2">H3/$H$12</f>
        <v>0.24493243243243243</v>
      </c>
      <c r="J3" s="77"/>
      <c r="K3" s="72">
        <f t="shared" ref="K3:K11" si="3">L3/$L$12</f>
        <v>0.24100719424460432</v>
      </c>
      <c r="L3" s="65">
        <f t="shared" si="1"/>
        <v>67</v>
      </c>
      <c r="M3" s="69" t="s">
        <v>4654</v>
      </c>
    </row>
    <row r="4" spans="1:13" x14ac:dyDescent="0.35">
      <c r="A4" s="22" t="s">
        <v>55</v>
      </c>
      <c r="B4" s="6">
        <v>22</v>
      </c>
      <c r="C4" s="19">
        <f>B4/$B$7</f>
        <v>3.7162162162162164E-2</v>
      </c>
      <c r="D4" s="24">
        <v>312000</v>
      </c>
      <c r="E4" s="21">
        <f t="shared" si="0"/>
        <v>14181.818181818182</v>
      </c>
      <c r="G4" s="88" t="s">
        <v>4603</v>
      </c>
      <c r="H4" s="89">
        <v>78</v>
      </c>
      <c r="I4" s="90">
        <f t="shared" si="2"/>
        <v>0.13175675675675674</v>
      </c>
      <c r="J4" s="85"/>
      <c r="K4" s="91">
        <f t="shared" si="3"/>
        <v>0.1223021582733813</v>
      </c>
      <c r="L4" s="89">
        <f t="shared" si="1"/>
        <v>34</v>
      </c>
      <c r="M4" s="92" t="s">
        <v>4655</v>
      </c>
    </row>
    <row r="5" spans="1:13" x14ac:dyDescent="0.35">
      <c r="A5" s="22" t="s">
        <v>70</v>
      </c>
      <c r="B5" s="6">
        <v>79</v>
      </c>
      <c r="C5" s="19">
        <f>B5/$B$7</f>
        <v>0.13344594594594594</v>
      </c>
      <c r="D5" s="24">
        <v>2219500</v>
      </c>
      <c r="E5" s="21">
        <f t="shared" si="0"/>
        <v>28094.936708860758</v>
      </c>
      <c r="F5" s="37"/>
      <c r="G5" s="66" t="s">
        <v>4605</v>
      </c>
      <c r="H5" s="65">
        <v>44</v>
      </c>
      <c r="I5" s="75">
        <f t="shared" si="2"/>
        <v>7.4324324324324328E-2</v>
      </c>
      <c r="J5" s="77"/>
      <c r="K5" s="72">
        <f t="shared" si="3"/>
        <v>7.9136690647482008E-2</v>
      </c>
      <c r="L5" s="65">
        <f t="shared" si="1"/>
        <v>22</v>
      </c>
      <c r="M5" s="69" t="s">
        <v>4656</v>
      </c>
    </row>
    <row r="6" spans="1:13" x14ac:dyDescent="0.35">
      <c r="A6" s="22" t="s">
        <v>4648</v>
      </c>
      <c r="B6" s="6">
        <v>53</v>
      </c>
      <c r="C6" s="19">
        <f>B6/$B$7</f>
        <v>8.9527027027027029E-2</v>
      </c>
      <c r="D6" s="24">
        <v>248700</v>
      </c>
      <c r="E6" s="21">
        <f t="shared" si="0"/>
        <v>4692.4528301886794</v>
      </c>
      <c r="G6" s="88" t="s">
        <v>4607</v>
      </c>
      <c r="H6" s="89">
        <v>22</v>
      </c>
      <c r="I6" s="90">
        <f t="shared" si="2"/>
        <v>3.7162162162162164E-2</v>
      </c>
      <c r="J6" s="85"/>
      <c r="K6" s="91">
        <f t="shared" si="3"/>
        <v>3.237410071942446E-2</v>
      </c>
      <c r="L6" s="89">
        <f t="shared" si="1"/>
        <v>9</v>
      </c>
      <c r="M6" s="92" t="s">
        <v>4657</v>
      </c>
    </row>
    <row r="7" spans="1:13" ht="15" thickBot="1" x14ac:dyDescent="0.4">
      <c r="A7" s="55" t="s">
        <v>633</v>
      </c>
      <c r="B7" s="56">
        <f>B2+B6</f>
        <v>592</v>
      </c>
      <c r="C7" s="56"/>
      <c r="D7" s="53">
        <f>D2+D6</f>
        <v>11254852</v>
      </c>
      <c r="E7" s="54">
        <f t="shared" si="0"/>
        <v>19011.574324324323</v>
      </c>
      <c r="G7" s="66" t="s">
        <v>4609</v>
      </c>
      <c r="H7" s="65">
        <v>13</v>
      </c>
      <c r="I7" s="75">
        <f t="shared" si="2"/>
        <v>2.1959459459459461E-2</v>
      </c>
      <c r="J7" s="77"/>
      <c r="K7" s="72">
        <f t="shared" si="3"/>
        <v>2.1582733812949641E-2</v>
      </c>
      <c r="L7" s="65">
        <f t="shared" si="1"/>
        <v>6</v>
      </c>
      <c r="M7" s="69" t="s">
        <v>4658</v>
      </c>
    </row>
    <row r="8" spans="1:13" x14ac:dyDescent="0.35">
      <c r="G8" s="88" t="s">
        <v>4611</v>
      </c>
      <c r="H8" s="89">
        <v>7</v>
      </c>
      <c r="I8" s="90">
        <f t="shared" si="2"/>
        <v>1.1824324324324325E-2</v>
      </c>
      <c r="J8" s="85"/>
      <c r="K8" s="91">
        <f t="shared" si="3"/>
        <v>1.4388489208633094E-2</v>
      </c>
      <c r="L8" s="89">
        <f t="shared" si="1"/>
        <v>4</v>
      </c>
      <c r="M8" s="92" t="s">
        <v>4659</v>
      </c>
    </row>
    <row r="9" spans="1:13" ht="15" thickBot="1" x14ac:dyDescent="0.4">
      <c r="G9" s="66" t="s">
        <v>4613</v>
      </c>
      <c r="H9" s="65">
        <v>3</v>
      </c>
      <c r="I9" s="75">
        <f t="shared" si="2"/>
        <v>5.0675675675675678E-3</v>
      </c>
      <c r="J9" s="77"/>
      <c r="K9" s="72">
        <f t="shared" si="3"/>
        <v>7.1942446043165471E-3</v>
      </c>
      <c r="L9" s="65">
        <f t="shared" si="1"/>
        <v>2</v>
      </c>
      <c r="M9" s="69" t="s">
        <v>4660</v>
      </c>
    </row>
    <row r="10" spans="1:13" x14ac:dyDescent="0.35">
      <c r="A10" s="29" t="s">
        <v>4626</v>
      </c>
      <c r="B10" s="13" t="s">
        <v>4592</v>
      </c>
      <c r="C10" s="13" t="s">
        <v>4593</v>
      </c>
      <c r="D10" s="15" t="s">
        <v>4594</v>
      </c>
      <c r="G10" s="88" t="s">
        <v>4616</v>
      </c>
      <c r="H10" s="89">
        <v>1</v>
      </c>
      <c r="I10" s="90">
        <f t="shared" si="2"/>
        <v>1.6891891891891893E-3</v>
      </c>
      <c r="J10" s="85"/>
      <c r="K10" s="91">
        <f t="shared" si="3"/>
        <v>0</v>
      </c>
      <c r="L10" s="89">
        <f t="shared" si="1"/>
        <v>0</v>
      </c>
      <c r="M10" s="92" t="s">
        <v>4661</v>
      </c>
    </row>
    <row r="11" spans="1:13" ht="15" thickBot="1" x14ac:dyDescent="0.4">
      <c r="A11" s="22" t="s">
        <v>4627</v>
      </c>
      <c r="B11" s="6">
        <v>137</v>
      </c>
      <c r="C11" s="30"/>
      <c r="D11" s="31"/>
      <c r="G11" s="67" t="s">
        <v>4619</v>
      </c>
      <c r="H11" s="74">
        <v>1</v>
      </c>
      <c r="I11" s="76">
        <f t="shared" si="2"/>
        <v>1.6891891891891893E-3</v>
      </c>
      <c r="J11" s="77"/>
      <c r="K11" s="73">
        <f t="shared" si="3"/>
        <v>3.5971223021582736E-3</v>
      </c>
      <c r="L11" s="74">
        <v>1</v>
      </c>
      <c r="M11" s="70" t="s">
        <v>4662</v>
      </c>
    </row>
    <row r="12" spans="1:13" ht="15" thickBot="1" x14ac:dyDescent="0.4">
      <c r="A12" s="22" t="s">
        <v>4626</v>
      </c>
      <c r="B12" s="30"/>
      <c r="C12" s="52">
        <v>0.90167851740570393</v>
      </c>
      <c r="D12" s="42">
        <v>4791291.5400000019</v>
      </c>
      <c r="G12" s="93" t="s">
        <v>4622</v>
      </c>
      <c r="H12" s="78">
        <f>SUM(H2:H11)</f>
        <v>592</v>
      </c>
      <c r="I12" s="79">
        <f>SUM(I2:I11)</f>
        <v>0.99999999999999989</v>
      </c>
      <c r="J12" s="71"/>
      <c r="K12" s="80">
        <f>SUM(K2:K11)</f>
        <v>0.99999999999999989</v>
      </c>
      <c r="L12" s="81">
        <f>SUM(L2:L11)</f>
        <v>278</v>
      </c>
      <c r="M12" s="94" t="s">
        <v>4623</v>
      </c>
    </row>
    <row r="13" spans="1:13" x14ac:dyDescent="0.35">
      <c r="A13" s="22" t="s">
        <v>4628</v>
      </c>
      <c r="B13" s="30"/>
      <c r="C13" s="34">
        <v>9.8321482594296003E-2</v>
      </c>
      <c r="D13" s="42">
        <v>504486.87590000004</v>
      </c>
    </row>
    <row r="14" spans="1:13" x14ac:dyDescent="0.35">
      <c r="A14" s="22" t="s">
        <v>4629</v>
      </c>
      <c r="B14" s="30"/>
      <c r="C14" s="23">
        <v>0.13826158408911141</v>
      </c>
      <c r="D14" s="42">
        <v>409300.67290000001</v>
      </c>
    </row>
    <row r="15" spans="1:13" x14ac:dyDescent="0.35">
      <c r="A15" s="22" t="s">
        <v>4630</v>
      </c>
      <c r="B15" s="30"/>
      <c r="C15" s="30"/>
      <c r="D15" s="42">
        <v>2960335.48</v>
      </c>
      <c r="G15" s="37"/>
    </row>
    <row r="16" spans="1:13" x14ac:dyDescent="0.35">
      <c r="A16" s="22" t="s">
        <v>4631</v>
      </c>
      <c r="B16" s="6">
        <v>47</v>
      </c>
      <c r="C16" s="23">
        <v>0.2655367231638418</v>
      </c>
      <c r="D16" s="32"/>
    </row>
    <row r="17" spans="1:7" x14ac:dyDescent="0.35">
      <c r="A17" s="22" t="s">
        <v>4632</v>
      </c>
      <c r="B17" s="33"/>
      <c r="C17" s="23">
        <v>0.23</v>
      </c>
      <c r="D17" s="32"/>
      <c r="F17" s="34"/>
      <c r="G17" s="37"/>
    </row>
    <row r="18" spans="1:7" ht="15" thickBot="1" x14ac:dyDescent="0.4">
      <c r="A18" s="25" t="s">
        <v>4633</v>
      </c>
      <c r="B18" s="26">
        <v>14</v>
      </c>
      <c r="C18" s="36">
        <v>0.02</v>
      </c>
      <c r="D18" s="28">
        <v>50706.66</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1685-41C6-44D0-8FD0-D3B42F850F51}">
  <sheetPr codeName="Sheet58"/>
  <dimension ref="A1:M18"/>
  <sheetViews>
    <sheetView workbookViewId="0">
      <selection activeCell="G17" sqref="G17"/>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536</v>
      </c>
      <c r="C2" s="19">
        <f>B2/$B$7</f>
        <v>0.91001697792869274</v>
      </c>
      <c r="D2" s="20">
        <f>SUM(D3:D5)</f>
        <v>10776152</v>
      </c>
      <c r="E2" s="21">
        <f t="shared" ref="E2:E7" si="0">D2/B2</f>
        <v>20104.761194029852</v>
      </c>
      <c r="G2" s="82" t="s">
        <v>4599</v>
      </c>
      <c r="H2" s="83">
        <v>278</v>
      </c>
      <c r="I2" s="84">
        <f>H2/$H$12</f>
        <v>0.47198641765704585</v>
      </c>
      <c r="J2" s="85"/>
      <c r="K2" s="86">
        <f>L2/$L$12</f>
        <v>0.47841726618705038</v>
      </c>
      <c r="L2" s="83">
        <f t="shared" ref="L2:L10" si="1">H2-H3</f>
        <v>133</v>
      </c>
      <c r="M2" s="87" t="s">
        <v>4653</v>
      </c>
    </row>
    <row r="3" spans="1:13" x14ac:dyDescent="0.35">
      <c r="A3" s="22" t="s">
        <v>13</v>
      </c>
      <c r="B3" s="6">
        <v>435</v>
      </c>
      <c r="C3" s="19">
        <f>B3/$B$7</f>
        <v>0.73853989813242782</v>
      </c>
      <c r="D3" s="24">
        <v>8244652</v>
      </c>
      <c r="E3" s="21">
        <f t="shared" si="0"/>
        <v>18953.222988505746</v>
      </c>
      <c r="F3" s="37"/>
      <c r="G3" s="66" t="s">
        <v>4601</v>
      </c>
      <c r="H3" s="65">
        <v>145</v>
      </c>
      <c r="I3" s="75">
        <f t="shared" ref="I3:I11" si="2">H3/$H$12</f>
        <v>0.24617996604414261</v>
      </c>
      <c r="J3" s="77"/>
      <c r="K3" s="72">
        <f t="shared" ref="K3:K11" si="3">L3/$L$12</f>
        <v>0.24100719424460432</v>
      </c>
      <c r="L3" s="65">
        <f t="shared" si="1"/>
        <v>67</v>
      </c>
      <c r="M3" s="69" t="s">
        <v>4654</v>
      </c>
    </row>
    <row r="4" spans="1:13" x14ac:dyDescent="0.35">
      <c r="A4" s="22" t="s">
        <v>55</v>
      </c>
      <c r="B4" s="6">
        <v>22</v>
      </c>
      <c r="C4" s="19">
        <f>B4/$B$7</f>
        <v>3.7351443123938878E-2</v>
      </c>
      <c r="D4" s="24">
        <v>312000</v>
      </c>
      <c r="E4" s="21">
        <f t="shared" si="0"/>
        <v>14181.818181818182</v>
      </c>
      <c r="G4" s="88" t="s">
        <v>4603</v>
      </c>
      <c r="H4" s="89">
        <v>78</v>
      </c>
      <c r="I4" s="90">
        <f t="shared" si="2"/>
        <v>0.13242784380305603</v>
      </c>
      <c r="J4" s="85"/>
      <c r="K4" s="91">
        <f t="shared" si="3"/>
        <v>0.12949640287769784</v>
      </c>
      <c r="L4" s="89">
        <f t="shared" si="1"/>
        <v>36</v>
      </c>
      <c r="M4" s="92" t="s">
        <v>4655</v>
      </c>
    </row>
    <row r="5" spans="1:13" x14ac:dyDescent="0.35">
      <c r="A5" s="22" t="s">
        <v>70</v>
      </c>
      <c r="B5" s="6">
        <v>79</v>
      </c>
      <c r="C5" s="19">
        <f>B5/$B$7</f>
        <v>0.13412563667232597</v>
      </c>
      <c r="D5" s="24">
        <v>2219500</v>
      </c>
      <c r="E5" s="21">
        <f t="shared" si="0"/>
        <v>28094.936708860758</v>
      </c>
      <c r="F5" s="37"/>
      <c r="G5" s="66" t="s">
        <v>4605</v>
      </c>
      <c r="H5" s="65">
        <v>42</v>
      </c>
      <c r="I5" s="75">
        <f t="shared" si="2"/>
        <v>7.1307300509337868E-2</v>
      </c>
      <c r="J5" s="77"/>
      <c r="K5" s="72">
        <f t="shared" si="3"/>
        <v>7.1942446043165464E-2</v>
      </c>
      <c r="L5" s="65">
        <f t="shared" si="1"/>
        <v>20</v>
      </c>
      <c r="M5" s="69" t="s">
        <v>4656</v>
      </c>
    </row>
    <row r="6" spans="1:13" x14ac:dyDescent="0.35">
      <c r="A6" s="22" t="s">
        <v>4648</v>
      </c>
      <c r="B6" s="6">
        <v>53</v>
      </c>
      <c r="C6" s="19">
        <f>B6/$B$7</f>
        <v>8.9983022071307303E-2</v>
      </c>
      <c r="D6" s="24">
        <v>248700</v>
      </c>
      <c r="E6" s="21">
        <f t="shared" si="0"/>
        <v>4692.4528301886794</v>
      </c>
      <c r="G6" s="88" t="s">
        <v>4607</v>
      </c>
      <c r="H6" s="89">
        <v>22</v>
      </c>
      <c r="I6" s="90">
        <f t="shared" si="2"/>
        <v>3.7351443123938878E-2</v>
      </c>
      <c r="J6" s="85"/>
      <c r="K6" s="91">
        <f t="shared" si="3"/>
        <v>3.237410071942446E-2</v>
      </c>
      <c r="L6" s="89">
        <f t="shared" si="1"/>
        <v>9</v>
      </c>
      <c r="M6" s="92" t="s">
        <v>4657</v>
      </c>
    </row>
    <row r="7" spans="1:13" ht="15" thickBot="1" x14ac:dyDescent="0.4">
      <c r="A7" s="55" t="s">
        <v>633</v>
      </c>
      <c r="B7" s="56">
        <f>B2+B6</f>
        <v>589</v>
      </c>
      <c r="C7" s="56"/>
      <c r="D7" s="53">
        <f>D2+D6</f>
        <v>11024852</v>
      </c>
      <c r="E7" s="54">
        <f t="shared" si="0"/>
        <v>18717.915110356538</v>
      </c>
      <c r="G7" s="66" t="s">
        <v>4609</v>
      </c>
      <c r="H7" s="65">
        <v>13</v>
      </c>
      <c r="I7" s="75">
        <f t="shared" si="2"/>
        <v>2.2071307300509338E-2</v>
      </c>
      <c r="J7" s="77"/>
      <c r="K7" s="72">
        <f t="shared" si="3"/>
        <v>2.1582733812949641E-2</v>
      </c>
      <c r="L7" s="65">
        <f t="shared" si="1"/>
        <v>6</v>
      </c>
      <c r="M7" s="69" t="s">
        <v>4658</v>
      </c>
    </row>
    <row r="8" spans="1:13" x14ac:dyDescent="0.35">
      <c r="G8" s="88" t="s">
        <v>4611</v>
      </c>
      <c r="H8" s="89">
        <v>7</v>
      </c>
      <c r="I8" s="90">
        <f t="shared" si="2"/>
        <v>1.1884550084889643E-2</v>
      </c>
      <c r="J8" s="85"/>
      <c r="K8" s="91">
        <f t="shared" si="3"/>
        <v>1.7985611510791366E-2</v>
      </c>
      <c r="L8" s="89">
        <f t="shared" si="1"/>
        <v>5</v>
      </c>
      <c r="M8" s="92" t="s">
        <v>4659</v>
      </c>
    </row>
    <row r="9" spans="1:13" ht="15" thickBot="1" x14ac:dyDescent="0.4">
      <c r="G9" s="66" t="s">
        <v>4613</v>
      </c>
      <c r="H9" s="65">
        <v>2</v>
      </c>
      <c r="I9" s="75">
        <f t="shared" si="2"/>
        <v>3.3955857385398981E-3</v>
      </c>
      <c r="J9" s="77"/>
      <c r="K9" s="72">
        <f t="shared" si="3"/>
        <v>3.5971223021582736E-3</v>
      </c>
      <c r="L9" s="65">
        <f t="shared" si="1"/>
        <v>1</v>
      </c>
      <c r="M9" s="69" t="s">
        <v>4660</v>
      </c>
    </row>
    <row r="10" spans="1:13" x14ac:dyDescent="0.35">
      <c r="A10" s="29" t="s">
        <v>4626</v>
      </c>
      <c r="B10" s="13" t="s">
        <v>4592</v>
      </c>
      <c r="C10" s="13" t="s">
        <v>4593</v>
      </c>
      <c r="D10" s="15" t="s">
        <v>4594</v>
      </c>
      <c r="G10" s="88" t="s">
        <v>4616</v>
      </c>
      <c r="H10" s="89">
        <v>1</v>
      </c>
      <c r="I10" s="90">
        <f t="shared" si="2"/>
        <v>1.697792869269949E-3</v>
      </c>
      <c r="J10" s="85"/>
      <c r="K10" s="91">
        <f t="shared" si="3"/>
        <v>0</v>
      </c>
      <c r="L10" s="89">
        <f t="shared" si="1"/>
        <v>0</v>
      </c>
      <c r="M10" s="92" t="s">
        <v>4661</v>
      </c>
    </row>
    <row r="11" spans="1:13" ht="15" thickBot="1" x14ac:dyDescent="0.4">
      <c r="A11" s="22" t="s">
        <v>4627</v>
      </c>
      <c r="B11" s="6">
        <v>157</v>
      </c>
      <c r="C11" s="30"/>
      <c r="D11" s="31"/>
      <c r="G11" s="67" t="s">
        <v>4619</v>
      </c>
      <c r="H11" s="74">
        <v>1</v>
      </c>
      <c r="I11" s="76">
        <f t="shared" si="2"/>
        <v>1.697792869269949E-3</v>
      </c>
      <c r="J11" s="77"/>
      <c r="K11" s="73">
        <f t="shared" si="3"/>
        <v>3.5971223021582736E-3</v>
      </c>
      <c r="L11" s="74">
        <v>1</v>
      </c>
      <c r="M11" s="70" t="s">
        <v>4662</v>
      </c>
    </row>
    <row r="12" spans="1:13" ht="15" thickBot="1" x14ac:dyDescent="0.4">
      <c r="A12" s="22" t="s">
        <v>4626</v>
      </c>
      <c r="B12" s="30"/>
      <c r="C12" s="52">
        <v>0.88761518791546856</v>
      </c>
      <c r="D12" s="42">
        <v>4605908.370000001</v>
      </c>
      <c r="G12" s="93" t="s">
        <v>4622</v>
      </c>
      <c r="H12" s="78">
        <f>SUM(H2:H11)</f>
        <v>589</v>
      </c>
      <c r="I12" s="79">
        <f>SUM(I2:I11)</f>
        <v>1</v>
      </c>
      <c r="J12" s="71"/>
      <c r="K12" s="80">
        <f>SUM(K2:K11)</f>
        <v>0.99999999999999989</v>
      </c>
      <c r="L12" s="81">
        <f>SUM(L2:L11)</f>
        <v>278</v>
      </c>
      <c r="M12" s="94" t="s">
        <v>4623</v>
      </c>
    </row>
    <row r="13" spans="1:13" x14ac:dyDescent="0.35">
      <c r="A13" s="22" t="s">
        <v>4628</v>
      </c>
      <c r="B13" s="30"/>
      <c r="C13" s="34">
        <v>0.11238481208453141</v>
      </c>
      <c r="D13" s="42">
        <v>583174.05300000007</v>
      </c>
    </row>
    <row r="14" spans="1:13" x14ac:dyDescent="0.35">
      <c r="A14" s="22" t="s">
        <v>4629</v>
      </c>
      <c r="B14" s="30"/>
      <c r="C14" s="23">
        <v>0.16943531664161449</v>
      </c>
      <c r="D14" s="42">
        <v>498348.73619999993</v>
      </c>
    </row>
    <row r="15" spans="1:13" x14ac:dyDescent="0.35">
      <c r="A15" s="22" t="s">
        <v>4630</v>
      </c>
      <c r="B15" s="30"/>
      <c r="C15" s="30"/>
      <c r="D15" s="42">
        <v>2941232.95</v>
      </c>
      <c r="G15" s="37"/>
    </row>
    <row r="16" spans="1:13" x14ac:dyDescent="0.35">
      <c r="A16" s="22" t="s">
        <v>4631</v>
      </c>
      <c r="B16" s="6">
        <v>47</v>
      </c>
      <c r="C16" s="23">
        <v>0.2655367231638418</v>
      </c>
      <c r="D16" s="32"/>
    </row>
    <row r="17" spans="1:7" x14ac:dyDescent="0.35">
      <c r="A17" s="22" t="s">
        <v>4632</v>
      </c>
      <c r="B17" s="33"/>
      <c r="C17" s="23">
        <v>0.23</v>
      </c>
      <c r="D17" s="32"/>
      <c r="F17" s="34"/>
      <c r="G17" s="37"/>
    </row>
    <row r="18" spans="1:7" ht="15" thickBot="1" x14ac:dyDescent="0.4">
      <c r="A18" s="25" t="s">
        <v>4633</v>
      </c>
      <c r="B18" s="26">
        <v>14</v>
      </c>
      <c r="C18" s="36">
        <v>0.02</v>
      </c>
      <c r="D18" s="28">
        <v>50706.66</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1F47-A668-4918-A087-4297ADE61160}">
  <sheetPr codeName="Sheet59"/>
  <dimension ref="A1:M18"/>
  <sheetViews>
    <sheetView workbookViewId="0">
      <selection activeCell="A18" sqref="A18"/>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536</v>
      </c>
      <c r="C2" s="19">
        <f>B2/$B$7</f>
        <v>0.91156462585034015</v>
      </c>
      <c r="D2" s="20">
        <f>SUM(D3:D5)</f>
        <v>10776152</v>
      </c>
      <c r="E2" s="21">
        <f t="shared" ref="E2:E7" si="0">D2/B2</f>
        <v>20104.761194029852</v>
      </c>
      <c r="G2" s="82" t="s">
        <v>4599</v>
      </c>
      <c r="H2" s="83">
        <v>278</v>
      </c>
      <c r="I2" s="84">
        <f>H2/$H$12</f>
        <v>0.47278911564625853</v>
      </c>
      <c r="J2" s="85"/>
      <c r="K2" s="86">
        <f>L2/$L$12</f>
        <v>0.47841726618705038</v>
      </c>
      <c r="L2" s="83">
        <f t="shared" ref="L2:L10" si="1">H2-H3</f>
        <v>133</v>
      </c>
      <c r="M2" s="87" t="s">
        <v>4653</v>
      </c>
    </row>
    <row r="3" spans="1:13" x14ac:dyDescent="0.35">
      <c r="A3" s="22" t="s">
        <v>13</v>
      </c>
      <c r="B3" s="6">
        <v>435</v>
      </c>
      <c r="C3" s="19">
        <f>B3/$B$7</f>
        <v>0.73979591836734693</v>
      </c>
      <c r="D3" s="24">
        <v>8244652</v>
      </c>
      <c r="E3" s="21">
        <f t="shared" si="0"/>
        <v>18953.222988505746</v>
      </c>
      <c r="F3" s="37"/>
      <c r="G3" s="66" t="s">
        <v>4601</v>
      </c>
      <c r="H3" s="65">
        <v>145</v>
      </c>
      <c r="I3" s="75">
        <f t="shared" ref="I3:I11" si="2">H3/$H$12</f>
        <v>0.24659863945578231</v>
      </c>
      <c r="J3" s="77"/>
      <c r="K3" s="72">
        <f t="shared" ref="K3:K11" si="3">L3/$L$12</f>
        <v>0.24100719424460432</v>
      </c>
      <c r="L3" s="65">
        <f t="shared" si="1"/>
        <v>67</v>
      </c>
      <c r="M3" s="69" t="s">
        <v>4654</v>
      </c>
    </row>
    <row r="4" spans="1:13" x14ac:dyDescent="0.35">
      <c r="A4" s="22" t="s">
        <v>55</v>
      </c>
      <c r="B4" s="6">
        <v>22</v>
      </c>
      <c r="C4" s="19">
        <f>B4/$B$7</f>
        <v>3.7414965986394558E-2</v>
      </c>
      <c r="D4" s="24">
        <v>312000</v>
      </c>
      <c r="E4" s="21">
        <f t="shared" si="0"/>
        <v>14181.818181818182</v>
      </c>
      <c r="G4" s="88" t="s">
        <v>4603</v>
      </c>
      <c r="H4" s="89">
        <v>78</v>
      </c>
      <c r="I4" s="90">
        <f t="shared" si="2"/>
        <v>0.1326530612244898</v>
      </c>
      <c r="J4" s="85"/>
      <c r="K4" s="91">
        <f t="shared" si="3"/>
        <v>0.12949640287769784</v>
      </c>
      <c r="L4" s="89">
        <f t="shared" si="1"/>
        <v>36</v>
      </c>
      <c r="M4" s="92" t="s">
        <v>4655</v>
      </c>
    </row>
    <row r="5" spans="1:13" x14ac:dyDescent="0.35">
      <c r="A5" s="22" t="s">
        <v>70</v>
      </c>
      <c r="B5" s="6">
        <v>79</v>
      </c>
      <c r="C5" s="19">
        <f>B5/$B$7</f>
        <v>0.13435374149659865</v>
      </c>
      <c r="D5" s="24">
        <v>2219500</v>
      </c>
      <c r="E5" s="21">
        <f t="shared" si="0"/>
        <v>28094.936708860758</v>
      </c>
      <c r="F5" s="37"/>
      <c r="G5" s="66" t="s">
        <v>4605</v>
      </c>
      <c r="H5" s="65">
        <v>42</v>
      </c>
      <c r="I5" s="75">
        <f t="shared" si="2"/>
        <v>7.1428571428571425E-2</v>
      </c>
      <c r="J5" s="77"/>
      <c r="K5" s="72">
        <f t="shared" si="3"/>
        <v>7.1942446043165464E-2</v>
      </c>
      <c r="L5" s="65">
        <f t="shared" si="1"/>
        <v>20</v>
      </c>
      <c r="M5" s="69" t="s">
        <v>4656</v>
      </c>
    </row>
    <row r="6" spans="1:13" x14ac:dyDescent="0.35">
      <c r="A6" s="22" t="s">
        <v>4648</v>
      </c>
      <c r="B6" s="6">
        <v>52</v>
      </c>
      <c r="C6" s="19">
        <f>B6/$B$7</f>
        <v>8.8435374149659865E-2</v>
      </c>
      <c r="D6" s="24">
        <v>243700</v>
      </c>
      <c r="E6" s="21">
        <f t="shared" si="0"/>
        <v>4686.5384615384619</v>
      </c>
      <c r="G6" s="88" t="s">
        <v>4607</v>
      </c>
      <c r="H6" s="89">
        <v>22</v>
      </c>
      <c r="I6" s="90">
        <f t="shared" si="2"/>
        <v>3.7414965986394558E-2</v>
      </c>
      <c r="J6" s="85"/>
      <c r="K6" s="91">
        <f t="shared" si="3"/>
        <v>3.5971223021582732E-2</v>
      </c>
      <c r="L6" s="89">
        <f t="shared" si="1"/>
        <v>10</v>
      </c>
      <c r="M6" s="92" t="s">
        <v>4657</v>
      </c>
    </row>
    <row r="7" spans="1:13" ht="15" thickBot="1" x14ac:dyDescent="0.4">
      <c r="A7" s="55" t="s">
        <v>633</v>
      </c>
      <c r="B7" s="56">
        <f>B2+B6</f>
        <v>588</v>
      </c>
      <c r="C7" s="56"/>
      <c r="D7" s="53">
        <f>D2+D6</f>
        <v>11019852</v>
      </c>
      <c r="E7" s="54">
        <f t="shared" si="0"/>
        <v>18741.244897959183</v>
      </c>
      <c r="G7" s="66" t="s">
        <v>4609</v>
      </c>
      <c r="H7" s="65">
        <v>12</v>
      </c>
      <c r="I7" s="75">
        <f t="shared" si="2"/>
        <v>2.0408163265306121E-2</v>
      </c>
      <c r="J7" s="77"/>
      <c r="K7" s="72">
        <f t="shared" si="3"/>
        <v>1.7985611510791366E-2</v>
      </c>
      <c r="L7" s="65">
        <f t="shared" si="1"/>
        <v>5</v>
      </c>
      <c r="M7" s="69" t="s">
        <v>4658</v>
      </c>
    </row>
    <row r="8" spans="1:13" x14ac:dyDescent="0.35">
      <c r="G8" s="88" t="s">
        <v>4611</v>
      </c>
      <c r="H8" s="89">
        <v>7</v>
      </c>
      <c r="I8" s="90">
        <f t="shared" si="2"/>
        <v>1.1904761904761904E-2</v>
      </c>
      <c r="J8" s="85"/>
      <c r="K8" s="91">
        <f t="shared" si="3"/>
        <v>1.7985611510791366E-2</v>
      </c>
      <c r="L8" s="89">
        <f t="shared" si="1"/>
        <v>5</v>
      </c>
      <c r="M8" s="92" t="s">
        <v>4659</v>
      </c>
    </row>
    <row r="9" spans="1:13" ht="15" thickBot="1" x14ac:dyDescent="0.4">
      <c r="G9" s="66" t="s">
        <v>4613</v>
      </c>
      <c r="H9" s="65">
        <v>2</v>
      </c>
      <c r="I9" s="75">
        <f t="shared" si="2"/>
        <v>3.4013605442176869E-3</v>
      </c>
      <c r="J9" s="77"/>
      <c r="K9" s="72">
        <f t="shared" si="3"/>
        <v>3.5971223021582736E-3</v>
      </c>
      <c r="L9" s="65">
        <f t="shared" si="1"/>
        <v>1</v>
      </c>
      <c r="M9" s="69" t="s">
        <v>4660</v>
      </c>
    </row>
    <row r="10" spans="1:13" x14ac:dyDescent="0.35">
      <c r="A10" s="29" t="s">
        <v>4626</v>
      </c>
      <c r="B10" s="13" t="s">
        <v>4592</v>
      </c>
      <c r="C10" s="13" t="s">
        <v>4593</v>
      </c>
      <c r="D10" s="15" t="s">
        <v>4594</v>
      </c>
      <c r="G10" s="88" t="s">
        <v>4616</v>
      </c>
      <c r="H10" s="89">
        <v>1</v>
      </c>
      <c r="I10" s="90">
        <f t="shared" si="2"/>
        <v>1.7006802721088435E-3</v>
      </c>
      <c r="J10" s="85"/>
      <c r="K10" s="91">
        <f t="shared" si="3"/>
        <v>0</v>
      </c>
      <c r="L10" s="89">
        <f t="shared" si="1"/>
        <v>0</v>
      </c>
      <c r="M10" s="92" t="s">
        <v>4661</v>
      </c>
    </row>
    <row r="11" spans="1:13" ht="15" thickBot="1" x14ac:dyDescent="0.4">
      <c r="A11" s="22" t="s">
        <v>4627</v>
      </c>
      <c r="B11" s="6">
        <v>171</v>
      </c>
      <c r="C11" s="30"/>
      <c r="D11" s="31"/>
      <c r="G11" s="67" t="s">
        <v>4619</v>
      </c>
      <c r="H11" s="74">
        <v>1</v>
      </c>
      <c r="I11" s="76">
        <f t="shared" si="2"/>
        <v>1.7006802721088435E-3</v>
      </c>
      <c r="J11" s="77"/>
      <c r="K11" s="73">
        <f t="shared" si="3"/>
        <v>3.5971223021582736E-3</v>
      </c>
      <c r="L11" s="74">
        <v>1</v>
      </c>
      <c r="M11" s="70" t="s">
        <v>4662</v>
      </c>
    </row>
    <row r="12" spans="1:13" ht="15" thickBot="1" x14ac:dyDescent="0.4">
      <c r="A12" s="22" t="s">
        <v>4626</v>
      </c>
      <c r="B12" s="30"/>
      <c r="C12" s="52">
        <v>0.87244355157443676</v>
      </c>
      <c r="D12" s="42">
        <v>4447060.8500000006</v>
      </c>
      <c r="G12" s="93" t="s">
        <v>4622</v>
      </c>
      <c r="H12" s="78">
        <f>SUM(H2:H11)</f>
        <v>588</v>
      </c>
      <c r="I12" s="79">
        <f>SUM(I2:I11)</f>
        <v>1</v>
      </c>
      <c r="J12" s="71"/>
      <c r="K12" s="80">
        <f>SUM(K2:K11)</f>
        <v>0.99999999999999989</v>
      </c>
      <c r="L12" s="81">
        <f>SUM(L2:L11)</f>
        <v>278</v>
      </c>
      <c r="M12" s="94" t="s">
        <v>4623</v>
      </c>
    </row>
    <row r="13" spans="1:13" x14ac:dyDescent="0.35">
      <c r="A13" s="22" t="s">
        <v>4628</v>
      </c>
      <c r="B13" s="30"/>
      <c r="C13" s="34">
        <v>0.12755644842556321</v>
      </c>
      <c r="D13" s="42">
        <v>650186.80799999996</v>
      </c>
    </row>
    <row r="14" spans="1:13" x14ac:dyDescent="0.35">
      <c r="A14" s="22" t="s">
        <v>4629</v>
      </c>
      <c r="B14" s="30"/>
      <c r="C14" s="23">
        <v>0.17036831145834491</v>
      </c>
      <c r="D14" s="42">
        <v>639699.92399999988</v>
      </c>
    </row>
    <row r="15" spans="1:13" x14ac:dyDescent="0.35">
      <c r="A15" s="22" t="s">
        <v>4630</v>
      </c>
      <c r="B15" s="30"/>
      <c r="C15" s="30"/>
      <c r="D15" s="42">
        <v>3754805.8</v>
      </c>
      <c r="G15" s="37"/>
    </row>
    <row r="16" spans="1:13" x14ac:dyDescent="0.35">
      <c r="A16" s="22" t="s">
        <v>4631</v>
      </c>
      <c r="B16" s="6">
        <v>47</v>
      </c>
      <c r="C16" s="23">
        <v>0.2655367231638418</v>
      </c>
      <c r="D16" s="32"/>
    </row>
    <row r="17" spans="1:7" x14ac:dyDescent="0.35">
      <c r="A17" s="22" t="s">
        <v>4632</v>
      </c>
      <c r="B17" s="33"/>
      <c r="C17" s="23">
        <v>0.23</v>
      </c>
      <c r="D17" s="32"/>
      <c r="F17" s="34"/>
      <c r="G17" s="37"/>
    </row>
    <row r="18" spans="1:7" ht="15" thickBot="1" x14ac:dyDescent="0.4">
      <c r="A18" s="25" t="s">
        <v>4633</v>
      </c>
      <c r="B18" s="26">
        <v>14</v>
      </c>
      <c r="C18" s="36">
        <v>0.02</v>
      </c>
      <c r="D18" s="28">
        <v>50706.66</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0692F-C110-42E9-B2BB-3F56C04AA557}">
  <sheetPr codeName="Sheet60"/>
  <dimension ref="A1:M18"/>
  <sheetViews>
    <sheetView workbookViewId="0">
      <selection activeCell="E16" sqref="E16"/>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535</v>
      </c>
      <c r="C2" s="19">
        <f>B2/$B$7</f>
        <v>0.91296928327645055</v>
      </c>
      <c r="D2" s="20">
        <f>SUM(D3:D5)</f>
        <v>10746152</v>
      </c>
      <c r="E2" s="21">
        <f t="shared" ref="E2:E7" si="0">D2/B2</f>
        <v>20086.265420560747</v>
      </c>
      <c r="G2" s="82" t="s">
        <v>4599</v>
      </c>
      <c r="H2" s="83">
        <v>278</v>
      </c>
      <c r="I2" s="84">
        <f>H2/$H$12</f>
        <v>0.47440273037542663</v>
      </c>
      <c r="J2" s="85"/>
      <c r="K2" s="86">
        <f>L2/$L$12</f>
        <v>0.48201438848920863</v>
      </c>
      <c r="L2" s="83">
        <f t="shared" ref="L2:L10" si="1">H2-H3</f>
        <v>134</v>
      </c>
      <c r="M2" s="87" t="s">
        <v>4653</v>
      </c>
    </row>
    <row r="3" spans="1:13" x14ac:dyDescent="0.35">
      <c r="A3" s="22" t="s">
        <v>13</v>
      </c>
      <c r="B3" s="6">
        <v>434</v>
      </c>
      <c r="C3" s="19">
        <f>B3/$B$7</f>
        <v>0.74061433447098979</v>
      </c>
      <c r="D3" s="24">
        <v>8214652</v>
      </c>
      <c r="E3" s="21">
        <f t="shared" si="0"/>
        <v>18927.769585253456</v>
      </c>
      <c r="F3" s="37"/>
      <c r="G3" s="66" t="s">
        <v>4601</v>
      </c>
      <c r="H3" s="65">
        <v>144</v>
      </c>
      <c r="I3" s="75">
        <f t="shared" ref="I3:I11" si="2">H3/$H$12</f>
        <v>0.24573378839590443</v>
      </c>
      <c r="J3" s="77"/>
      <c r="K3" s="72">
        <f t="shared" ref="K3:K11" si="3">L3/$L$12</f>
        <v>0.23741007194244604</v>
      </c>
      <c r="L3" s="65">
        <f t="shared" si="1"/>
        <v>66</v>
      </c>
      <c r="M3" s="69" t="s">
        <v>4654</v>
      </c>
    </row>
    <row r="4" spans="1:13" x14ac:dyDescent="0.35">
      <c r="A4" s="22" t="s">
        <v>55</v>
      </c>
      <c r="B4" s="6">
        <v>22</v>
      </c>
      <c r="C4" s="19">
        <f>B4/$B$7</f>
        <v>3.7542662116040959E-2</v>
      </c>
      <c r="D4" s="24">
        <v>312000</v>
      </c>
      <c r="E4" s="21">
        <f t="shared" si="0"/>
        <v>14181.818181818182</v>
      </c>
      <c r="G4" s="88" t="s">
        <v>4603</v>
      </c>
      <c r="H4" s="89">
        <v>78</v>
      </c>
      <c r="I4" s="90">
        <f t="shared" si="2"/>
        <v>0.13310580204778158</v>
      </c>
      <c r="J4" s="85"/>
      <c r="K4" s="91">
        <f t="shared" si="3"/>
        <v>0.12949640287769784</v>
      </c>
      <c r="L4" s="89">
        <f t="shared" si="1"/>
        <v>36</v>
      </c>
      <c r="M4" s="92" t="s">
        <v>4655</v>
      </c>
    </row>
    <row r="5" spans="1:13" x14ac:dyDescent="0.35">
      <c r="A5" s="22" t="s">
        <v>70</v>
      </c>
      <c r="B5" s="6">
        <v>79</v>
      </c>
      <c r="C5" s="19">
        <f>B5/$B$7</f>
        <v>0.1348122866894198</v>
      </c>
      <c r="D5" s="24">
        <v>2219500</v>
      </c>
      <c r="E5" s="21">
        <f t="shared" si="0"/>
        <v>28094.936708860758</v>
      </c>
      <c r="F5" s="37"/>
      <c r="G5" s="66" t="s">
        <v>4605</v>
      </c>
      <c r="H5" s="65">
        <v>42</v>
      </c>
      <c r="I5" s="75">
        <f t="shared" si="2"/>
        <v>7.1672354948805458E-2</v>
      </c>
      <c r="J5" s="77"/>
      <c r="K5" s="72">
        <f t="shared" si="3"/>
        <v>7.1942446043165464E-2</v>
      </c>
      <c r="L5" s="65">
        <f t="shared" si="1"/>
        <v>20</v>
      </c>
      <c r="M5" s="69" t="s">
        <v>4656</v>
      </c>
    </row>
    <row r="6" spans="1:13" x14ac:dyDescent="0.35">
      <c r="A6" s="22" t="s">
        <v>4648</v>
      </c>
      <c r="B6" s="6">
        <v>51</v>
      </c>
      <c r="C6" s="19">
        <f>B6/$B$7</f>
        <v>8.7030716723549492E-2</v>
      </c>
      <c r="D6" s="24">
        <v>238700</v>
      </c>
      <c r="E6" s="21">
        <f t="shared" si="0"/>
        <v>4680.3921568627447</v>
      </c>
      <c r="G6" s="88" t="s">
        <v>4607</v>
      </c>
      <c r="H6" s="89">
        <v>22</v>
      </c>
      <c r="I6" s="90">
        <f t="shared" si="2"/>
        <v>3.7542662116040959E-2</v>
      </c>
      <c r="J6" s="85"/>
      <c r="K6" s="91">
        <f t="shared" si="3"/>
        <v>3.5971223021582732E-2</v>
      </c>
      <c r="L6" s="89">
        <f t="shared" si="1"/>
        <v>10</v>
      </c>
      <c r="M6" s="92" t="s">
        <v>4657</v>
      </c>
    </row>
    <row r="7" spans="1:13" ht="15" thickBot="1" x14ac:dyDescent="0.4">
      <c r="A7" s="55" t="s">
        <v>633</v>
      </c>
      <c r="B7" s="56">
        <f>B2+B6</f>
        <v>586</v>
      </c>
      <c r="C7" s="56"/>
      <c r="D7" s="53">
        <f>D2+D6</f>
        <v>10984852</v>
      </c>
      <c r="E7" s="54">
        <f t="shared" si="0"/>
        <v>18745.481228668941</v>
      </c>
      <c r="G7" s="66" t="s">
        <v>4609</v>
      </c>
      <c r="H7" s="65">
        <v>12</v>
      </c>
      <c r="I7" s="75">
        <f t="shared" si="2"/>
        <v>2.0477815699658702E-2</v>
      </c>
      <c r="J7" s="77"/>
      <c r="K7" s="72">
        <f t="shared" si="3"/>
        <v>2.1582733812949641E-2</v>
      </c>
      <c r="L7" s="65">
        <f t="shared" si="1"/>
        <v>6</v>
      </c>
      <c r="M7" s="69" t="s">
        <v>4658</v>
      </c>
    </row>
    <row r="8" spans="1:13" x14ac:dyDescent="0.35">
      <c r="G8" s="88" t="s">
        <v>4611</v>
      </c>
      <c r="H8" s="89">
        <v>6</v>
      </c>
      <c r="I8" s="90">
        <f t="shared" si="2"/>
        <v>1.0238907849829351E-2</v>
      </c>
      <c r="J8" s="85"/>
      <c r="K8" s="91">
        <f t="shared" si="3"/>
        <v>1.4388489208633094E-2</v>
      </c>
      <c r="L8" s="89">
        <f t="shared" si="1"/>
        <v>4</v>
      </c>
      <c r="M8" s="92" t="s">
        <v>4659</v>
      </c>
    </row>
    <row r="9" spans="1:13" ht="15" thickBot="1" x14ac:dyDescent="0.4">
      <c r="G9" s="66" t="s">
        <v>4613</v>
      </c>
      <c r="H9" s="65">
        <v>2</v>
      </c>
      <c r="I9" s="75">
        <f t="shared" si="2"/>
        <v>3.4129692832764505E-3</v>
      </c>
      <c r="J9" s="77"/>
      <c r="K9" s="72">
        <f t="shared" si="3"/>
        <v>3.5971223021582736E-3</v>
      </c>
      <c r="L9" s="65">
        <f t="shared" si="1"/>
        <v>1</v>
      </c>
      <c r="M9" s="69" t="s">
        <v>4660</v>
      </c>
    </row>
    <row r="10" spans="1:13" x14ac:dyDescent="0.35">
      <c r="A10" s="29" t="s">
        <v>4626</v>
      </c>
      <c r="B10" s="13" t="s">
        <v>4592</v>
      </c>
      <c r="C10" s="13" t="s">
        <v>4593</v>
      </c>
      <c r="D10" s="15" t="s">
        <v>4594</v>
      </c>
      <c r="G10" s="88" t="s">
        <v>4616</v>
      </c>
      <c r="H10" s="89">
        <v>1</v>
      </c>
      <c r="I10" s="90">
        <f t="shared" si="2"/>
        <v>1.7064846416382253E-3</v>
      </c>
      <c r="J10" s="85"/>
      <c r="K10" s="91">
        <f t="shared" si="3"/>
        <v>0</v>
      </c>
      <c r="L10" s="89">
        <f t="shared" si="1"/>
        <v>0</v>
      </c>
      <c r="M10" s="92" t="s">
        <v>4661</v>
      </c>
    </row>
    <row r="11" spans="1:13" ht="15" thickBot="1" x14ac:dyDescent="0.4">
      <c r="A11" s="22" t="s">
        <v>4627</v>
      </c>
      <c r="B11" s="6">
        <v>167</v>
      </c>
      <c r="C11" s="30"/>
      <c r="D11" s="31"/>
      <c r="G11" s="67" t="s">
        <v>4619</v>
      </c>
      <c r="H11" s="74">
        <v>1</v>
      </c>
      <c r="I11" s="76">
        <f t="shared" si="2"/>
        <v>1.7064846416382253E-3</v>
      </c>
      <c r="J11" s="77"/>
      <c r="K11" s="73">
        <f t="shared" si="3"/>
        <v>3.5971223021582736E-3</v>
      </c>
      <c r="L11" s="74">
        <v>1</v>
      </c>
      <c r="M11" s="70" t="s">
        <v>4662</v>
      </c>
    </row>
    <row r="12" spans="1:13" ht="15" thickBot="1" x14ac:dyDescent="0.4">
      <c r="A12" s="22" t="s">
        <v>4626</v>
      </c>
      <c r="B12" s="30"/>
      <c r="C12" s="52">
        <v>0.87</v>
      </c>
      <c r="D12" s="42">
        <v>4382643</v>
      </c>
      <c r="G12" s="93" t="s">
        <v>4622</v>
      </c>
      <c r="H12" s="78">
        <f>SUM(H2:H11)</f>
        <v>586</v>
      </c>
      <c r="I12" s="79">
        <f>SUM(I2:I11)</f>
        <v>1</v>
      </c>
      <c r="J12" s="71"/>
      <c r="K12" s="80">
        <f>SUM(K2:K11)</f>
        <v>0.99999999999999989</v>
      </c>
      <c r="L12" s="81">
        <f>SUM(L2:L11)</f>
        <v>278</v>
      </c>
      <c r="M12" s="94" t="s">
        <v>4623</v>
      </c>
    </row>
    <row r="13" spans="1:13" x14ac:dyDescent="0.35">
      <c r="A13" s="22" t="s">
        <v>4628</v>
      </c>
      <c r="B13" s="30"/>
      <c r="C13" s="34">
        <v>0.13</v>
      </c>
      <c r="D13" s="42">
        <v>628390</v>
      </c>
    </row>
    <row r="14" spans="1:13" x14ac:dyDescent="0.35">
      <c r="A14" s="22" t="s">
        <v>4629</v>
      </c>
      <c r="B14" s="30"/>
      <c r="C14" s="23">
        <v>0.17</v>
      </c>
      <c r="D14" s="42">
        <v>634015</v>
      </c>
    </row>
    <row r="15" spans="1:13" x14ac:dyDescent="0.35">
      <c r="A15" s="22" t="s">
        <v>4630</v>
      </c>
      <c r="B15" s="30"/>
      <c r="C15" s="30"/>
      <c r="D15" s="42">
        <v>3636416</v>
      </c>
      <c r="G15" s="37"/>
    </row>
    <row r="16" spans="1:13" x14ac:dyDescent="0.35">
      <c r="A16" s="22" t="s">
        <v>4631</v>
      </c>
      <c r="B16" s="6">
        <v>47</v>
      </c>
      <c r="C16" s="23">
        <v>0.27</v>
      </c>
      <c r="D16" s="32"/>
    </row>
    <row r="17" spans="1:6" x14ac:dyDescent="0.35">
      <c r="A17" s="22" t="s">
        <v>4632</v>
      </c>
      <c r="B17" s="33"/>
      <c r="C17" s="23">
        <v>0.23</v>
      </c>
      <c r="D17" s="32"/>
      <c r="F17" s="34"/>
    </row>
    <row r="18" spans="1:6" ht="15" thickBot="1" x14ac:dyDescent="0.4">
      <c r="A18" s="25" t="s">
        <v>4633</v>
      </c>
      <c r="B18" s="26">
        <v>14</v>
      </c>
      <c r="C18" s="36">
        <v>0.02</v>
      </c>
      <c r="D18" s="28">
        <v>50707</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77A4C-97A4-4FF0-921D-5300228E329F}">
  <sheetPr codeName="Sheet61"/>
  <dimension ref="A1:M18"/>
  <sheetViews>
    <sheetView workbookViewId="0">
      <selection activeCell="I17" sqref="I17"/>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535</v>
      </c>
      <c r="C2" s="19">
        <f>B2/$B$7</f>
        <v>0.91296928327645055</v>
      </c>
      <c r="D2" s="20">
        <f>SUM(D3:D5)</f>
        <v>10746152</v>
      </c>
      <c r="E2" s="21">
        <f t="shared" ref="E2:E7" si="0">D2/B2</f>
        <v>20086.265420560747</v>
      </c>
      <c r="G2" s="82" t="s">
        <v>4599</v>
      </c>
      <c r="H2" s="83">
        <v>278</v>
      </c>
      <c r="I2" s="84">
        <f>H2/$H$12</f>
        <v>0.47440273037542663</v>
      </c>
      <c r="J2" s="85"/>
      <c r="K2" s="86">
        <f>L2/$L$12</f>
        <v>0.48201438848920863</v>
      </c>
      <c r="L2" s="83">
        <f t="shared" ref="L2:L10" si="1">H2-H3</f>
        <v>134</v>
      </c>
      <c r="M2" s="87" t="s">
        <v>4653</v>
      </c>
    </row>
    <row r="3" spans="1:13" x14ac:dyDescent="0.35">
      <c r="A3" s="22" t="s">
        <v>13</v>
      </c>
      <c r="B3" s="6">
        <v>434</v>
      </c>
      <c r="C3" s="19">
        <f>B3/$B$7</f>
        <v>0.74061433447098979</v>
      </c>
      <c r="D3" s="24">
        <v>8214652</v>
      </c>
      <c r="E3" s="21">
        <f t="shared" si="0"/>
        <v>18927.769585253456</v>
      </c>
      <c r="F3" s="37"/>
      <c r="G3" s="66" t="s">
        <v>4601</v>
      </c>
      <c r="H3" s="65">
        <v>144</v>
      </c>
      <c r="I3" s="75">
        <f t="shared" ref="I3:I11" si="2">H3/$H$12</f>
        <v>0.24573378839590443</v>
      </c>
      <c r="J3" s="77"/>
      <c r="K3" s="72">
        <f t="shared" ref="K3:K11" si="3">L3/$L$12</f>
        <v>0.23741007194244604</v>
      </c>
      <c r="L3" s="65">
        <f t="shared" si="1"/>
        <v>66</v>
      </c>
      <c r="M3" s="69" t="s">
        <v>4654</v>
      </c>
    </row>
    <row r="4" spans="1:13" x14ac:dyDescent="0.35">
      <c r="A4" s="22" t="s">
        <v>55</v>
      </c>
      <c r="B4" s="6">
        <v>22</v>
      </c>
      <c r="C4" s="19">
        <f>B4/$B$7</f>
        <v>3.7542662116040959E-2</v>
      </c>
      <c r="D4" s="24">
        <v>312000</v>
      </c>
      <c r="E4" s="21">
        <f t="shared" si="0"/>
        <v>14181.818181818182</v>
      </c>
      <c r="G4" s="88" t="s">
        <v>4603</v>
      </c>
      <c r="H4" s="89">
        <v>78</v>
      </c>
      <c r="I4" s="90">
        <f t="shared" si="2"/>
        <v>0.13310580204778158</v>
      </c>
      <c r="J4" s="85"/>
      <c r="K4" s="91">
        <f t="shared" si="3"/>
        <v>0.12949640287769784</v>
      </c>
      <c r="L4" s="89">
        <f t="shared" si="1"/>
        <v>36</v>
      </c>
      <c r="M4" s="92" t="s">
        <v>4655</v>
      </c>
    </row>
    <row r="5" spans="1:13" x14ac:dyDescent="0.35">
      <c r="A5" s="22" t="s">
        <v>70</v>
      </c>
      <c r="B5" s="6">
        <v>79</v>
      </c>
      <c r="C5" s="19">
        <f>B5/$B$7</f>
        <v>0.1348122866894198</v>
      </c>
      <c r="D5" s="24">
        <v>2219500</v>
      </c>
      <c r="E5" s="21">
        <f t="shared" si="0"/>
        <v>28094.936708860758</v>
      </c>
      <c r="F5" s="37"/>
      <c r="G5" s="66" t="s">
        <v>4605</v>
      </c>
      <c r="H5" s="65">
        <v>42</v>
      </c>
      <c r="I5" s="75">
        <f t="shared" si="2"/>
        <v>7.1672354948805458E-2</v>
      </c>
      <c r="J5" s="77"/>
      <c r="K5" s="72">
        <f t="shared" si="3"/>
        <v>7.1942446043165464E-2</v>
      </c>
      <c r="L5" s="65">
        <f t="shared" si="1"/>
        <v>20</v>
      </c>
      <c r="M5" s="69" t="s">
        <v>4656</v>
      </c>
    </row>
    <row r="6" spans="1:13" x14ac:dyDescent="0.35">
      <c r="A6" s="22" t="s">
        <v>4648</v>
      </c>
      <c r="B6" s="6">
        <v>51</v>
      </c>
      <c r="C6" s="19">
        <f>B6/$B$7</f>
        <v>8.7030716723549492E-2</v>
      </c>
      <c r="D6" s="24">
        <v>238700</v>
      </c>
      <c r="E6" s="21">
        <f t="shared" si="0"/>
        <v>4680.3921568627447</v>
      </c>
      <c r="G6" s="88" t="s">
        <v>4607</v>
      </c>
      <c r="H6" s="89">
        <v>22</v>
      </c>
      <c r="I6" s="90">
        <f t="shared" si="2"/>
        <v>3.7542662116040959E-2</v>
      </c>
      <c r="J6" s="85"/>
      <c r="K6" s="91">
        <f t="shared" si="3"/>
        <v>3.5971223021582732E-2</v>
      </c>
      <c r="L6" s="89">
        <f t="shared" si="1"/>
        <v>10</v>
      </c>
      <c r="M6" s="92" t="s">
        <v>4657</v>
      </c>
    </row>
    <row r="7" spans="1:13" ht="15" thickBot="1" x14ac:dyDescent="0.4">
      <c r="A7" s="55" t="s">
        <v>633</v>
      </c>
      <c r="B7" s="56">
        <f>B2+B6</f>
        <v>586</v>
      </c>
      <c r="C7" s="56"/>
      <c r="D7" s="53">
        <f>D2+D6</f>
        <v>10984852</v>
      </c>
      <c r="E7" s="54">
        <f t="shared" si="0"/>
        <v>18745.481228668941</v>
      </c>
      <c r="G7" s="66" t="s">
        <v>4609</v>
      </c>
      <c r="H7" s="65">
        <v>12</v>
      </c>
      <c r="I7" s="75">
        <f t="shared" si="2"/>
        <v>2.0477815699658702E-2</v>
      </c>
      <c r="J7" s="77"/>
      <c r="K7" s="72">
        <f t="shared" si="3"/>
        <v>2.1582733812949641E-2</v>
      </c>
      <c r="L7" s="65">
        <f t="shared" si="1"/>
        <v>6</v>
      </c>
      <c r="M7" s="69" t="s">
        <v>4658</v>
      </c>
    </row>
    <row r="8" spans="1:13" x14ac:dyDescent="0.35">
      <c r="G8" s="88" t="s">
        <v>4611</v>
      </c>
      <c r="H8" s="89">
        <v>6</v>
      </c>
      <c r="I8" s="90">
        <f t="shared" si="2"/>
        <v>1.0238907849829351E-2</v>
      </c>
      <c r="J8" s="85"/>
      <c r="K8" s="91">
        <f t="shared" si="3"/>
        <v>1.4388489208633094E-2</v>
      </c>
      <c r="L8" s="89">
        <f t="shared" si="1"/>
        <v>4</v>
      </c>
      <c r="M8" s="92" t="s">
        <v>4659</v>
      </c>
    </row>
    <row r="9" spans="1:13" ht="15" thickBot="1" x14ac:dyDescent="0.4">
      <c r="G9" s="66" t="s">
        <v>4613</v>
      </c>
      <c r="H9" s="65">
        <v>2</v>
      </c>
      <c r="I9" s="75">
        <f t="shared" si="2"/>
        <v>3.4129692832764505E-3</v>
      </c>
      <c r="J9" s="77"/>
      <c r="K9" s="72">
        <f t="shared" si="3"/>
        <v>3.5971223021582736E-3</v>
      </c>
      <c r="L9" s="65">
        <f t="shared" si="1"/>
        <v>1</v>
      </c>
      <c r="M9" s="69" t="s">
        <v>4660</v>
      </c>
    </row>
    <row r="10" spans="1:13" x14ac:dyDescent="0.35">
      <c r="A10" s="29" t="s">
        <v>4626</v>
      </c>
      <c r="B10" s="13" t="s">
        <v>4592</v>
      </c>
      <c r="C10" s="13" t="s">
        <v>4593</v>
      </c>
      <c r="D10" s="15" t="s">
        <v>4594</v>
      </c>
      <c r="G10" s="88" t="s">
        <v>4616</v>
      </c>
      <c r="H10" s="89">
        <v>1</v>
      </c>
      <c r="I10" s="90">
        <f t="shared" si="2"/>
        <v>1.7064846416382253E-3</v>
      </c>
      <c r="J10" s="85"/>
      <c r="K10" s="91">
        <f t="shared" si="3"/>
        <v>0</v>
      </c>
      <c r="L10" s="89">
        <f t="shared" si="1"/>
        <v>0</v>
      </c>
      <c r="M10" s="92" t="s">
        <v>4661</v>
      </c>
    </row>
    <row r="11" spans="1:13" ht="15" thickBot="1" x14ac:dyDescent="0.4">
      <c r="A11" s="22" t="s">
        <v>4627</v>
      </c>
      <c r="B11" s="6">
        <v>168</v>
      </c>
      <c r="C11" s="30"/>
      <c r="D11" s="31"/>
      <c r="G11" s="67" t="s">
        <v>4619</v>
      </c>
      <c r="H11" s="74">
        <v>1</v>
      </c>
      <c r="I11" s="76">
        <f t="shared" si="2"/>
        <v>1.7064846416382253E-3</v>
      </c>
      <c r="J11" s="77"/>
      <c r="K11" s="73">
        <f t="shared" si="3"/>
        <v>3.5971223021582736E-3</v>
      </c>
      <c r="L11" s="74">
        <v>1</v>
      </c>
      <c r="M11" s="70" t="s">
        <v>4662</v>
      </c>
    </row>
    <row r="12" spans="1:13" ht="15" thickBot="1" x14ac:dyDescent="0.4">
      <c r="A12" s="22" t="s">
        <v>4626</v>
      </c>
      <c r="B12" s="30"/>
      <c r="C12" s="52">
        <v>0.88</v>
      </c>
      <c r="D12" s="42">
        <v>4371652</v>
      </c>
      <c r="G12" s="93" t="s">
        <v>4622</v>
      </c>
      <c r="H12" s="78">
        <f>SUM(H2:H11)</f>
        <v>586</v>
      </c>
      <c r="I12" s="79">
        <f>SUM(I2:I11)</f>
        <v>1</v>
      </c>
      <c r="J12" s="71"/>
      <c r="K12" s="80">
        <f>SUM(K2:K11)</f>
        <v>0.99999999999999989</v>
      </c>
      <c r="L12" s="81">
        <f>SUM(L2:L11)</f>
        <v>278</v>
      </c>
      <c r="M12" s="94" t="s">
        <v>4623</v>
      </c>
    </row>
    <row r="13" spans="1:13" x14ac:dyDescent="0.35">
      <c r="A13" s="22" t="s">
        <v>4628</v>
      </c>
      <c r="B13" s="30"/>
      <c r="C13" s="34">
        <v>0.12</v>
      </c>
      <c r="D13" s="42">
        <v>608102</v>
      </c>
    </row>
    <row r="14" spans="1:13" x14ac:dyDescent="0.35">
      <c r="A14" s="22" t="s">
        <v>4629</v>
      </c>
      <c r="B14" s="30"/>
      <c r="C14" s="23">
        <v>0.17</v>
      </c>
      <c r="D14" s="42">
        <v>615327</v>
      </c>
    </row>
    <row r="15" spans="1:13" x14ac:dyDescent="0.35">
      <c r="A15" s="22" t="s">
        <v>4630</v>
      </c>
      <c r="B15" s="30"/>
      <c r="C15" s="30"/>
      <c r="D15" s="42">
        <v>3639035</v>
      </c>
      <c r="G15" s="37"/>
    </row>
    <row r="16" spans="1:13" x14ac:dyDescent="0.35">
      <c r="A16" s="22" t="s">
        <v>4631</v>
      </c>
      <c r="B16" s="6">
        <v>47</v>
      </c>
      <c r="C16" s="23">
        <v>0.27</v>
      </c>
      <c r="D16" s="32"/>
    </row>
    <row r="17" spans="1:6" x14ac:dyDescent="0.35">
      <c r="A17" s="22" t="s">
        <v>4632</v>
      </c>
      <c r="B17" s="33"/>
      <c r="C17" s="23">
        <v>0.23</v>
      </c>
      <c r="D17" s="32"/>
      <c r="F17" s="34"/>
    </row>
    <row r="18" spans="1:6" ht="15" thickBot="1" x14ac:dyDescent="0.4">
      <c r="A18" s="25" t="s">
        <v>4633</v>
      </c>
      <c r="B18" s="26">
        <v>14</v>
      </c>
      <c r="C18" s="36">
        <v>0.02</v>
      </c>
      <c r="D18" s="28">
        <v>50707</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CED7-1C20-48D7-A224-83C923A1D89C}">
  <sheetPr codeName="Sheet62"/>
  <dimension ref="A1:M18"/>
  <sheetViews>
    <sheetView workbookViewId="0">
      <selection activeCell="L8" sqref="L8"/>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535</v>
      </c>
      <c r="C2" s="19">
        <f>B2/$B$7</f>
        <v>0.91296928327645055</v>
      </c>
      <c r="D2" s="20">
        <f>SUM(D3:D5)</f>
        <v>10746152</v>
      </c>
      <c r="E2" s="21">
        <f t="shared" ref="E2:E7" si="0">D2/B2</f>
        <v>20086.265420560747</v>
      </c>
      <c r="G2" s="82" t="s">
        <v>4599</v>
      </c>
      <c r="H2" s="83">
        <v>278</v>
      </c>
      <c r="I2" s="84">
        <f>H2/$H$12</f>
        <v>0.47440273037542663</v>
      </c>
      <c r="J2" s="85"/>
      <c r="K2" s="86">
        <f>L2/$L$12</f>
        <v>0.48201438848920863</v>
      </c>
      <c r="L2" s="83">
        <f t="shared" ref="L2:L10" si="1">H2-H3</f>
        <v>134</v>
      </c>
      <c r="M2" s="87" t="s">
        <v>4653</v>
      </c>
    </row>
    <row r="3" spans="1:13" x14ac:dyDescent="0.35">
      <c r="A3" s="22" t="s">
        <v>13</v>
      </c>
      <c r="B3" s="6">
        <v>434</v>
      </c>
      <c r="C3" s="19">
        <f>B3/$B$7</f>
        <v>0.74061433447098979</v>
      </c>
      <c r="D3" s="24">
        <v>8214652</v>
      </c>
      <c r="E3" s="21">
        <f t="shared" si="0"/>
        <v>18927.769585253456</v>
      </c>
      <c r="F3" s="37"/>
      <c r="G3" s="66" t="s">
        <v>4601</v>
      </c>
      <c r="H3" s="65">
        <v>144</v>
      </c>
      <c r="I3" s="75">
        <f t="shared" ref="I3:I11" si="2">H3/$H$12</f>
        <v>0.24573378839590443</v>
      </c>
      <c r="J3" s="77"/>
      <c r="K3" s="72">
        <f t="shared" ref="K3:K11" si="3">L3/$L$12</f>
        <v>0.23741007194244604</v>
      </c>
      <c r="L3" s="65">
        <f t="shared" si="1"/>
        <v>66</v>
      </c>
      <c r="M3" s="69" t="s">
        <v>4654</v>
      </c>
    </row>
    <row r="4" spans="1:13" x14ac:dyDescent="0.35">
      <c r="A4" s="22" t="s">
        <v>55</v>
      </c>
      <c r="B4" s="6">
        <v>22</v>
      </c>
      <c r="C4" s="19">
        <f>B4/$B$7</f>
        <v>3.7542662116040959E-2</v>
      </c>
      <c r="D4" s="24">
        <v>312000</v>
      </c>
      <c r="E4" s="21">
        <f t="shared" si="0"/>
        <v>14181.818181818182</v>
      </c>
      <c r="G4" s="88" t="s">
        <v>4603</v>
      </c>
      <c r="H4" s="89">
        <v>78</v>
      </c>
      <c r="I4" s="90">
        <f t="shared" si="2"/>
        <v>0.13310580204778158</v>
      </c>
      <c r="J4" s="85"/>
      <c r="K4" s="91">
        <f t="shared" si="3"/>
        <v>0.12949640287769784</v>
      </c>
      <c r="L4" s="89">
        <f t="shared" si="1"/>
        <v>36</v>
      </c>
      <c r="M4" s="92" t="s">
        <v>4655</v>
      </c>
    </row>
    <row r="5" spans="1:13" x14ac:dyDescent="0.35">
      <c r="A5" s="22" t="s">
        <v>70</v>
      </c>
      <c r="B5" s="6">
        <v>79</v>
      </c>
      <c r="C5" s="19">
        <f>B5/$B$7</f>
        <v>0.1348122866894198</v>
      </c>
      <c r="D5" s="24">
        <v>2219500</v>
      </c>
      <c r="E5" s="21">
        <f t="shared" si="0"/>
        <v>28094.936708860758</v>
      </c>
      <c r="F5" s="37"/>
      <c r="G5" s="66" t="s">
        <v>4605</v>
      </c>
      <c r="H5" s="65">
        <v>42</v>
      </c>
      <c r="I5" s="75">
        <f t="shared" si="2"/>
        <v>7.1672354948805458E-2</v>
      </c>
      <c r="J5" s="77"/>
      <c r="K5" s="72">
        <f t="shared" si="3"/>
        <v>7.1942446043165464E-2</v>
      </c>
      <c r="L5" s="65">
        <f t="shared" si="1"/>
        <v>20</v>
      </c>
      <c r="M5" s="69" t="s">
        <v>4656</v>
      </c>
    </row>
    <row r="6" spans="1:13" x14ac:dyDescent="0.35">
      <c r="A6" s="22" t="s">
        <v>4648</v>
      </c>
      <c r="B6" s="6">
        <v>51</v>
      </c>
      <c r="C6" s="19">
        <f>B6/$B$7</f>
        <v>8.7030716723549492E-2</v>
      </c>
      <c r="D6" s="24">
        <v>238700</v>
      </c>
      <c r="E6" s="21">
        <f t="shared" si="0"/>
        <v>4680.3921568627447</v>
      </c>
      <c r="G6" s="88" t="s">
        <v>4607</v>
      </c>
      <c r="H6" s="89">
        <v>22</v>
      </c>
      <c r="I6" s="90">
        <f t="shared" si="2"/>
        <v>3.7542662116040959E-2</v>
      </c>
      <c r="J6" s="85"/>
      <c r="K6" s="91">
        <f t="shared" si="3"/>
        <v>3.5971223021582732E-2</v>
      </c>
      <c r="L6" s="89">
        <f t="shared" si="1"/>
        <v>10</v>
      </c>
      <c r="M6" s="92" t="s">
        <v>4657</v>
      </c>
    </row>
    <row r="7" spans="1:13" ht="15" thickBot="1" x14ac:dyDescent="0.4">
      <c r="A7" s="55" t="s">
        <v>633</v>
      </c>
      <c r="B7" s="56">
        <f>B2+B6</f>
        <v>586</v>
      </c>
      <c r="C7" s="56"/>
      <c r="D7" s="53">
        <f>D2+D6</f>
        <v>10984852</v>
      </c>
      <c r="E7" s="54">
        <f t="shared" si="0"/>
        <v>18745.481228668941</v>
      </c>
      <c r="G7" s="66" t="s">
        <v>4609</v>
      </c>
      <c r="H7" s="65">
        <v>12</v>
      </c>
      <c r="I7" s="75">
        <f t="shared" si="2"/>
        <v>2.0477815699658702E-2</v>
      </c>
      <c r="J7" s="77"/>
      <c r="K7" s="72">
        <f t="shared" si="3"/>
        <v>2.1582733812949641E-2</v>
      </c>
      <c r="L7" s="65">
        <f t="shared" si="1"/>
        <v>6</v>
      </c>
      <c r="M7" s="69" t="s">
        <v>4658</v>
      </c>
    </row>
    <row r="8" spans="1:13" x14ac:dyDescent="0.35">
      <c r="G8" s="88" t="s">
        <v>4611</v>
      </c>
      <c r="H8" s="89">
        <v>6</v>
      </c>
      <c r="I8" s="90">
        <f t="shared" si="2"/>
        <v>1.0238907849829351E-2</v>
      </c>
      <c r="J8" s="85"/>
      <c r="K8" s="91">
        <f t="shared" si="3"/>
        <v>1.4388489208633094E-2</v>
      </c>
      <c r="L8" s="89">
        <f t="shared" si="1"/>
        <v>4</v>
      </c>
      <c r="M8" s="92" t="s">
        <v>4659</v>
      </c>
    </row>
    <row r="9" spans="1:13" ht="15" thickBot="1" x14ac:dyDescent="0.4">
      <c r="G9" s="66" t="s">
        <v>4613</v>
      </c>
      <c r="H9" s="65">
        <v>2</v>
      </c>
      <c r="I9" s="75">
        <f t="shared" si="2"/>
        <v>3.4129692832764505E-3</v>
      </c>
      <c r="J9" s="77"/>
      <c r="K9" s="72">
        <f t="shared" si="3"/>
        <v>3.5971223021582736E-3</v>
      </c>
      <c r="L9" s="65">
        <f t="shared" si="1"/>
        <v>1</v>
      </c>
      <c r="M9" s="69" t="s">
        <v>4660</v>
      </c>
    </row>
    <row r="10" spans="1:13" x14ac:dyDescent="0.35">
      <c r="A10" s="29" t="s">
        <v>4626</v>
      </c>
      <c r="B10" s="13" t="s">
        <v>4592</v>
      </c>
      <c r="C10" s="13" t="s">
        <v>4593</v>
      </c>
      <c r="D10" s="15" t="s">
        <v>4594</v>
      </c>
      <c r="G10" s="88" t="s">
        <v>4616</v>
      </c>
      <c r="H10" s="89">
        <v>1</v>
      </c>
      <c r="I10" s="90">
        <f t="shared" si="2"/>
        <v>1.7064846416382253E-3</v>
      </c>
      <c r="J10" s="85"/>
      <c r="K10" s="91">
        <f t="shared" si="3"/>
        <v>0</v>
      </c>
      <c r="L10" s="89">
        <f t="shared" si="1"/>
        <v>0</v>
      </c>
      <c r="M10" s="92" t="s">
        <v>4661</v>
      </c>
    </row>
    <row r="11" spans="1:13" ht="15" thickBot="1" x14ac:dyDescent="0.4">
      <c r="A11" s="22" t="s">
        <v>4627</v>
      </c>
      <c r="B11" s="6">
        <v>168</v>
      </c>
      <c r="C11" s="30"/>
      <c r="D11" s="31"/>
      <c r="G11" s="67" t="s">
        <v>4619</v>
      </c>
      <c r="H11" s="74">
        <v>1</v>
      </c>
      <c r="I11" s="76">
        <f t="shared" si="2"/>
        <v>1.7064846416382253E-3</v>
      </c>
      <c r="J11" s="77"/>
      <c r="K11" s="73">
        <f t="shared" si="3"/>
        <v>3.5971223021582736E-3</v>
      </c>
      <c r="L11" s="74">
        <v>1</v>
      </c>
      <c r="M11" s="70" t="s">
        <v>4662</v>
      </c>
    </row>
    <row r="12" spans="1:13" ht="15" thickBot="1" x14ac:dyDescent="0.4">
      <c r="A12" s="22" t="s">
        <v>4626</v>
      </c>
      <c r="B12" s="30"/>
      <c r="C12" s="52">
        <v>0.87767026144452243</v>
      </c>
      <c r="D12" s="42">
        <v>4370813.2699999996</v>
      </c>
      <c r="G12" s="93" t="s">
        <v>4622</v>
      </c>
      <c r="H12" s="78">
        <f>SUM(H2:H11)</f>
        <v>586</v>
      </c>
      <c r="I12" s="79">
        <f>SUM(I2:I11)</f>
        <v>1</v>
      </c>
      <c r="J12" s="71"/>
      <c r="K12" s="80">
        <f>SUM(K2:K11)</f>
        <v>0.99999999999999989</v>
      </c>
      <c r="L12" s="81">
        <f>SUM(L2:L11)</f>
        <v>278</v>
      </c>
      <c r="M12" s="94" t="s">
        <v>4623</v>
      </c>
    </row>
    <row r="13" spans="1:13" x14ac:dyDescent="0.35">
      <c r="A13" s="22" t="s">
        <v>4628</v>
      </c>
      <c r="B13" s="30"/>
      <c r="C13" s="34">
        <v>0.12232973855547749</v>
      </c>
      <c r="D13" s="42">
        <v>609204.24</v>
      </c>
    </row>
    <row r="14" spans="1:13" x14ac:dyDescent="0.35">
      <c r="A14" s="22" t="s">
        <v>4629</v>
      </c>
      <c r="B14" s="30"/>
      <c r="C14" s="23">
        <v>0.17038540958607654</v>
      </c>
      <c r="D14" s="42">
        <v>616502.74</v>
      </c>
    </row>
    <row r="15" spans="1:13" x14ac:dyDescent="0.35">
      <c r="A15" s="22" t="s">
        <v>4630</v>
      </c>
      <c r="B15" s="30"/>
      <c r="C15" s="30"/>
      <c r="D15" s="42">
        <v>3618283.6400000006</v>
      </c>
      <c r="G15" s="37"/>
    </row>
    <row r="16" spans="1:13" x14ac:dyDescent="0.35">
      <c r="A16" s="22" t="s">
        <v>4631</v>
      </c>
      <c r="B16" s="6">
        <v>47</v>
      </c>
      <c r="C16" s="23">
        <v>0.2655367231638418</v>
      </c>
      <c r="D16" s="32"/>
    </row>
    <row r="17" spans="1:6" x14ac:dyDescent="0.35">
      <c r="A17" s="22" t="s">
        <v>4632</v>
      </c>
      <c r="B17" s="33"/>
      <c r="C17" s="23">
        <v>0.23</v>
      </c>
      <c r="D17" s="32"/>
      <c r="F17" s="34"/>
    </row>
    <row r="18" spans="1:6" ht="15" thickBot="1" x14ac:dyDescent="0.4">
      <c r="A18" s="25" t="s">
        <v>4633</v>
      </c>
      <c r="B18" s="26">
        <v>14</v>
      </c>
      <c r="C18" s="36">
        <v>0.02</v>
      </c>
      <c r="D18" s="28">
        <v>50706.66</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A6D25-0F9F-433D-AB71-AC1886DEED23}">
  <sheetPr codeName="Sheet63"/>
  <dimension ref="A1:M18"/>
  <sheetViews>
    <sheetView workbookViewId="0">
      <selection activeCell="B11" sqref="B11"/>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535</v>
      </c>
      <c r="C2" s="19">
        <f>B2/$B$7</f>
        <v>0.9145299145299145</v>
      </c>
      <c r="D2" s="20">
        <f>SUM(D3:D5)</f>
        <v>10746152</v>
      </c>
      <c r="E2" s="21">
        <f t="shared" ref="E2:E7" si="0">D2/B2</f>
        <v>20086.265420560747</v>
      </c>
      <c r="G2" s="82" t="s">
        <v>4599</v>
      </c>
      <c r="H2" s="83">
        <v>278</v>
      </c>
      <c r="I2" s="84">
        <f>H2/$H$12</f>
        <v>0.47521367521367519</v>
      </c>
      <c r="J2" s="85"/>
      <c r="K2" s="86">
        <f>L2/$L$12</f>
        <v>0.48201438848920863</v>
      </c>
      <c r="L2" s="83">
        <f t="shared" ref="L2:L10" si="1">H2-H3</f>
        <v>134</v>
      </c>
      <c r="M2" s="87" t="s">
        <v>4653</v>
      </c>
    </row>
    <row r="3" spans="1:13" x14ac:dyDescent="0.35">
      <c r="A3" s="22" t="s">
        <v>13</v>
      </c>
      <c r="B3" s="6">
        <v>434</v>
      </c>
      <c r="C3" s="19">
        <f>B3/$B$7</f>
        <v>0.74188034188034191</v>
      </c>
      <c r="D3" s="24">
        <v>8214652</v>
      </c>
      <c r="E3" s="21">
        <f t="shared" si="0"/>
        <v>18927.769585253456</v>
      </c>
      <c r="F3" s="37"/>
      <c r="G3" s="66" t="s">
        <v>4601</v>
      </c>
      <c r="H3" s="65">
        <v>144</v>
      </c>
      <c r="I3" s="75">
        <f t="shared" ref="I3:I11" si="2">H3/$H$12</f>
        <v>0.24615384615384617</v>
      </c>
      <c r="J3" s="77"/>
      <c r="K3" s="72">
        <f t="shared" ref="K3:K11" si="3">L3/$L$12</f>
        <v>0.23741007194244604</v>
      </c>
      <c r="L3" s="65">
        <f t="shared" si="1"/>
        <v>66</v>
      </c>
      <c r="M3" s="69" t="s">
        <v>4654</v>
      </c>
    </row>
    <row r="4" spans="1:13" x14ac:dyDescent="0.35">
      <c r="A4" s="22" t="s">
        <v>55</v>
      </c>
      <c r="B4" s="6">
        <v>22</v>
      </c>
      <c r="C4" s="19">
        <f>B4/$B$7</f>
        <v>3.7606837606837605E-2</v>
      </c>
      <c r="D4" s="24">
        <v>312000</v>
      </c>
      <c r="E4" s="21">
        <f t="shared" si="0"/>
        <v>14181.818181818182</v>
      </c>
      <c r="G4" s="88" t="s">
        <v>4603</v>
      </c>
      <c r="H4" s="89">
        <v>78</v>
      </c>
      <c r="I4" s="90">
        <f t="shared" si="2"/>
        <v>0.13333333333333333</v>
      </c>
      <c r="J4" s="85"/>
      <c r="K4" s="91">
        <f t="shared" si="3"/>
        <v>0.12949640287769784</v>
      </c>
      <c r="L4" s="89">
        <f t="shared" si="1"/>
        <v>36</v>
      </c>
      <c r="M4" s="92" t="s">
        <v>4655</v>
      </c>
    </row>
    <row r="5" spans="1:13" x14ac:dyDescent="0.35">
      <c r="A5" s="22" t="s">
        <v>70</v>
      </c>
      <c r="B5" s="6">
        <v>79</v>
      </c>
      <c r="C5" s="19">
        <f>B5/$B$7</f>
        <v>0.13504273504273503</v>
      </c>
      <c r="D5" s="24">
        <v>2219500</v>
      </c>
      <c r="E5" s="21">
        <f t="shared" si="0"/>
        <v>28094.936708860758</v>
      </c>
      <c r="F5" s="37"/>
      <c r="G5" s="66" t="s">
        <v>4605</v>
      </c>
      <c r="H5" s="65">
        <v>42</v>
      </c>
      <c r="I5" s="75">
        <f t="shared" si="2"/>
        <v>7.179487179487179E-2</v>
      </c>
      <c r="J5" s="77"/>
      <c r="K5" s="72">
        <f t="shared" si="3"/>
        <v>7.1942446043165464E-2</v>
      </c>
      <c r="L5" s="65">
        <f t="shared" si="1"/>
        <v>20</v>
      </c>
      <c r="M5" s="69" t="s">
        <v>4656</v>
      </c>
    </row>
    <row r="6" spans="1:13" x14ac:dyDescent="0.35">
      <c r="A6" s="22" t="s">
        <v>4648</v>
      </c>
      <c r="B6" s="6">
        <v>50</v>
      </c>
      <c r="C6" s="19">
        <f>B6/$B$7</f>
        <v>8.5470085470085472E-2</v>
      </c>
      <c r="D6" s="24">
        <v>233700</v>
      </c>
      <c r="E6" s="21">
        <f t="shared" si="0"/>
        <v>4674</v>
      </c>
      <c r="G6" s="88" t="s">
        <v>4607</v>
      </c>
      <c r="H6" s="89">
        <v>22</v>
      </c>
      <c r="I6" s="90">
        <f t="shared" si="2"/>
        <v>3.7606837606837605E-2</v>
      </c>
      <c r="J6" s="85"/>
      <c r="K6" s="91">
        <f t="shared" si="3"/>
        <v>3.5971223021582732E-2</v>
      </c>
      <c r="L6" s="89">
        <f t="shared" si="1"/>
        <v>10</v>
      </c>
      <c r="M6" s="92" t="s">
        <v>4657</v>
      </c>
    </row>
    <row r="7" spans="1:13" ht="15" thickBot="1" x14ac:dyDescent="0.4">
      <c r="A7" s="55" t="s">
        <v>633</v>
      </c>
      <c r="B7" s="56">
        <f>B2+B6</f>
        <v>585</v>
      </c>
      <c r="C7" s="56"/>
      <c r="D7" s="53">
        <f>D2+D6</f>
        <v>10979852</v>
      </c>
      <c r="E7" s="54">
        <f t="shared" si="0"/>
        <v>18768.977777777778</v>
      </c>
      <c r="G7" s="66" t="s">
        <v>4609</v>
      </c>
      <c r="H7" s="65">
        <v>12</v>
      </c>
      <c r="I7" s="75">
        <f t="shared" si="2"/>
        <v>2.0512820512820513E-2</v>
      </c>
      <c r="J7" s="77"/>
      <c r="K7" s="72">
        <f t="shared" si="3"/>
        <v>2.5179856115107913E-2</v>
      </c>
      <c r="L7" s="65">
        <f t="shared" si="1"/>
        <v>7</v>
      </c>
      <c r="M7" s="69" t="s">
        <v>4658</v>
      </c>
    </row>
    <row r="8" spans="1:13" x14ac:dyDescent="0.35">
      <c r="G8" s="88" t="s">
        <v>4611</v>
      </c>
      <c r="H8" s="89">
        <v>5</v>
      </c>
      <c r="I8" s="90">
        <f t="shared" si="2"/>
        <v>8.5470085470085479E-3</v>
      </c>
      <c r="J8" s="85"/>
      <c r="K8" s="91">
        <f t="shared" si="3"/>
        <v>1.0791366906474821E-2</v>
      </c>
      <c r="L8" s="89">
        <f t="shared" si="1"/>
        <v>3</v>
      </c>
      <c r="M8" s="92" t="s">
        <v>4659</v>
      </c>
    </row>
    <row r="9" spans="1:13" ht="15" thickBot="1" x14ac:dyDescent="0.4">
      <c r="G9" s="66" t="s">
        <v>4613</v>
      </c>
      <c r="H9" s="65">
        <v>2</v>
      </c>
      <c r="I9" s="75">
        <f t="shared" si="2"/>
        <v>3.4188034188034188E-3</v>
      </c>
      <c r="J9" s="77"/>
      <c r="K9" s="72">
        <f t="shared" si="3"/>
        <v>3.5971223021582736E-3</v>
      </c>
      <c r="L9" s="65">
        <f t="shared" si="1"/>
        <v>1</v>
      </c>
      <c r="M9" s="69" t="s">
        <v>4660</v>
      </c>
    </row>
    <row r="10" spans="1:13" x14ac:dyDescent="0.35">
      <c r="A10" s="29" t="s">
        <v>4626</v>
      </c>
      <c r="B10" s="13" t="s">
        <v>4592</v>
      </c>
      <c r="C10" s="13" t="s">
        <v>4593</v>
      </c>
      <c r="D10" s="15" t="s">
        <v>4594</v>
      </c>
      <c r="G10" s="88" t="s">
        <v>4616</v>
      </c>
      <c r="H10" s="89">
        <v>1</v>
      </c>
      <c r="I10" s="90">
        <f t="shared" si="2"/>
        <v>1.7094017094017094E-3</v>
      </c>
      <c r="J10" s="85"/>
      <c r="K10" s="91">
        <f t="shared" si="3"/>
        <v>0</v>
      </c>
      <c r="L10" s="89">
        <f t="shared" si="1"/>
        <v>0</v>
      </c>
      <c r="M10" s="92" t="s">
        <v>4661</v>
      </c>
    </row>
    <row r="11" spans="1:13" ht="15" thickBot="1" x14ac:dyDescent="0.4">
      <c r="A11" s="22" t="s">
        <v>4627</v>
      </c>
      <c r="B11" s="6">
        <v>167</v>
      </c>
      <c r="C11" s="30"/>
      <c r="D11" s="31"/>
      <c r="G11" s="67" t="s">
        <v>4619</v>
      </c>
      <c r="H11" s="74">
        <v>1</v>
      </c>
      <c r="I11" s="76">
        <f t="shared" si="2"/>
        <v>1.7094017094017094E-3</v>
      </c>
      <c r="J11" s="77"/>
      <c r="K11" s="73">
        <f t="shared" si="3"/>
        <v>3.5971223021582736E-3</v>
      </c>
      <c r="L11" s="74">
        <v>1</v>
      </c>
      <c r="M11" s="70" t="s">
        <v>4662</v>
      </c>
    </row>
    <row r="12" spans="1:13" ht="15" thickBot="1" x14ac:dyDescent="0.4">
      <c r="A12" s="22" t="s">
        <v>4626</v>
      </c>
      <c r="B12" s="30"/>
      <c r="C12" s="52">
        <v>0.87873482950539816</v>
      </c>
      <c r="D12" s="21">
        <v>4369820.46</v>
      </c>
      <c r="G12" s="93" t="s">
        <v>4622</v>
      </c>
      <c r="H12" s="78">
        <f>SUM(H2:H11)</f>
        <v>585</v>
      </c>
      <c r="I12" s="79">
        <f>SUM(I2:I11)</f>
        <v>0.99999999999999989</v>
      </c>
      <c r="J12" s="71"/>
      <c r="K12" s="80">
        <f>SUM(K2:K11)</f>
        <v>0.99999999999999989</v>
      </c>
      <c r="L12" s="81">
        <f>SUM(L2:L11)</f>
        <v>278</v>
      </c>
      <c r="M12" s="94" t="s">
        <v>4623</v>
      </c>
    </row>
    <row r="13" spans="1:13" x14ac:dyDescent="0.35">
      <c r="A13" s="22" t="s">
        <v>4628</v>
      </c>
      <c r="B13" s="30"/>
      <c r="C13" s="34">
        <v>0.12126517049460192</v>
      </c>
      <c r="D13" s="21">
        <v>603034.05000000005</v>
      </c>
    </row>
    <row r="14" spans="1:13" x14ac:dyDescent="0.35">
      <c r="A14" s="22" t="s">
        <v>4629</v>
      </c>
      <c r="B14" s="30"/>
      <c r="C14" s="23">
        <v>0.17049070689554488</v>
      </c>
      <c r="D14" s="21">
        <v>615587.36</v>
      </c>
    </row>
    <row r="15" spans="1:13" x14ac:dyDescent="0.35">
      <c r="A15" s="22" t="s">
        <v>4630</v>
      </c>
      <c r="B15" s="30"/>
      <c r="C15" s="30"/>
      <c r="D15" s="21">
        <v>3610679.85</v>
      </c>
      <c r="G15" s="37"/>
    </row>
    <row r="16" spans="1:13" x14ac:dyDescent="0.35">
      <c r="A16" s="22" t="s">
        <v>4631</v>
      </c>
      <c r="B16" s="6">
        <v>47</v>
      </c>
      <c r="C16" s="23">
        <v>0.2655367231638418</v>
      </c>
      <c r="D16" s="32"/>
    </row>
    <row r="17" spans="1:6" x14ac:dyDescent="0.35">
      <c r="A17" s="22" t="s">
        <v>4632</v>
      </c>
      <c r="B17" s="33"/>
      <c r="C17" s="23">
        <v>0.23</v>
      </c>
      <c r="D17" s="32"/>
      <c r="F17" s="34"/>
    </row>
    <row r="18" spans="1:6" ht="15" thickBot="1" x14ac:dyDescent="0.4">
      <c r="A18" s="25" t="s">
        <v>4633</v>
      </c>
      <c r="B18" s="26">
        <v>14</v>
      </c>
      <c r="C18" s="36">
        <v>0.02</v>
      </c>
      <c r="D18" s="28">
        <v>50706.66</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0DF3-10C5-423B-BC4A-D31FC4E77E36}">
  <sheetPr codeName="Sheet64"/>
  <dimension ref="A1:M18"/>
  <sheetViews>
    <sheetView workbookViewId="0">
      <selection activeCell="G17" sqref="G17"/>
    </sheetView>
  </sheetViews>
  <sheetFormatPr defaultColWidth="9.1796875" defaultRowHeight="14.5" x14ac:dyDescent="0.35"/>
  <cols>
    <col min="1" max="1" width="30.453125" customWidth="1"/>
    <col min="2" max="2" width="9.453125" customWidth="1"/>
    <col min="3" max="3" width="9.81640625" customWidth="1"/>
    <col min="4" max="4" width="14.1796875" customWidth="1"/>
    <col min="5" max="5" width="16.81640625" customWidth="1"/>
    <col min="6" max="6" width="4.81640625" customWidth="1"/>
    <col min="7" max="7" width="20.1796875" customWidth="1"/>
    <col min="8" max="8" width="6.1796875" customWidth="1"/>
    <col min="9" max="9" width="7.7265625" customWidth="1"/>
    <col min="10" max="10" width="1.26953125" customWidth="1"/>
    <col min="11" max="11" width="6.81640625" customWidth="1"/>
    <col min="12" max="12" width="6.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535</v>
      </c>
      <c r="C2" s="19">
        <f>B2/$B$7</f>
        <v>0.9145299145299145</v>
      </c>
      <c r="D2" s="20">
        <f>SUM(D3:D5)</f>
        <v>10746152</v>
      </c>
      <c r="E2" s="21">
        <f t="shared" ref="E2:E7" si="0">D2/B2</f>
        <v>20086.265420560747</v>
      </c>
      <c r="G2" s="82" t="s">
        <v>4599</v>
      </c>
      <c r="H2" s="83">
        <v>278</v>
      </c>
      <c r="I2" s="84">
        <f>H2/$H$12</f>
        <v>0.47521367521367519</v>
      </c>
      <c r="J2" s="85"/>
      <c r="K2" s="86">
        <f>L2/$L$12</f>
        <v>0.48201438848920863</v>
      </c>
      <c r="L2" s="83">
        <f t="shared" ref="L2:L10" si="1">H2-H3</f>
        <v>134</v>
      </c>
      <c r="M2" s="87" t="s">
        <v>4653</v>
      </c>
    </row>
    <row r="3" spans="1:13" x14ac:dyDescent="0.35">
      <c r="A3" s="22" t="s">
        <v>13</v>
      </c>
      <c r="B3" s="6">
        <v>434</v>
      </c>
      <c r="C3" s="19">
        <f>B3/$B$7</f>
        <v>0.74188034188034191</v>
      </c>
      <c r="D3" s="24">
        <v>8214652</v>
      </c>
      <c r="E3" s="21">
        <f t="shared" si="0"/>
        <v>18927.769585253456</v>
      </c>
      <c r="F3" s="37"/>
      <c r="G3" s="66" t="s">
        <v>4601</v>
      </c>
      <c r="H3" s="65">
        <v>144</v>
      </c>
      <c r="I3" s="75">
        <f t="shared" ref="I3:I11" si="2">H3/$H$12</f>
        <v>0.24615384615384617</v>
      </c>
      <c r="J3" s="77"/>
      <c r="K3" s="72">
        <f t="shared" ref="K3:K11" si="3">L3/$L$12</f>
        <v>0.23741007194244604</v>
      </c>
      <c r="L3" s="65">
        <f t="shared" si="1"/>
        <v>66</v>
      </c>
      <c r="M3" s="69" t="s">
        <v>4654</v>
      </c>
    </row>
    <row r="4" spans="1:13" x14ac:dyDescent="0.35">
      <c r="A4" s="22" t="s">
        <v>55</v>
      </c>
      <c r="B4" s="6">
        <v>22</v>
      </c>
      <c r="C4" s="19">
        <f>B4/$B$7</f>
        <v>3.7606837606837605E-2</v>
      </c>
      <c r="D4" s="24">
        <v>312000</v>
      </c>
      <c r="E4" s="21">
        <f t="shared" si="0"/>
        <v>14181.818181818182</v>
      </c>
      <c r="G4" s="88" t="s">
        <v>4603</v>
      </c>
      <c r="H4" s="89">
        <v>78</v>
      </c>
      <c r="I4" s="90">
        <f t="shared" si="2"/>
        <v>0.13333333333333333</v>
      </c>
      <c r="J4" s="85"/>
      <c r="K4" s="91">
        <f t="shared" si="3"/>
        <v>0.12949640287769784</v>
      </c>
      <c r="L4" s="89">
        <f t="shared" si="1"/>
        <v>36</v>
      </c>
      <c r="M4" s="92" t="s">
        <v>4655</v>
      </c>
    </row>
    <row r="5" spans="1:13" x14ac:dyDescent="0.35">
      <c r="A5" s="22" t="s">
        <v>70</v>
      </c>
      <c r="B5" s="6">
        <v>79</v>
      </c>
      <c r="C5" s="19">
        <f>B5/$B$7</f>
        <v>0.13504273504273503</v>
      </c>
      <c r="D5" s="24">
        <v>2219500</v>
      </c>
      <c r="E5" s="21">
        <f t="shared" si="0"/>
        <v>28094.936708860758</v>
      </c>
      <c r="F5" s="37"/>
      <c r="G5" s="66" t="s">
        <v>4605</v>
      </c>
      <c r="H5" s="65">
        <v>42</v>
      </c>
      <c r="I5" s="75">
        <f t="shared" si="2"/>
        <v>7.179487179487179E-2</v>
      </c>
      <c r="J5" s="77"/>
      <c r="K5" s="72">
        <f t="shared" si="3"/>
        <v>7.1942446043165464E-2</v>
      </c>
      <c r="L5" s="65">
        <f t="shared" si="1"/>
        <v>20</v>
      </c>
      <c r="M5" s="69" t="s">
        <v>4656</v>
      </c>
    </row>
    <row r="6" spans="1:13" x14ac:dyDescent="0.35">
      <c r="A6" s="22" t="s">
        <v>4648</v>
      </c>
      <c r="B6" s="6">
        <v>50</v>
      </c>
      <c r="C6" s="19">
        <f>B6/$B$7</f>
        <v>8.5470085470085472E-2</v>
      </c>
      <c r="D6" s="24">
        <v>233700</v>
      </c>
      <c r="E6" s="21">
        <f t="shared" si="0"/>
        <v>4674</v>
      </c>
      <c r="G6" s="88" t="s">
        <v>4607</v>
      </c>
      <c r="H6" s="89">
        <v>22</v>
      </c>
      <c r="I6" s="90">
        <f t="shared" si="2"/>
        <v>3.7606837606837605E-2</v>
      </c>
      <c r="J6" s="85"/>
      <c r="K6" s="91">
        <f t="shared" si="3"/>
        <v>3.5971223021582732E-2</v>
      </c>
      <c r="L6" s="89">
        <f t="shared" si="1"/>
        <v>10</v>
      </c>
      <c r="M6" s="92" t="s">
        <v>4657</v>
      </c>
    </row>
    <row r="7" spans="1:13" ht="15" thickBot="1" x14ac:dyDescent="0.4">
      <c r="A7" s="55" t="s">
        <v>633</v>
      </c>
      <c r="B7" s="56">
        <f>B2+B6</f>
        <v>585</v>
      </c>
      <c r="C7" s="56"/>
      <c r="D7" s="53">
        <f>D2+D6</f>
        <v>10979852</v>
      </c>
      <c r="E7" s="54">
        <f t="shared" si="0"/>
        <v>18768.977777777778</v>
      </c>
      <c r="G7" s="66" t="s">
        <v>4609</v>
      </c>
      <c r="H7" s="65">
        <v>12</v>
      </c>
      <c r="I7" s="75">
        <f t="shared" si="2"/>
        <v>2.0512820512820513E-2</v>
      </c>
      <c r="J7" s="77"/>
      <c r="K7" s="72">
        <f t="shared" si="3"/>
        <v>2.5179856115107913E-2</v>
      </c>
      <c r="L7" s="65">
        <f t="shared" si="1"/>
        <v>7</v>
      </c>
      <c r="M7" s="69" t="s">
        <v>4658</v>
      </c>
    </row>
    <row r="8" spans="1:13" x14ac:dyDescent="0.35">
      <c r="G8" s="88" t="s">
        <v>4611</v>
      </c>
      <c r="H8" s="89">
        <v>5</v>
      </c>
      <c r="I8" s="90">
        <f t="shared" si="2"/>
        <v>8.5470085470085479E-3</v>
      </c>
      <c r="J8" s="85"/>
      <c r="K8" s="91">
        <f t="shared" si="3"/>
        <v>1.0791366906474821E-2</v>
      </c>
      <c r="L8" s="89">
        <f t="shared" si="1"/>
        <v>3</v>
      </c>
      <c r="M8" s="92" t="s">
        <v>4659</v>
      </c>
    </row>
    <row r="9" spans="1:13" ht="15" thickBot="1" x14ac:dyDescent="0.4">
      <c r="G9" s="66" t="s">
        <v>4613</v>
      </c>
      <c r="H9" s="65">
        <v>2</v>
      </c>
      <c r="I9" s="75">
        <f t="shared" si="2"/>
        <v>3.4188034188034188E-3</v>
      </c>
      <c r="J9" s="77"/>
      <c r="K9" s="72">
        <f t="shared" si="3"/>
        <v>3.5971223021582736E-3</v>
      </c>
      <c r="L9" s="65">
        <f t="shared" si="1"/>
        <v>1</v>
      </c>
      <c r="M9" s="69" t="s">
        <v>4660</v>
      </c>
    </row>
    <row r="10" spans="1:13" x14ac:dyDescent="0.35">
      <c r="A10" s="29" t="s">
        <v>4626</v>
      </c>
      <c r="B10" s="13" t="s">
        <v>4592</v>
      </c>
      <c r="C10" s="13" t="s">
        <v>4593</v>
      </c>
      <c r="D10" s="15" t="s">
        <v>4594</v>
      </c>
      <c r="G10" s="88" t="s">
        <v>4616</v>
      </c>
      <c r="H10" s="89">
        <v>1</v>
      </c>
      <c r="I10" s="90">
        <f t="shared" si="2"/>
        <v>1.7094017094017094E-3</v>
      </c>
      <c r="J10" s="85"/>
      <c r="K10" s="91">
        <f t="shared" si="3"/>
        <v>0</v>
      </c>
      <c r="L10" s="89">
        <f t="shared" si="1"/>
        <v>0</v>
      </c>
      <c r="M10" s="92" t="s">
        <v>4661</v>
      </c>
    </row>
    <row r="11" spans="1:13" ht="15" thickBot="1" x14ac:dyDescent="0.4">
      <c r="A11" s="22" t="s">
        <v>4627</v>
      </c>
      <c r="B11" s="6">
        <v>173</v>
      </c>
      <c r="C11" s="30"/>
      <c r="D11" s="31"/>
      <c r="G11" s="67" t="s">
        <v>4619</v>
      </c>
      <c r="H11" s="74">
        <v>1</v>
      </c>
      <c r="I11" s="76">
        <f t="shared" si="2"/>
        <v>1.7094017094017094E-3</v>
      </c>
      <c r="J11" s="77"/>
      <c r="K11" s="73">
        <f t="shared" si="3"/>
        <v>3.5971223021582736E-3</v>
      </c>
      <c r="L11" s="74">
        <v>1</v>
      </c>
      <c r="M11" s="70" t="s">
        <v>4662</v>
      </c>
    </row>
    <row r="12" spans="1:13" ht="15" thickBot="1" x14ac:dyDescent="0.4">
      <c r="A12" s="22" t="s">
        <v>4626</v>
      </c>
      <c r="B12" s="30"/>
      <c r="C12" s="52">
        <v>0.88</v>
      </c>
      <c r="D12" s="21">
        <v>4362413</v>
      </c>
      <c r="G12" s="93" t="s">
        <v>4622</v>
      </c>
      <c r="H12" s="78">
        <f>SUM(H2:H11)</f>
        <v>585</v>
      </c>
      <c r="I12" s="79">
        <f>SUM(I2:I11)</f>
        <v>0.99999999999999989</v>
      </c>
      <c r="J12" s="71"/>
      <c r="K12" s="80">
        <f>SUM(K2:K11)</f>
        <v>0.99999999999999989</v>
      </c>
      <c r="L12" s="81">
        <f>SUM(L2:L11)</f>
        <v>278</v>
      </c>
      <c r="M12" s="94" t="s">
        <v>4623</v>
      </c>
    </row>
    <row r="13" spans="1:13" x14ac:dyDescent="0.35">
      <c r="A13" s="22" t="s">
        <v>4628</v>
      </c>
      <c r="B13" s="30"/>
      <c r="C13" s="34">
        <v>0.12</v>
      </c>
      <c r="D13" s="21">
        <v>615954</v>
      </c>
    </row>
    <row r="14" spans="1:13" x14ac:dyDescent="0.35">
      <c r="A14" s="22" t="s">
        <v>4629</v>
      </c>
      <c r="B14" s="30"/>
      <c r="C14" s="23">
        <v>0.18</v>
      </c>
      <c r="D14" s="21">
        <v>624596</v>
      </c>
    </row>
    <row r="15" spans="1:13" x14ac:dyDescent="0.35">
      <c r="A15" s="22" t="s">
        <v>4630</v>
      </c>
      <c r="B15" s="30"/>
      <c r="C15" s="30"/>
      <c r="D15" s="21">
        <v>3521353</v>
      </c>
      <c r="G15" s="37"/>
    </row>
    <row r="16" spans="1:13" x14ac:dyDescent="0.35">
      <c r="A16" s="22" t="s">
        <v>4631</v>
      </c>
      <c r="B16" s="6">
        <v>47</v>
      </c>
      <c r="C16" s="23">
        <v>0.27</v>
      </c>
      <c r="D16" s="32"/>
    </row>
    <row r="17" spans="1:6" x14ac:dyDescent="0.35">
      <c r="A17" s="22" t="s">
        <v>4632</v>
      </c>
      <c r="B17" s="33"/>
      <c r="C17" s="23">
        <v>0.23</v>
      </c>
      <c r="D17" s="32"/>
      <c r="F17" s="34"/>
    </row>
    <row r="18" spans="1:6" ht="15" thickBot="1" x14ac:dyDescent="0.4">
      <c r="A18" s="25" t="s">
        <v>4633</v>
      </c>
      <c r="B18" s="26">
        <v>14</v>
      </c>
      <c r="C18" s="36">
        <v>0.02</v>
      </c>
      <c r="D18" s="28">
        <v>50707</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07915-18DA-4494-8282-66489A22EE82}">
  <sheetPr codeName="Sheet65"/>
  <dimension ref="A1:M18"/>
  <sheetViews>
    <sheetView topLeftCell="A7" workbookViewId="0">
      <selection activeCell="E12" sqref="E12"/>
    </sheetView>
  </sheetViews>
  <sheetFormatPr defaultColWidth="9.1796875" defaultRowHeight="14.5" x14ac:dyDescent="0.35"/>
  <cols>
    <col min="1" max="1" width="30.453125" customWidth="1"/>
    <col min="2" max="3" width="11.453125" customWidth="1"/>
    <col min="4" max="4" width="15.81640625" customWidth="1"/>
    <col min="5" max="5" width="18" bestFit="1" customWidth="1"/>
    <col min="6" max="6" width="6.54296875" customWidth="1"/>
    <col min="7" max="7" width="20.1796875" customWidth="1"/>
    <col min="8" max="8" width="6.1796875" customWidth="1"/>
    <col min="9" max="9" width="7.7265625" customWidth="1"/>
    <col min="10" max="10" width="1.26953125" customWidth="1"/>
    <col min="11" max="11" width="8.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535</v>
      </c>
      <c r="C2" s="19">
        <f>B2/$B$7</f>
        <v>0.9145299145299145</v>
      </c>
      <c r="D2" s="20">
        <f>SUM(D3:D5)</f>
        <v>10746152</v>
      </c>
      <c r="E2" s="21">
        <f t="shared" ref="E2:E7" si="0">D2/B2</f>
        <v>20086.265420560747</v>
      </c>
      <c r="G2" s="82" t="s">
        <v>4599</v>
      </c>
      <c r="H2" s="83">
        <v>278</v>
      </c>
      <c r="I2" s="84">
        <f>H2/$H$12</f>
        <v>0.47521367521367519</v>
      </c>
      <c r="J2" s="85"/>
      <c r="K2" s="86">
        <f>L2/$L$12</f>
        <v>0.48201438848920863</v>
      </c>
      <c r="L2" s="83">
        <f t="shared" ref="L2:L10" si="1">H2-H3</f>
        <v>134</v>
      </c>
      <c r="M2" s="87" t="s">
        <v>4653</v>
      </c>
    </row>
    <row r="3" spans="1:13" x14ac:dyDescent="0.35">
      <c r="A3" s="22" t="s">
        <v>13</v>
      </c>
      <c r="B3" s="6">
        <v>434</v>
      </c>
      <c r="C3" s="19">
        <f>B3/$B$7</f>
        <v>0.74188034188034191</v>
      </c>
      <c r="D3" s="24">
        <v>8214652</v>
      </c>
      <c r="E3" s="21">
        <f t="shared" si="0"/>
        <v>18927.769585253456</v>
      </c>
      <c r="F3" s="37"/>
      <c r="G3" s="66" t="s">
        <v>4601</v>
      </c>
      <c r="H3" s="65">
        <v>144</v>
      </c>
      <c r="I3" s="75">
        <f t="shared" ref="I3:I11" si="2">H3/$H$12</f>
        <v>0.24615384615384617</v>
      </c>
      <c r="J3" s="77"/>
      <c r="K3" s="72">
        <f t="shared" ref="K3:K11" si="3">L3/$L$12</f>
        <v>0.23741007194244604</v>
      </c>
      <c r="L3" s="65">
        <f t="shared" si="1"/>
        <v>66</v>
      </c>
      <c r="M3" s="69" t="s">
        <v>4654</v>
      </c>
    </row>
    <row r="4" spans="1:13" x14ac:dyDescent="0.35">
      <c r="A4" s="22" t="s">
        <v>55</v>
      </c>
      <c r="B4" s="6">
        <v>22</v>
      </c>
      <c r="C4" s="19">
        <f>B4/$B$7</f>
        <v>3.7606837606837605E-2</v>
      </c>
      <c r="D4" s="24">
        <v>312000</v>
      </c>
      <c r="E4" s="21">
        <f t="shared" si="0"/>
        <v>14181.818181818182</v>
      </c>
      <c r="G4" s="88" t="s">
        <v>4603</v>
      </c>
      <c r="H4" s="89">
        <v>78</v>
      </c>
      <c r="I4" s="90">
        <f t="shared" si="2"/>
        <v>0.13333333333333333</v>
      </c>
      <c r="J4" s="85"/>
      <c r="K4" s="91">
        <f t="shared" si="3"/>
        <v>0.12949640287769784</v>
      </c>
      <c r="L4" s="89">
        <f t="shared" si="1"/>
        <v>36</v>
      </c>
      <c r="M4" s="92" t="s">
        <v>4655</v>
      </c>
    </row>
    <row r="5" spans="1:13" x14ac:dyDescent="0.35">
      <c r="A5" s="22" t="s">
        <v>70</v>
      </c>
      <c r="B5" s="6">
        <v>79</v>
      </c>
      <c r="C5" s="19">
        <f>B5/$B$7</f>
        <v>0.13504273504273503</v>
      </c>
      <c r="D5" s="24">
        <v>2219500</v>
      </c>
      <c r="E5" s="21">
        <f t="shared" si="0"/>
        <v>28094.936708860758</v>
      </c>
      <c r="F5" s="37"/>
      <c r="G5" s="66" t="s">
        <v>4605</v>
      </c>
      <c r="H5" s="65">
        <v>42</v>
      </c>
      <c r="I5" s="75">
        <f t="shared" si="2"/>
        <v>7.179487179487179E-2</v>
      </c>
      <c r="J5" s="77"/>
      <c r="K5" s="72">
        <f t="shared" si="3"/>
        <v>7.1942446043165464E-2</v>
      </c>
      <c r="L5" s="65">
        <f t="shared" si="1"/>
        <v>20</v>
      </c>
      <c r="M5" s="69" t="s">
        <v>4656</v>
      </c>
    </row>
    <row r="6" spans="1:13" x14ac:dyDescent="0.35">
      <c r="A6" s="22" t="s">
        <v>4648</v>
      </c>
      <c r="B6" s="6">
        <v>50</v>
      </c>
      <c r="C6" s="19">
        <f>B6/$B$7</f>
        <v>8.5470085470085472E-2</v>
      </c>
      <c r="D6" s="24">
        <v>233700</v>
      </c>
      <c r="E6" s="21">
        <f t="shared" si="0"/>
        <v>4674</v>
      </c>
      <c r="G6" s="88" t="s">
        <v>4607</v>
      </c>
      <c r="H6" s="89">
        <v>22</v>
      </c>
      <c r="I6" s="90">
        <f t="shared" si="2"/>
        <v>3.7606837606837605E-2</v>
      </c>
      <c r="J6" s="85"/>
      <c r="K6" s="91">
        <f t="shared" si="3"/>
        <v>3.5971223021582732E-2</v>
      </c>
      <c r="L6" s="89">
        <f t="shared" si="1"/>
        <v>10</v>
      </c>
      <c r="M6" s="92" t="s">
        <v>4657</v>
      </c>
    </row>
    <row r="7" spans="1:13" ht="15" thickBot="1" x14ac:dyDescent="0.4">
      <c r="A7" s="55" t="s">
        <v>633</v>
      </c>
      <c r="B7" s="56">
        <f>B2+B6</f>
        <v>585</v>
      </c>
      <c r="C7" s="56"/>
      <c r="D7" s="53">
        <f>D2+D6</f>
        <v>10979852</v>
      </c>
      <c r="E7" s="54">
        <f t="shared" si="0"/>
        <v>18768.977777777778</v>
      </c>
      <c r="G7" s="66" t="s">
        <v>4609</v>
      </c>
      <c r="H7" s="65">
        <v>12</v>
      </c>
      <c r="I7" s="75">
        <f t="shared" si="2"/>
        <v>2.0512820512820513E-2</v>
      </c>
      <c r="J7" s="77"/>
      <c r="K7" s="72">
        <f t="shared" si="3"/>
        <v>2.5179856115107913E-2</v>
      </c>
      <c r="L7" s="65">
        <f t="shared" si="1"/>
        <v>7</v>
      </c>
      <c r="M7" s="69" t="s">
        <v>4658</v>
      </c>
    </row>
    <row r="8" spans="1:13" x14ac:dyDescent="0.35">
      <c r="G8" s="88" t="s">
        <v>4611</v>
      </c>
      <c r="H8" s="89">
        <v>5</v>
      </c>
      <c r="I8" s="90">
        <f t="shared" si="2"/>
        <v>8.5470085470085479E-3</v>
      </c>
      <c r="J8" s="85"/>
      <c r="K8" s="91">
        <f t="shared" si="3"/>
        <v>1.0791366906474821E-2</v>
      </c>
      <c r="L8" s="89">
        <f t="shared" si="1"/>
        <v>3</v>
      </c>
      <c r="M8" s="92" t="s">
        <v>4659</v>
      </c>
    </row>
    <row r="9" spans="1:13" ht="15" thickBot="1" x14ac:dyDescent="0.4">
      <c r="G9" s="66" t="s">
        <v>4613</v>
      </c>
      <c r="H9" s="65">
        <v>2</v>
      </c>
      <c r="I9" s="75">
        <f t="shared" si="2"/>
        <v>3.4188034188034188E-3</v>
      </c>
      <c r="J9" s="77"/>
      <c r="K9" s="72">
        <f t="shared" si="3"/>
        <v>3.5971223021582736E-3</v>
      </c>
      <c r="L9" s="65">
        <f t="shared" si="1"/>
        <v>1</v>
      </c>
      <c r="M9" s="69" t="s">
        <v>4660</v>
      </c>
    </row>
    <row r="10" spans="1:13" x14ac:dyDescent="0.35">
      <c r="A10" s="29" t="s">
        <v>4626</v>
      </c>
      <c r="B10" s="13" t="s">
        <v>4592</v>
      </c>
      <c r="C10" s="13" t="s">
        <v>4593</v>
      </c>
      <c r="D10" s="15" t="s">
        <v>4594</v>
      </c>
      <c r="G10" s="88" t="s">
        <v>4616</v>
      </c>
      <c r="H10" s="89">
        <v>1</v>
      </c>
      <c r="I10" s="90">
        <f t="shared" si="2"/>
        <v>1.7094017094017094E-3</v>
      </c>
      <c r="J10" s="85"/>
      <c r="K10" s="91">
        <f t="shared" si="3"/>
        <v>0</v>
      </c>
      <c r="L10" s="89">
        <f t="shared" si="1"/>
        <v>0</v>
      </c>
      <c r="M10" s="92" t="s">
        <v>4661</v>
      </c>
    </row>
    <row r="11" spans="1:13" ht="15" thickBot="1" x14ac:dyDescent="0.4">
      <c r="A11" s="22" t="s">
        <v>4627</v>
      </c>
      <c r="B11" s="6">
        <v>177</v>
      </c>
      <c r="C11" s="30"/>
      <c r="D11" s="31"/>
      <c r="G11" s="67" t="s">
        <v>4619</v>
      </c>
      <c r="H11" s="74">
        <v>1</v>
      </c>
      <c r="I11" s="76">
        <f t="shared" si="2"/>
        <v>1.7094017094017094E-3</v>
      </c>
      <c r="J11" s="77"/>
      <c r="K11" s="73">
        <f t="shared" si="3"/>
        <v>3.5971223021582736E-3</v>
      </c>
      <c r="L11" s="74">
        <v>1</v>
      </c>
      <c r="M11" s="70" t="s">
        <v>4662</v>
      </c>
    </row>
    <row r="12" spans="1:13" ht="15" thickBot="1" x14ac:dyDescent="0.4">
      <c r="A12" s="22" t="s">
        <v>4626</v>
      </c>
      <c r="B12" s="30"/>
      <c r="C12" s="52">
        <v>0.89</v>
      </c>
      <c r="D12" s="21">
        <v>4334999</v>
      </c>
      <c r="G12" s="93" t="s">
        <v>4622</v>
      </c>
      <c r="H12" s="78">
        <f>SUM(H2:H11)</f>
        <v>585</v>
      </c>
      <c r="I12" s="79">
        <f>SUM(I2:I11)</f>
        <v>0.99999999999999989</v>
      </c>
      <c r="J12" s="71"/>
      <c r="K12" s="80">
        <f>SUM(K2:K11)</f>
        <v>0.99999999999999989</v>
      </c>
      <c r="L12" s="81">
        <f>SUM(L2:L11)</f>
        <v>278</v>
      </c>
      <c r="M12" s="94" t="s">
        <v>4623</v>
      </c>
    </row>
    <row r="13" spans="1:13" x14ac:dyDescent="0.35">
      <c r="A13" s="22" t="s">
        <v>4628</v>
      </c>
      <c r="B13" s="30"/>
      <c r="C13" s="34">
        <v>0.11</v>
      </c>
      <c r="D13" s="21">
        <v>528870</v>
      </c>
    </row>
    <row r="14" spans="1:13" x14ac:dyDescent="0.35">
      <c r="A14" s="22" t="s">
        <v>4629</v>
      </c>
      <c r="B14" s="30"/>
      <c r="C14" s="23">
        <v>0.17</v>
      </c>
      <c r="D14" s="21">
        <v>586300</v>
      </c>
    </row>
    <row r="15" spans="1:13" x14ac:dyDescent="0.35">
      <c r="A15" s="22" t="s">
        <v>4630</v>
      </c>
      <c r="B15" s="30"/>
      <c r="C15" s="30"/>
      <c r="D15" s="21">
        <v>3526019</v>
      </c>
      <c r="G15" s="37"/>
    </row>
    <row r="16" spans="1:13" x14ac:dyDescent="0.35">
      <c r="A16" s="22" t="s">
        <v>4631</v>
      </c>
      <c r="B16" s="6">
        <v>47</v>
      </c>
      <c r="C16" s="23">
        <v>0.27</v>
      </c>
      <c r="D16" s="32"/>
    </row>
    <row r="17" spans="1:6" x14ac:dyDescent="0.35">
      <c r="A17" s="22" t="s">
        <v>4632</v>
      </c>
      <c r="B17" s="33"/>
      <c r="C17" s="23">
        <v>0.23</v>
      </c>
      <c r="D17" s="32"/>
      <c r="F17" s="34"/>
    </row>
    <row r="18" spans="1:6" ht="15" thickBot="1" x14ac:dyDescent="0.4">
      <c r="A18" s="25" t="s">
        <v>4633</v>
      </c>
      <c r="B18" s="26">
        <v>14</v>
      </c>
      <c r="C18" s="36">
        <v>0.02</v>
      </c>
      <c r="D18" s="28">
        <v>50707</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E720-0B96-453C-B0F1-22AC7C080078}">
  <sheetPr codeName="Sheet66"/>
  <dimension ref="A1:M18"/>
  <sheetViews>
    <sheetView workbookViewId="0">
      <selection activeCell="F16" sqref="F16"/>
    </sheetView>
  </sheetViews>
  <sheetFormatPr defaultColWidth="9.1796875" defaultRowHeight="14.5" x14ac:dyDescent="0.35"/>
  <cols>
    <col min="1" max="1" width="30.453125" customWidth="1"/>
    <col min="2" max="3" width="11.453125" customWidth="1"/>
    <col min="4" max="4" width="15.81640625" customWidth="1"/>
    <col min="5" max="5" width="18" bestFit="1" customWidth="1"/>
    <col min="6" max="6" width="6.54296875" customWidth="1"/>
    <col min="7" max="7" width="20.1796875" customWidth="1"/>
    <col min="8" max="8" width="6.1796875" customWidth="1"/>
    <col min="9" max="9" width="7.7265625" customWidth="1"/>
    <col min="10" max="10" width="1.26953125" customWidth="1"/>
    <col min="11" max="11" width="8.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535</v>
      </c>
      <c r="C2" s="19">
        <f>B2/$B$7</f>
        <v>0.9145299145299145</v>
      </c>
      <c r="D2" s="20">
        <f>SUM(D3:D5)</f>
        <v>10746152</v>
      </c>
      <c r="E2" s="21">
        <f t="shared" ref="E2:E7" si="0">D2/B2</f>
        <v>20086.265420560747</v>
      </c>
      <c r="G2" s="82" t="s">
        <v>4599</v>
      </c>
      <c r="H2" s="83">
        <v>278</v>
      </c>
      <c r="I2" s="84">
        <f>H2/$H$12</f>
        <v>0.47521367521367519</v>
      </c>
      <c r="J2" s="85"/>
      <c r="K2" s="86">
        <f>L2/$L$12</f>
        <v>0.48201438848920863</v>
      </c>
      <c r="L2" s="83">
        <f t="shared" ref="L2:L10" si="1">H2-H3</f>
        <v>134</v>
      </c>
      <c r="M2" s="87" t="s">
        <v>4653</v>
      </c>
    </row>
    <row r="3" spans="1:13" x14ac:dyDescent="0.35">
      <c r="A3" s="22" t="s">
        <v>13</v>
      </c>
      <c r="B3" s="6">
        <v>434</v>
      </c>
      <c r="C3" s="19">
        <f>B3/$B$7</f>
        <v>0.74188034188034191</v>
      </c>
      <c r="D3" s="24">
        <v>8214652</v>
      </c>
      <c r="E3" s="21">
        <f t="shared" si="0"/>
        <v>18927.769585253456</v>
      </c>
      <c r="F3" s="37"/>
      <c r="G3" s="66" t="s">
        <v>4601</v>
      </c>
      <c r="H3" s="65">
        <v>144</v>
      </c>
      <c r="I3" s="75">
        <f t="shared" ref="I3:I11" si="2">H3/$H$12</f>
        <v>0.24615384615384617</v>
      </c>
      <c r="J3" s="77"/>
      <c r="K3" s="72">
        <f t="shared" ref="K3:K11" si="3">L3/$L$12</f>
        <v>0.23741007194244604</v>
      </c>
      <c r="L3" s="65">
        <f t="shared" si="1"/>
        <v>66</v>
      </c>
      <c r="M3" s="69" t="s">
        <v>4654</v>
      </c>
    </row>
    <row r="4" spans="1:13" x14ac:dyDescent="0.35">
      <c r="A4" s="22" t="s">
        <v>55</v>
      </c>
      <c r="B4" s="6">
        <v>22</v>
      </c>
      <c r="C4" s="19">
        <f>B4/$B$7</f>
        <v>3.7606837606837605E-2</v>
      </c>
      <c r="D4" s="24">
        <v>312000</v>
      </c>
      <c r="E4" s="21">
        <f t="shared" si="0"/>
        <v>14181.818181818182</v>
      </c>
      <c r="G4" s="88" t="s">
        <v>4603</v>
      </c>
      <c r="H4" s="89">
        <v>78</v>
      </c>
      <c r="I4" s="90">
        <f t="shared" si="2"/>
        <v>0.13333333333333333</v>
      </c>
      <c r="J4" s="85"/>
      <c r="K4" s="91">
        <f t="shared" si="3"/>
        <v>0.12949640287769784</v>
      </c>
      <c r="L4" s="89">
        <f t="shared" si="1"/>
        <v>36</v>
      </c>
      <c r="M4" s="92" t="s">
        <v>4655</v>
      </c>
    </row>
    <row r="5" spans="1:13" x14ac:dyDescent="0.35">
      <c r="A5" s="22" t="s">
        <v>70</v>
      </c>
      <c r="B5" s="6">
        <v>79</v>
      </c>
      <c r="C5" s="19">
        <f>B5/$B$7</f>
        <v>0.13504273504273503</v>
      </c>
      <c r="D5" s="24">
        <v>2219500</v>
      </c>
      <c r="E5" s="21">
        <f t="shared" si="0"/>
        <v>28094.936708860758</v>
      </c>
      <c r="F5" s="37"/>
      <c r="G5" s="66" t="s">
        <v>4605</v>
      </c>
      <c r="H5" s="65">
        <v>42</v>
      </c>
      <c r="I5" s="75">
        <f t="shared" si="2"/>
        <v>7.179487179487179E-2</v>
      </c>
      <c r="J5" s="77"/>
      <c r="K5" s="72">
        <f t="shared" si="3"/>
        <v>7.1942446043165464E-2</v>
      </c>
      <c r="L5" s="65">
        <f t="shared" si="1"/>
        <v>20</v>
      </c>
      <c r="M5" s="69" t="s">
        <v>4656</v>
      </c>
    </row>
    <row r="6" spans="1:13" x14ac:dyDescent="0.35">
      <c r="A6" s="22" t="s">
        <v>4648</v>
      </c>
      <c r="B6" s="6">
        <v>50</v>
      </c>
      <c r="C6" s="19">
        <f>B6/$B$7</f>
        <v>8.5470085470085472E-2</v>
      </c>
      <c r="D6" s="24">
        <v>233700</v>
      </c>
      <c r="E6" s="21">
        <f t="shared" si="0"/>
        <v>4674</v>
      </c>
      <c r="G6" s="88" t="s">
        <v>4607</v>
      </c>
      <c r="H6" s="89">
        <v>22</v>
      </c>
      <c r="I6" s="90">
        <f t="shared" si="2"/>
        <v>3.7606837606837605E-2</v>
      </c>
      <c r="J6" s="85"/>
      <c r="K6" s="91">
        <f t="shared" si="3"/>
        <v>3.5971223021582732E-2</v>
      </c>
      <c r="L6" s="89">
        <f t="shared" si="1"/>
        <v>10</v>
      </c>
      <c r="M6" s="92" t="s">
        <v>4657</v>
      </c>
    </row>
    <row r="7" spans="1:13" ht="15" thickBot="1" x14ac:dyDescent="0.4">
      <c r="A7" s="55" t="s">
        <v>633</v>
      </c>
      <c r="B7" s="56">
        <f>B2+B6</f>
        <v>585</v>
      </c>
      <c r="C7" s="56"/>
      <c r="D7" s="53">
        <f>D2+D6</f>
        <v>10979852</v>
      </c>
      <c r="E7" s="54">
        <f t="shared" si="0"/>
        <v>18768.977777777778</v>
      </c>
      <c r="G7" s="66" t="s">
        <v>4609</v>
      </c>
      <c r="H7" s="65">
        <v>12</v>
      </c>
      <c r="I7" s="75">
        <f t="shared" si="2"/>
        <v>2.0512820512820513E-2</v>
      </c>
      <c r="J7" s="77"/>
      <c r="K7" s="72">
        <f t="shared" si="3"/>
        <v>2.5179856115107913E-2</v>
      </c>
      <c r="L7" s="65">
        <f t="shared" si="1"/>
        <v>7</v>
      </c>
      <c r="M7" s="69" t="s">
        <v>4658</v>
      </c>
    </row>
    <row r="8" spans="1:13" x14ac:dyDescent="0.35">
      <c r="G8" s="88" t="s">
        <v>4611</v>
      </c>
      <c r="H8" s="89">
        <v>5</v>
      </c>
      <c r="I8" s="90">
        <f t="shared" si="2"/>
        <v>8.5470085470085479E-3</v>
      </c>
      <c r="J8" s="85"/>
      <c r="K8" s="91">
        <f t="shared" si="3"/>
        <v>1.0791366906474821E-2</v>
      </c>
      <c r="L8" s="89">
        <f t="shared" si="1"/>
        <v>3</v>
      </c>
      <c r="M8" s="92" t="s">
        <v>4659</v>
      </c>
    </row>
    <row r="9" spans="1:13" ht="15" thickBot="1" x14ac:dyDescent="0.4">
      <c r="G9" s="66" t="s">
        <v>4613</v>
      </c>
      <c r="H9" s="65">
        <v>2</v>
      </c>
      <c r="I9" s="75">
        <f t="shared" si="2"/>
        <v>3.4188034188034188E-3</v>
      </c>
      <c r="J9" s="77"/>
      <c r="K9" s="72">
        <f t="shared" si="3"/>
        <v>3.5971223021582736E-3</v>
      </c>
      <c r="L9" s="65">
        <f t="shared" si="1"/>
        <v>1</v>
      </c>
      <c r="M9" s="69" t="s">
        <v>4660</v>
      </c>
    </row>
    <row r="10" spans="1:13" x14ac:dyDescent="0.35">
      <c r="A10" s="29" t="s">
        <v>4626</v>
      </c>
      <c r="B10" s="13" t="s">
        <v>4592</v>
      </c>
      <c r="C10" s="13" t="s">
        <v>4593</v>
      </c>
      <c r="D10" s="15" t="s">
        <v>4594</v>
      </c>
      <c r="G10" s="88" t="s">
        <v>4616</v>
      </c>
      <c r="H10" s="89">
        <v>1</v>
      </c>
      <c r="I10" s="90">
        <f t="shared" si="2"/>
        <v>1.7094017094017094E-3</v>
      </c>
      <c r="J10" s="85"/>
      <c r="K10" s="91">
        <f t="shared" si="3"/>
        <v>0</v>
      </c>
      <c r="L10" s="89">
        <f t="shared" si="1"/>
        <v>0</v>
      </c>
      <c r="M10" s="92" t="s">
        <v>4661</v>
      </c>
    </row>
    <row r="11" spans="1:13" ht="15" thickBot="1" x14ac:dyDescent="0.4">
      <c r="A11" s="22" t="s">
        <v>4627</v>
      </c>
      <c r="B11" s="6">
        <v>177</v>
      </c>
      <c r="C11" s="30"/>
      <c r="D11" s="31"/>
      <c r="G11" s="67" t="s">
        <v>4619</v>
      </c>
      <c r="H11" s="74">
        <v>1</v>
      </c>
      <c r="I11" s="76">
        <f t="shared" si="2"/>
        <v>1.7094017094017094E-3</v>
      </c>
      <c r="J11" s="77"/>
      <c r="K11" s="73">
        <f t="shared" si="3"/>
        <v>3.5971223021582736E-3</v>
      </c>
      <c r="L11" s="74">
        <v>1</v>
      </c>
      <c r="M11" s="70" t="s">
        <v>4662</v>
      </c>
    </row>
    <row r="12" spans="1:13" ht="15" thickBot="1" x14ac:dyDescent="0.4">
      <c r="A12" s="22" t="s">
        <v>4626</v>
      </c>
      <c r="B12" s="30"/>
      <c r="C12" s="52">
        <v>0.89813019856103615</v>
      </c>
      <c r="D12" s="21">
        <v>4259151.2699999996</v>
      </c>
      <c r="G12" s="93" t="s">
        <v>4622</v>
      </c>
      <c r="H12" s="78">
        <f>SUM(H2:H11)</f>
        <v>585</v>
      </c>
      <c r="I12" s="79">
        <f>SUM(I2:I11)</f>
        <v>0.99999999999999989</v>
      </c>
      <c r="J12" s="71"/>
      <c r="K12" s="80">
        <f>SUM(K2:K11)</f>
        <v>0.99999999999999989</v>
      </c>
      <c r="L12" s="81">
        <f>SUM(L2:L11)</f>
        <v>278</v>
      </c>
      <c r="M12" s="94" t="s">
        <v>4623</v>
      </c>
    </row>
    <row r="13" spans="1:13" x14ac:dyDescent="0.35">
      <c r="A13" s="22" t="s">
        <v>4628</v>
      </c>
      <c r="B13" s="30"/>
      <c r="C13" s="34">
        <v>0.10186980143896394</v>
      </c>
      <c r="D13" s="21">
        <v>483091.31</v>
      </c>
    </row>
    <row r="14" spans="1:13" x14ac:dyDescent="0.35">
      <c r="A14" s="22" t="s">
        <v>4629</v>
      </c>
      <c r="B14" s="30"/>
      <c r="C14" s="23">
        <v>0.15390000000000001</v>
      </c>
      <c r="D14" s="21">
        <v>546103.21</v>
      </c>
    </row>
    <row r="15" spans="1:13" x14ac:dyDescent="0.35">
      <c r="A15" s="22" t="s">
        <v>4630</v>
      </c>
      <c r="B15" s="30"/>
      <c r="C15" s="30"/>
      <c r="D15" s="21">
        <v>3549031.7499999995</v>
      </c>
      <c r="G15" s="37"/>
    </row>
    <row r="16" spans="1:13" x14ac:dyDescent="0.35">
      <c r="A16" s="22" t="s">
        <v>4631</v>
      </c>
      <c r="B16" s="6">
        <v>41</v>
      </c>
      <c r="C16" s="23">
        <v>0.23295454545454544</v>
      </c>
      <c r="D16" s="32"/>
    </row>
    <row r="17" spans="1:6" x14ac:dyDescent="0.35">
      <c r="A17" s="22" t="s">
        <v>4632</v>
      </c>
      <c r="B17" s="33"/>
      <c r="C17" s="23">
        <v>0.23</v>
      </c>
      <c r="D17" s="32"/>
      <c r="F17" s="34"/>
    </row>
    <row r="18" spans="1:6" ht="15" thickBot="1" x14ac:dyDescent="0.4">
      <c r="A18" s="25" t="s">
        <v>4633</v>
      </c>
      <c r="B18" s="26">
        <v>14</v>
      </c>
      <c r="C18" s="36">
        <v>0.02</v>
      </c>
      <c r="D18" s="28">
        <v>50706.66</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F774-7CA0-4678-ACA8-9B9D4D1CA260}">
  <sheetPr codeName="Sheet67"/>
  <dimension ref="A1:M18"/>
  <sheetViews>
    <sheetView workbookViewId="0">
      <selection activeCell="E17" sqref="E17"/>
    </sheetView>
  </sheetViews>
  <sheetFormatPr defaultColWidth="9.1796875" defaultRowHeight="14.5" x14ac:dyDescent="0.35"/>
  <cols>
    <col min="1" max="1" width="30.453125" customWidth="1"/>
    <col min="2" max="3" width="11.453125" customWidth="1"/>
    <col min="4" max="4" width="15.81640625" customWidth="1"/>
    <col min="5" max="5" width="18" bestFit="1" customWidth="1"/>
    <col min="6" max="6" width="6.54296875" customWidth="1"/>
    <col min="7" max="7" width="20.1796875" customWidth="1"/>
    <col min="8" max="8" width="6.1796875" customWidth="1"/>
    <col min="9" max="9" width="7.7265625" customWidth="1"/>
    <col min="10" max="10" width="1.26953125" customWidth="1"/>
    <col min="11" max="11" width="8.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534</v>
      </c>
      <c r="C2" s="19">
        <f>B2/$B$7</f>
        <v>0.91438356164383561</v>
      </c>
      <c r="D2" s="20">
        <f>SUM(D3:D5)</f>
        <v>10696152</v>
      </c>
      <c r="E2" s="21">
        <f t="shared" ref="E2:E7" si="0">D2/B2</f>
        <v>20030.247191011236</v>
      </c>
      <c r="G2" s="82" t="s">
        <v>4599</v>
      </c>
      <c r="H2" s="83">
        <v>277</v>
      </c>
      <c r="I2" s="84">
        <f>H2/$H$12</f>
        <v>0.47431506849315069</v>
      </c>
      <c r="J2" s="85"/>
      <c r="K2" s="86">
        <f>L2/$L$12</f>
        <v>0.48014440433212996</v>
      </c>
      <c r="L2" s="83">
        <f t="shared" ref="L2:L10" si="1">H2-H3</f>
        <v>133</v>
      </c>
      <c r="M2" s="87" t="s">
        <v>4653</v>
      </c>
    </row>
    <row r="3" spans="1:13" x14ac:dyDescent="0.35">
      <c r="A3" s="22" t="s">
        <v>13</v>
      </c>
      <c r="B3" s="6">
        <v>433</v>
      </c>
      <c r="C3" s="19">
        <f>B3/$B$7</f>
        <v>0.74143835616438358</v>
      </c>
      <c r="D3" s="24">
        <v>8164652</v>
      </c>
      <c r="E3" s="21">
        <f t="shared" si="0"/>
        <v>18856.009237875289</v>
      </c>
      <c r="F3" s="37"/>
      <c r="G3" s="66" t="s">
        <v>4601</v>
      </c>
      <c r="H3" s="65">
        <v>144</v>
      </c>
      <c r="I3" s="75">
        <f t="shared" ref="I3:I11" si="2">H3/$H$12</f>
        <v>0.24657534246575341</v>
      </c>
      <c r="J3" s="77"/>
      <c r="K3" s="72">
        <f t="shared" ref="K3:K11" si="3">L3/$L$12</f>
        <v>0.23826714801444043</v>
      </c>
      <c r="L3" s="65">
        <f t="shared" si="1"/>
        <v>66</v>
      </c>
      <c r="M3" s="69" t="s">
        <v>4654</v>
      </c>
    </row>
    <row r="4" spans="1:13" x14ac:dyDescent="0.35">
      <c r="A4" s="22" t="s">
        <v>55</v>
      </c>
      <c r="B4" s="6">
        <v>22</v>
      </c>
      <c r="C4" s="19">
        <f>B4/$B$7</f>
        <v>3.7671232876712327E-2</v>
      </c>
      <c r="D4" s="24">
        <v>312000</v>
      </c>
      <c r="E4" s="21">
        <f t="shared" si="0"/>
        <v>14181.818181818182</v>
      </c>
      <c r="G4" s="88" t="s">
        <v>4603</v>
      </c>
      <c r="H4" s="89">
        <v>78</v>
      </c>
      <c r="I4" s="90">
        <f t="shared" si="2"/>
        <v>0.13356164383561644</v>
      </c>
      <c r="J4" s="85"/>
      <c r="K4" s="91">
        <f t="shared" si="3"/>
        <v>0.1299638989169675</v>
      </c>
      <c r="L4" s="89">
        <f t="shared" si="1"/>
        <v>36</v>
      </c>
      <c r="M4" s="92" t="s">
        <v>4655</v>
      </c>
    </row>
    <row r="5" spans="1:13" x14ac:dyDescent="0.35">
      <c r="A5" s="22" t="s">
        <v>70</v>
      </c>
      <c r="B5" s="6">
        <v>79</v>
      </c>
      <c r="C5" s="19">
        <f>B5/$B$7</f>
        <v>0.13527397260273974</v>
      </c>
      <c r="D5" s="24">
        <v>2219500</v>
      </c>
      <c r="E5" s="21">
        <f t="shared" si="0"/>
        <v>28094.936708860758</v>
      </c>
      <c r="F5" s="37"/>
      <c r="G5" s="66" t="s">
        <v>4605</v>
      </c>
      <c r="H5" s="65">
        <v>42</v>
      </c>
      <c r="I5" s="75">
        <f t="shared" si="2"/>
        <v>7.1917808219178078E-2</v>
      </c>
      <c r="J5" s="77"/>
      <c r="K5" s="72">
        <f t="shared" si="3"/>
        <v>7.2202166064981949E-2</v>
      </c>
      <c r="L5" s="65">
        <f t="shared" si="1"/>
        <v>20</v>
      </c>
      <c r="M5" s="69" t="s">
        <v>4656</v>
      </c>
    </row>
    <row r="6" spans="1:13" x14ac:dyDescent="0.35">
      <c r="A6" s="22" t="s">
        <v>4648</v>
      </c>
      <c r="B6" s="6">
        <v>50</v>
      </c>
      <c r="C6" s="19">
        <f>B6/$B$7</f>
        <v>8.5616438356164379E-2</v>
      </c>
      <c r="D6" s="24">
        <v>233700</v>
      </c>
      <c r="E6" s="21">
        <f t="shared" si="0"/>
        <v>4674</v>
      </c>
      <c r="G6" s="88" t="s">
        <v>4607</v>
      </c>
      <c r="H6" s="89">
        <v>22</v>
      </c>
      <c r="I6" s="90">
        <f t="shared" si="2"/>
        <v>3.7671232876712327E-2</v>
      </c>
      <c r="J6" s="85"/>
      <c r="K6" s="91">
        <f t="shared" si="3"/>
        <v>3.6101083032490974E-2</v>
      </c>
      <c r="L6" s="89">
        <f t="shared" si="1"/>
        <v>10</v>
      </c>
      <c r="M6" s="92" t="s">
        <v>4657</v>
      </c>
    </row>
    <row r="7" spans="1:13" ht="15" thickBot="1" x14ac:dyDescent="0.4">
      <c r="A7" s="55" t="s">
        <v>633</v>
      </c>
      <c r="B7" s="56">
        <f>B2+B6</f>
        <v>584</v>
      </c>
      <c r="C7" s="56"/>
      <c r="D7" s="53">
        <f>D2+D6</f>
        <v>10929852</v>
      </c>
      <c r="E7" s="54">
        <f t="shared" si="0"/>
        <v>18715.5</v>
      </c>
      <c r="G7" s="66" t="s">
        <v>4609</v>
      </c>
      <c r="H7" s="65">
        <v>12</v>
      </c>
      <c r="I7" s="75">
        <f t="shared" si="2"/>
        <v>2.0547945205479451E-2</v>
      </c>
      <c r="J7" s="77"/>
      <c r="K7" s="72">
        <f t="shared" si="3"/>
        <v>2.5270758122743681E-2</v>
      </c>
      <c r="L7" s="65">
        <f t="shared" si="1"/>
        <v>7</v>
      </c>
      <c r="M7" s="69" t="s">
        <v>4658</v>
      </c>
    </row>
    <row r="8" spans="1:13" x14ac:dyDescent="0.35">
      <c r="G8" s="88" t="s">
        <v>4611</v>
      </c>
      <c r="H8" s="89">
        <v>5</v>
      </c>
      <c r="I8" s="90">
        <f t="shared" si="2"/>
        <v>8.5616438356164379E-3</v>
      </c>
      <c r="J8" s="85"/>
      <c r="K8" s="91">
        <f t="shared" si="3"/>
        <v>1.0830324909747292E-2</v>
      </c>
      <c r="L8" s="89">
        <f t="shared" si="1"/>
        <v>3</v>
      </c>
      <c r="M8" s="92" t="s">
        <v>4659</v>
      </c>
    </row>
    <row r="9" spans="1:13" ht="15" thickBot="1" x14ac:dyDescent="0.4">
      <c r="G9" s="66" t="s">
        <v>4613</v>
      </c>
      <c r="H9" s="65">
        <v>2</v>
      </c>
      <c r="I9" s="75">
        <f t="shared" si="2"/>
        <v>3.4246575342465752E-3</v>
      </c>
      <c r="J9" s="77"/>
      <c r="K9" s="72">
        <f t="shared" si="3"/>
        <v>3.6101083032490976E-3</v>
      </c>
      <c r="L9" s="65">
        <f t="shared" si="1"/>
        <v>1</v>
      </c>
      <c r="M9" s="69" t="s">
        <v>4660</v>
      </c>
    </row>
    <row r="10" spans="1:13" x14ac:dyDescent="0.35">
      <c r="A10" s="29" t="s">
        <v>4626</v>
      </c>
      <c r="B10" s="13" t="s">
        <v>4592</v>
      </c>
      <c r="C10" s="13" t="s">
        <v>4593</v>
      </c>
      <c r="D10" s="15" t="s">
        <v>4594</v>
      </c>
      <c r="G10" s="88" t="s">
        <v>4616</v>
      </c>
      <c r="H10" s="89">
        <v>1</v>
      </c>
      <c r="I10" s="90">
        <f t="shared" si="2"/>
        <v>1.7123287671232876E-3</v>
      </c>
      <c r="J10" s="85"/>
      <c r="K10" s="91">
        <f t="shared" si="3"/>
        <v>0</v>
      </c>
      <c r="L10" s="89">
        <f t="shared" si="1"/>
        <v>0</v>
      </c>
      <c r="M10" s="92" t="s">
        <v>4661</v>
      </c>
    </row>
    <row r="11" spans="1:13" ht="15" thickBot="1" x14ac:dyDescent="0.4">
      <c r="A11" s="22" t="s">
        <v>4627</v>
      </c>
      <c r="B11" s="6">
        <v>176</v>
      </c>
      <c r="C11" s="30"/>
      <c r="D11" s="31"/>
      <c r="G11" s="67" t="s">
        <v>4619</v>
      </c>
      <c r="H11" s="74">
        <v>1</v>
      </c>
      <c r="I11" s="76">
        <f t="shared" si="2"/>
        <v>1.7123287671232876E-3</v>
      </c>
      <c r="J11" s="77"/>
      <c r="K11" s="73">
        <f t="shared" si="3"/>
        <v>3.6101083032490976E-3</v>
      </c>
      <c r="L11" s="74">
        <v>1</v>
      </c>
      <c r="M11" s="70" t="s">
        <v>4662</v>
      </c>
    </row>
    <row r="12" spans="1:13" ht="15" thickBot="1" x14ac:dyDescent="0.4">
      <c r="A12" s="22" t="s">
        <v>4626</v>
      </c>
      <c r="B12" s="30"/>
      <c r="C12" s="52">
        <v>0.9</v>
      </c>
      <c r="D12" s="21">
        <v>4219912</v>
      </c>
      <c r="E12" s="40"/>
      <c r="G12" s="93" t="s">
        <v>4622</v>
      </c>
      <c r="H12" s="78">
        <f>SUM(H2:H11)</f>
        <v>584</v>
      </c>
      <c r="I12" s="79">
        <f>SUM(I2:I11)</f>
        <v>0.99999999999999978</v>
      </c>
      <c r="J12" s="71"/>
      <c r="K12" s="80">
        <f>SUM(K2:K11)</f>
        <v>1</v>
      </c>
      <c r="L12" s="81">
        <f>SUM(L2:L11)</f>
        <v>277</v>
      </c>
      <c r="M12" s="94" t="s">
        <v>4623</v>
      </c>
    </row>
    <row r="13" spans="1:13" x14ac:dyDescent="0.35">
      <c r="A13" s="22" t="s">
        <v>4628</v>
      </c>
      <c r="B13" s="30"/>
      <c r="C13" s="34">
        <v>0.1</v>
      </c>
      <c r="D13" s="21">
        <v>450614</v>
      </c>
    </row>
    <row r="14" spans="1:13" x14ac:dyDescent="0.35">
      <c r="A14" s="22" t="s">
        <v>4629</v>
      </c>
      <c r="B14" s="30"/>
      <c r="C14" s="23">
        <v>0.14000000000000001</v>
      </c>
      <c r="D14" s="21">
        <v>480655</v>
      </c>
    </row>
    <row r="15" spans="1:13" x14ac:dyDescent="0.35">
      <c r="A15" s="22" t="s">
        <v>4630</v>
      </c>
      <c r="B15" s="30"/>
      <c r="C15" s="30"/>
      <c r="D15" s="21">
        <v>3482431</v>
      </c>
      <c r="G15" s="37"/>
    </row>
    <row r="16" spans="1:13" x14ac:dyDescent="0.35">
      <c r="A16" s="22" t="s">
        <v>4631</v>
      </c>
      <c r="B16" s="6">
        <v>40</v>
      </c>
      <c r="C16" s="23">
        <v>0.23</v>
      </c>
      <c r="D16" s="32"/>
    </row>
    <row r="17" spans="1:6" x14ac:dyDescent="0.35">
      <c r="A17" s="22" t="s">
        <v>4632</v>
      </c>
      <c r="B17" s="33"/>
      <c r="C17" s="23">
        <v>0.23</v>
      </c>
      <c r="D17" s="32"/>
      <c r="F17" s="34"/>
    </row>
    <row r="18" spans="1:6" ht="15" thickBot="1" x14ac:dyDescent="0.4">
      <c r="A18" s="25" t="s">
        <v>4633</v>
      </c>
      <c r="B18" s="26">
        <v>14</v>
      </c>
      <c r="C18" s="36">
        <v>0.02</v>
      </c>
      <c r="D18" s="28">
        <v>50707</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4D49-4479-4A80-A3A4-6A6C766B09D6}">
  <sheetPr codeName="Sheet68"/>
  <dimension ref="A1:M18"/>
  <sheetViews>
    <sheetView workbookViewId="0">
      <selection activeCell="H16" sqref="H16"/>
    </sheetView>
  </sheetViews>
  <sheetFormatPr defaultColWidth="9.1796875" defaultRowHeight="14.5" x14ac:dyDescent="0.35"/>
  <cols>
    <col min="1" max="1" width="30.453125" customWidth="1"/>
    <col min="2" max="3" width="11.453125" customWidth="1"/>
    <col min="4" max="4" width="15.81640625" customWidth="1"/>
    <col min="5" max="5" width="18" bestFit="1" customWidth="1"/>
    <col min="6" max="6" width="6.54296875" customWidth="1"/>
    <col min="7" max="7" width="20.1796875" customWidth="1"/>
    <col min="8" max="8" width="6.1796875" customWidth="1"/>
    <col min="9" max="9" width="7.7265625" customWidth="1"/>
    <col min="10" max="10" width="1.26953125" customWidth="1"/>
    <col min="11" max="11" width="8.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533</v>
      </c>
      <c r="C2" s="19">
        <f>B2/$B$7</f>
        <v>0.91423670668953683</v>
      </c>
      <c r="D2" s="20">
        <f>SUM(D3:D5)</f>
        <v>10656152</v>
      </c>
      <c r="E2" s="21">
        <f t="shared" ref="E2:E7" si="0">D2/B2</f>
        <v>19992.780487804877</v>
      </c>
      <c r="G2" s="82" t="s">
        <v>4599</v>
      </c>
      <c r="H2" s="83">
        <v>277</v>
      </c>
      <c r="I2" s="84">
        <f>H2/$H$12</f>
        <v>0.47512864493996571</v>
      </c>
      <c r="J2" s="85"/>
      <c r="K2" s="86">
        <f>L2/$L$12</f>
        <v>0.48014440433212996</v>
      </c>
      <c r="L2" s="83">
        <f t="shared" ref="L2:L10" si="1">H2-H3</f>
        <v>133</v>
      </c>
      <c r="M2" s="87" t="s">
        <v>4653</v>
      </c>
    </row>
    <row r="3" spans="1:13" x14ac:dyDescent="0.35">
      <c r="A3" s="22" t="s">
        <v>13</v>
      </c>
      <c r="B3" s="6">
        <v>432</v>
      </c>
      <c r="C3" s="19">
        <f>B3/$B$7</f>
        <v>0.74099485420240141</v>
      </c>
      <c r="D3" s="24">
        <v>8124652</v>
      </c>
      <c r="E3" s="21">
        <f t="shared" si="0"/>
        <v>18807.064814814814</v>
      </c>
      <c r="F3" s="37"/>
      <c r="G3" s="66" t="s">
        <v>4601</v>
      </c>
      <c r="H3" s="65">
        <v>144</v>
      </c>
      <c r="I3" s="75">
        <f t="shared" ref="I3:I11" si="2">H3/$H$12</f>
        <v>0.24699828473413379</v>
      </c>
      <c r="J3" s="77"/>
      <c r="K3" s="72">
        <f t="shared" ref="K3:K11" si="3">L3/$L$12</f>
        <v>0.23826714801444043</v>
      </c>
      <c r="L3" s="65">
        <f t="shared" si="1"/>
        <v>66</v>
      </c>
      <c r="M3" s="69" t="s">
        <v>4654</v>
      </c>
    </row>
    <row r="4" spans="1:13" x14ac:dyDescent="0.35">
      <c r="A4" s="22" t="s">
        <v>55</v>
      </c>
      <c r="B4" s="6">
        <v>22</v>
      </c>
      <c r="C4" s="19">
        <f>B4/$B$7</f>
        <v>3.7735849056603772E-2</v>
      </c>
      <c r="D4" s="24">
        <v>312000</v>
      </c>
      <c r="E4" s="21">
        <f t="shared" si="0"/>
        <v>14181.818181818182</v>
      </c>
      <c r="G4" s="88" t="s">
        <v>4603</v>
      </c>
      <c r="H4" s="89">
        <v>78</v>
      </c>
      <c r="I4" s="90">
        <f t="shared" si="2"/>
        <v>0.13379073756432247</v>
      </c>
      <c r="J4" s="85"/>
      <c r="K4" s="91">
        <f t="shared" si="3"/>
        <v>0.1299638989169675</v>
      </c>
      <c r="L4" s="89">
        <f t="shared" si="1"/>
        <v>36</v>
      </c>
      <c r="M4" s="92" t="s">
        <v>4655</v>
      </c>
    </row>
    <row r="5" spans="1:13" x14ac:dyDescent="0.35">
      <c r="A5" s="22" t="s">
        <v>70</v>
      </c>
      <c r="B5" s="6">
        <v>79</v>
      </c>
      <c r="C5" s="19">
        <f>B5/$B$7</f>
        <v>0.13550600343053174</v>
      </c>
      <c r="D5" s="24">
        <v>2219500</v>
      </c>
      <c r="E5" s="21">
        <f t="shared" si="0"/>
        <v>28094.936708860758</v>
      </c>
      <c r="F5" s="37"/>
      <c r="G5" s="66" t="s">
        <v>4605</v>
      </c>
      <c r="H5" s="65">
        <v>42</v>
      </c>
      <c r="I5" s="75">
        <f t="shared" si="2"/>
        <v>7.2041166380789029E-2</v>
      </c>
      <c r="J5" s="77"/>
      <c r="K5" s="72">
        <f t="shared" si="3"/>
        <v>7.2202166064981949E-2</v>
      </c>
      <c r="L5" s="65">
        <f t="shared" si="1"/>
        <v>20</v>
      </c>
      <c r="M5" s="69" t="s">
        <v>4656</v>
      </c>
    </row>
    <row r="6" spans="1:13" x14ac:dyDescent="0.35">
      <c r="A6" s="22" t="s">
        <v>4648</v>
      </c>
      <c r="B6" s="6">
        <v>50</v>
      </c>
      <c r="C6" s="19">
        <f>B6/$B$7</f>
        <v>8.5763293310463118E-2</v>
      </c>
      <c r="D6" s="24">
        <v>233700</v>
      </c>
      <c r="E6" s="21">
        <f t="shared" si="0"/>
        <v>4674</v>
      </c>
      <c r="G6" s="88" t="s">
        <v>4607</v>
      </c>
      <c r="H6" s="89">
        <v>22</v>
      </c>
      <c r="I6" s="90">
        <f t="shared" si="2"/>
        <v>3.7735849056603772E-2</v>
      </c>
      <c r="J6" s="85"/>
      <c r="K6" s="91">
        <f t="shared" si="3"/>
        <v>3.6101083032490974E-2</v>
      </c>
      <c r="L6" s="89">
        <f t="shared" si="1"/>
        <v>10</v>
      </c>
      <c r="M6" s="92" t="s">
        <v>4657</v>
      </c>
    </row>
    <row r="7" spans="1:13" ht="15" thickBot="1" x14ac:dyDescent="0.4">
      <c r="A7" s="55" t="s">
        <v>633</v>
      </c>
      <c r="B7" s="56">
        <f>B2+B6</f>
        <v>583</v>
      </c>
      <c r="C7" s="56"/>
      <c r="D7" s="53">
        <f>D2+D6</f>
        <v>10889852</v>
      </c>
      <c r="E7" s="54">
        <f t="shared" si="0"/>
        <v>18678.991423670668</v>
      </c>
      <c r="G7" s="66" t="s">
        <v>4609</v>
      </c>
      <c r="H7" s="65">
        <v>12</v>
      </c>
      <c r="I7" s="75">
        <f t="shared" si="2"/>
        <v>2.0583190394511151E-2</v>
      </c>
      <c r="J7" s="77"/>
      <c r="K7" s="72">
        <f t="shared" si="3"/>
        <v>2.5270758122743681E-2</v>
      </c>
      <c r="L7" s="65">
        <f t="shared" si="1"/>
        <v>7</v>
      </c>
      <c r="M7" s="69" t="s">
        <v>4658</v>
      </c>
    </row>
    <row r="8" spans="1:13" x14ac:dyDescent="0.35">
      <c r="G8" s="88" t="s">
        <v>4611</v>
      </c>
      <c r="H8" s="89">
        <v>5</v>
      </c>
      <c r="I8" s="90">
        <f t="shared" si="2"/>
        <v>8.5763293310463125E-3</v>
      </c>
      <c r="J8" s="85"/>
      <c r="K8" s="91">
        <f t="shared" si="3"/>
        <v>1.444043321299639E-2</v>
      </c>
      <c r="L8" s="89">
        <f t="shared" si="1"/>
        <v>4</v>
      </c>
      <c r="M8" s="92" t="s">
        <v>4659</v>
      </c>
    </row>
    <row r="9" spans="1:13" ht="15" thickBot="1" x14ac:dyDescent="0.4">
      <c r="G9" s="66" t="s">
        <v>4613</v>
      </c>
      <c r="H9" s="65">
        <v>1</v>
      </c>
      <c r="I9" s="75">
        <f t="shared" si="2"/>
        <v>1.7152658662092624E-3</v>
      </c>
      <c r="J9" s="77"/>
      <c r="K9" s="72">
        <f t="shared" si="3"/>
        <v>0</v>
      </c>
      <c r="L9" s="65">
        <f t="shared" si="1"/>
        <v>0</v>
      </c>
      <c r="M9" s="69" t="s">
        <v>4660</v>
      </c>
    </row>
    <row r="10" spans="1:13" x14ac:dyDescent="0.35">
      <c r="A10" s="29" t="s">
        <v>4626</v>
      </c>
      <c r="B10" s="13" t="s">
        <v>4592</v>
      </c>
      <c r="C10" s="13" t="s">
        <v>4593</v>
      </c>
      <c r="D10" s="15" t="s">
        <v>4594</v>
      </c>
      <c r="G10" s="88" t="s">
        <v>4616</v>
      </c>
      <c r="H10" s="89">
        <v>1</v>
      </c>
      <c r="I10" s="90">
        <f t="shared" si="2"/>
        <v>1.7152658662092624E-3</v>
      </c>
      <c r="J10" s="85"/>
      <c r="K10" s="91">
        <f t="shared" si="3"/>
        <v>0</v>
      </c>
      <c r="L10" s="89">
        <f t="shared" si="1"/>
        <v>0</v>
      </c>
      <c r="M10" s="92" t="s">
        <v>4661</v>
      </c>
    </row>
    <row r="11" spans="1:13" ht="15" thickBot="1" x14ac:dyDescent="0.4">
      <c r="A11" s="22" t="s">
        <v>4627</v>
      </c>
      <c r="B11" s="6">
        <v>177</v>
      </c>
      <c r="C11" s="30"/>
      <c r="D11" s="31"/>
      <c r="G11" s="67" t="s">
        <v>4619</v>
      </c>
      <c r="H11" s="74">
        <v>1</v>
      </c>
      <c r="I11" s="76">
        <f t="shared" si="2"/>
        <v>1.7152658662092624E-3</v>
      </c>
      <c r="J11" s="77"/>
      <c r="K11" s="73">
        <f t="shared" si="3"/>
        <v>3.6101083032490976E-3</v>
      </c>
      <c r="L11" s="74">
        <v>1</v>
      </c>
      <c r="M11" s="70" t="s">
        <v>4662</v>
      </c>
    </row>
    <row r="12" spans="1:13" ht="15" thickBot="1" x14ac:dyDescent="0.4">
      <c r="A12" s="22" t="s">
        <v>4626</v>
      </c>
      <c r="B12" s="30"/>
      <c r="C12" s="52">
        <v>0.92</v>
      </c>
      <c r="D12" s="21">
        <v>4156831</v>
      </c>
      <c r="E12" s="40"/>
      <c r="G12" s="93" t="s">
        <v>4622</v>
      </c>
      <c r="H12" s="78">
        <f>SUM(H2:H11)</f>
        <v>583</v>
      </c>
      <c r="I12" s="79">
        <f>SUM(I2:I11)</f>
        <v>1.0000000000000002</v>
      </c>
      <c r="J12" s="71"/>
      <c r="K12" s="80">
        <f>SUM(K2:K11)</f>
        <v>1</v>
      </c>
      <c r="L12" s="81">
        <f>SUM(L2:L11)</f>
        <v>277</v>
      </c>
      <c r="M12" s="94" t="s">
        <v>4623</v>
      </c>
    </row>
    <row r="13" spans="1:13" x14ac:dyDescent="0.35">
      <c r="A13" s="22" t="s">
        <v>4628</v>
      </c>
      <c r="B13" s="30"/>
      <c r="C13" s="34">
        <v>0.08</v>
      </c>
      <c r="D13" s="21">
        <v>344728</v>
      </c>
    </row>
    <row r="14" spans="1:13" x14ac:dyDescent="0.35">
      <c r="A14" s="22" t="s">
        <v>4629</v>
      </c>
      <c r="B14" s="30"/>
      <c r="C14" s="23">
        <v>0.13</v>
      </c>
      <c r="D14" s="21">
        <v>430910</v>
      </c>
    </row>
    <row r="15" spans="1:13" x14ac:dyDescent="0.35">
      <c r="A15" s="22" t="s">
        <v>4630</v>
      </c>
      <c r="B15" s="30"/>
      <c r="C15" s="30"/>
      <c r="D15" s="21">
        <v>3438501</v>
      </c>
    </row>
    <row r="16" spans="1:13" x14ac:dyDescent="0.35">
      <c r="A16" s="22" t="s">
        <v>4631</v>
      </c>
      <c r="B16" s="6">
        <v>39</v>
      </c>
      <c r="C16" s="23">
        <v>0.22</v>
      </c>
      <c r="D16" s="32"/>
    </row>
    <row r="17" spans="1:6" x14ac:dyDescent="0.35">
      <c r="A17" s="22" t="s">
        <v>4632</v>
      </c>
      <c r="B17" s="33"/>
      <c r="C17" s="23">
        <v>0.23</v>
      </c>
      <c r="D17" s="32"/>
      <c r="F17" s="34"/>
    </row>
    <row r="18" spans="1:6" ht="15" thickBot="1" x14ac:dyDescent="0.4">
      <c r="A18" s="25" t="s">
        <v>4633</v>
      </c>
      <c r="B18" s="26">
        <v>14</v>
      </c>
      <c r="C18" s="36">
        <v>0.02</v>
      </c>
      <c r="D18" s="28">
        <v>50707</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18FA-2B0D-42B8-A693-D87AEB60BE1B}">
  <sheetPr codeName="Sheet69"/>
  <dimension ref="A1:M18"/>
  <sheetViews>
    <sheetView workbookViewId="0">
      <selection activeCell="E16" sqref="E16"/>
    </sheetView>
  </sheetViews>
  <sheetFormatPr defaultColWidth="9.1796875" defaultRowHeight="14.5" x14ac:dyDescent="0.35"/>
  <cols>
    <col min="1" max="1" width="30.453125" customWidth="1"/>
    <col min="2" max="3" width="11.453125" customWidth="1"/>
    <col min="4" max="4" width="15.81640625" customWidth="1"/>
    <col min="5" max="5" width="18" bestFit="1" customWidth="1"/>
    <col min="6" max="6" width="6.54296875" customWidth="1"/>
    <col min="7" max="7" width="20.1796875" customWidth="1"/>
    <col min="8" max="8" width="6.1796875" customWidth="1"/>
    <col min="9" max="9" width="7.7265625" customWidth="1"/>
    <col min="10" max="10" width="1.26953125" customWidth="1"/>
    <col min="11" max="11" width="8.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533</v>
      </c>
      <c r="C2" s="19">
        <f>B2/$B$7</f>
        <v>0.91423670668953683</v>
      </c>
      <c r="D2" s="20">
        <f>SUM(D3:D5)</f>
        <v>10656152</v>
      </c>
      <c r="E2" s="21">
        <f t="shared" ref="E2:E7" si="0">D2/B2</f>
        <v>19992.780487804877</v>
      </c>
      <c r="G2" s="82" t="s">
        <v>4599</v>
      </c>
      <c r="H2" s="83">
        <v>277</v>
      </c>
      <c r="I2" s="84">
        <f>H2/$H$12</f>
        <v>0.47512864493996571</v>
      </c>
      <c r="J2" s="85"/>
      <c r="K2" s="86">
        <f>L2/$L$12</f>
        <v>0.48014440433212996</v>
      </c>
      <c r="L2" s="83">
        <f t="shared" ref="L2:L10" si="1">H2-H3</f>
        <v>133</v>
      </c>
      <c r="M2" s="87" t="s">
        <v>4653</v>
      </c>
    </row>
    <row r="3" spans="1:13" x14ac:dyDescent="0.35">
      <c r="A3" s="22" t="s">
        <v>13</v>
      </c>
      <c r="B3" s="6">
        <v>432</v>
      </c>
      <c r="C3" s="19">
        <f>B3/$B$7</f>
        <v>0.74099485420240141</v>
      </c>
      <c r="D3" s="24">
        <v>8124652</v>
      </c>
      <c r="E3" s="21">
        <f t="shared" si="0"/>
        <v>18807.064814814814</v>
      </c>
      <c r="F3" s="37"/>
      <c r="G3" s="66" t="s">
        <v>4601</v>
      </c>
      <c r="H3" s="65">
        <v>144</v>
      </c>
      <c r="I3" s="75">
        <f t="shared" ref="I3:I11" si="2">H3/$H$12</f>
        <v>0.24699828473413379</v>
      </c>
      <c r="J3" s="77"/>
      <c r="K3" s="72">
        <f t="shared" ref="K3:K11" si="3">L3/$L$12</f>
        <v>0.23826714801444043</v>
      </c>
      <c r="L3" s="65">
        <f t="shared" si="1"/>
        <v>66</v>
      </c>
      <c r="M3" s="69" t="s">
        <v>4654</v>
      </c>
    </row>
    <row r="4" spans="1:13" x14ac:dyDescent="0.35">
      <c r="A4" s="22" t="s">
        <v>55</v>
      </c>
      <c r="B4" s="6">
        <v>22</v>
      </c>
      <c r="C4" s="19">
        <f>B4/$B$7</f>
        <v>3.7735849056603772E-2</v>
      </c>
      <c r="D4" s="24">
        <v>312000</v>
      </c>
      <c r="E4" s="21">
        <f t="shared" si="0"/>
        <v>14181.818181818182</v>
      </c>
      <c r="G4" s="88" t="s">
        <v>4603</v>
      </c>
      <c r="H4" s="89">
        <v>78</v>
      </c>
      <c r="I4" s="90">
        <f t="shared" si="2"/>
        <v>0.13379073756432247</v>
      </c>
      <c r="J4" s="85"/>
      <c r="K4" s="91">
        <f t="shared" si="3"/>
        <v>0.1299638989169675</v>
      </c>
      <c r="L4" s="89">
        <f t="shared" si="1"/>
        <v>36</v>
      </c>
      <c r="M4" s="92" t="s">
        <v>4655</v>
      </c>
    </row>
    <row r="5" spans="1:13" x14ac:dyDescent="0.35">
      <c r="A5" s="22" t="s">
        <v>70</v>
      </c>
      <c r="B5" s="6">
        <v>79</v>
      </c>
      <c r="C5" s="19">
        <f>B5/$B$7</f>
        <v>0.13550600343053174</v>
      </c>
      <c r="D5" s="24">
        <v>2219500</v>
      </c>
      <c r="E5" s="21">
        <f t="shared" si="0"/>
        <v>28094.936708860758</v>
      </c>
      <c r="F5" s="37"/>
      <c r="G5" s="66" t="s">
        <v>4605</v>
      </c>
      <c r="H5" s="65">
        <v>42</v>
      </c>
      <c r="I5" s="75">
        <f t="shared" si="2"/>
        <v>7.2041166380789029E-2</v>
      </c>
      <c r="J5" s="77"/>
      <c r="K5" s="72">
        <f t="shared" si="3"/>
        <v>7.2202166064981949E-2</v>
      </c>
      <c r="L5" s="65">
        <f t="shared" si="1"/>
        <v>20</v>
      </c>
      <c r="M5" s="69" t="s">
        <v>4656</v>
      </c>
    </row>
    <row r="6" spans="1:13" x14ac:dyDescent="0.35">
      <c r="A6" s="22" t="s">
        <v>4648</v>
      </c>
      <c r="B6" s="6">
        <v>50</v>
      </c>
      <c r="C6" s="19">
        <f>B6/$B$7</f>
        <v>8.5763293310463118E-2</v>
      </c>
      <c r="D6" s="24">
        <v>233700</v>
      </c>
      <c r="E6" s="21">
        <f t="shared" si="0"/>
        <v>4674</v>
      </c>
      <c r="G6" s="88" t="s">
        <v>4607</v>
      </c>
      <c r="H6" s="89">
        <v>22</v>
      </c>
      <c r="I6" s="90">
        <f t="shared" si="2"/>
        <v>3.7735849056603772E-2</v>
      </c>
      <c r="J6" s="85"/>
      <c r="K6" s="91">
        <f t="shared" si="3"/>
        <v>3.6101083032490974E-2</v>
      </c>
      <c r="L6" s="89">
        <f t="shared" si="1"/>
        <v>10</v>
      </c>
      <c r="M6" s="92" t="s">
        <v>4657</v>
      </c>
    </row>
    <row r="7" spans="1:13" ht="15" thickBot="1" x14ac:dyDescent="0.4">
      <c r="A7" s="55" t="s">
        <v>633</v>
      </c>
      <c r="B7" s="56">
        <f>B2+B6</f>
        <v>583</v>
      </c>
      <c r="C7" s="56"/>
      <c r="D7" s="53">
        <f>D2+D6</f>
        <v>10889852</v>
      </c>
      <c r="E7" s="54">
        <f t="shared" si="0"/>
        <v>18678.991423670668</v>
      </c>
      <c r="G7" s="66" t="s">
        <v>4609</v>
      </c>
      <c r="H7" s="65">
        <v>12</v>
      </c>
      <c r="I7" s="75">
        <f t="shared" si="2"/>
        <v>2.0583190394511151E-2</v>
      </c>
      <c r="J7" s="77"/>
      <c r="K7" s="72">
        <f t="shared" si="3"/>
        <v>2.5270758122743681E-2</v>
      </c>
      <c r="L7" s="65">
        <f t="shared" si="1"/>
        <v>7</v>
      </c>
      <c r="M7" s="69" t="s">
        <v>4658</v>
      </c>
    </row>
    <row r="8" spans="1:13" x14ac:dyDescent="0.35">
      <c r="G8" s="88" t="s">
        <v>4611</v>
      </c>
      <c r="H8" s="89">
        <v>5</v>
      </c>
      <c r="I8" s="90">
        <f t="shared" si="2"/>
        <v>8.5763293310463125E-3</v>
      </c>
      <c r="J8" s="85"/>
      <c r="K8" s="91">
        <f t="shared" si="3"/>
        <v>1.444043321299639E-2</v>
      </c>
      <c r="L8" s="89">
        <f t="shared" si="1"/>
        <v>4</v>
      </c>
      <c r="M8" s="92" t="s">
        <v>4659</v>
      </c>
    </row>
    <row r="9" spans="1:13" ht="15" thickBot="1" x14ac:dyDescent="0.4">
      <c r="G9" s="66" t="s">
        <v>4613</v>
      </c>
      <c r="H9" s="65">
        <v>1</v>
      </c>
      <c r="I9" s="75">
        <f t="shared" si="2"/>
        <v>1.7152658662092624E-3</v>
      </c>
      <c r="J9" s="77"/>
      <c r="K9" s="72">
        <f t="shared" si="3"/>
        <v>0</v>
      </c>
      <c r="L9" s="65">
        <f t="shared" si="1"/>
        <v>0</v>
      </c>
      <c r="M9" s="69" t="s">
        <v>4660</v>
      </c>
    </row>
    <row r="10" spans="1:13" x14ac:dyDescent="0.35">
      <c r="A10" s="29" t="s">
        <v>4626</v>
      </c>
      <c r="B10" s="13" t="s">
        <v>4592</v>
      </c>
      <c r="C10" s="13" t="s">
        <v>4593</v>
      </c>
      <c r="D10" s="15" t="s">
        <v>4594</v>
      </c>
      <c r="G10" s="88" t="s">
        <v>4616</v>
      </c>
      <c r="H10" s="89">
        <v>1</v>
      </c>
      <c r="I10" s="90">
        <f t="shared" si="2"/>
        <v>1.7152658662092624E-3</v>
      </c>
      <c r="J10" s="85"/>
      <c r="K10" s="91">
        <f t="shared" si="3"/>
        <v>0</v>
      </c>
      <c r="L10" s="89">
        <f t="shared" si="1"/>
        <v>0</v>
      </c>
      <c r="M10" s="92" t="s">
        <v>4661</v>
      </c>
    </row>
    <row r="11" spans="1:13" ht="15" thickBot="1" x14ac:dyDescent="0.4">
      <c r="A11" s="22" t="s">
        <v>4627</v>
      </c>
      <c r="B11" s="6">
        <v>182</v>
      </c>
      <c r="C11" s="30"/>
      <c r="D11" s="31"/>
      <c r="G11" s="67" t="s">
        <v>4619</v>
      </c>
      <c r="H11" s="74">
        <v>1</v>
      </c>
      <c r="I11" s="76">
        <f t="shared" si="2"/>
        <v>1.7152658662092624E-3</v>
      </c>
      <c r="J11" s="77"/>
      <c r="K11" s="73">
        <f t="shared" si="3"/>
        <v>3.6101083032490976E-3</v>
      </c>
      <c r="L11" s="74">
        <v>1</v>
      </c>
      <c r="M11" s="70" t="s">
        <v>4662</v>
      </c>
    </row>
    <row r="12" spans="1:13" ht="15" thickBot="1" x14ac:dyDescent="0.4">
      <c r="A12" s="22" t="s">
        <v>4626</v>
      </c>
      <c r="B12" s="30"/>
      <c r="C12" s="52">
        <v>0.92938520048562179</v>
      </c>
      <c r="D12" s="21">
        <v>4170034.34</v>
      </c>
      <c r="E12" s="40"/>
      <c r="G12" s="93" t="s">
        <v>4622</v>
      </c>
      <c r="H12" s="78">
        <f>SUM(H2:H11)</f>
        <v>583</v>
      </c>
      <c r="I12" s="79">
        <f>SUM(I2:I11)</f>
        <v>1.0000000000000002</v>
      </c>
      <c r="J12" s="71"/>
      <c r="K12" s="80">
        <f>SUM(K2:K11)</f>
        <v>1</v>
      </c>
      <c r="L12" s="81">
        <f>SUM(L2:L11)</f>
        <v>277</v>
      </c>
      <c r="M12" s="94" t="s">
        <v>4623</v>
      </c>
    </row>
    <row r="13" spans="1:13" x14ac:dyDescent="0.35">
      <c r="A13" s="22" t="s">
        <v>4628</v>
      </c>
      <c r="B13" s="30"/>
      <c r="C13" s="34">
        <v>7.061479951437824E-2</v>
      </c>
      <c r="D13" s="21">
        <v>316839.71159999998</v>
      </c>
    </row>
    <row r="14" spans="1:13" x14ac:dyDescent="0.35">
      <c r="A14" s="22" t="s">
        <v>4629</v>
      </c>
      <c r="B14" s="30"/>
      <c r="C14" s="23">
        <v>0.11135591605147552</v>
      </c>
      <c r="D14" s="21">
        <v>387248.53640000004</v>
      </c>
    </row>
    <row r="15" spans="1:13" x14ac:dyDescent="0.35">
      <c r="A15" s="22" t="s">
        <v>4630</v>
      </c>
      <c r="B15" s="30"/>
      <c r="C15" s="30"/>
      <c r="D15" s="21">
        <v>3477574.88</v>
      </c>
    </row>
    <row r="16" spans="1:13" x14ac:dyDescent="0.35">
      <c r="A16" s="22" t="s">
        <v>4631</v>
      </c>
      <c r="B16" s="6">
        <v>26</v>
      </c>
      <c r="C16" s="23">
        <v>0.14285714285714285</v>
      </c>
      <c r="D16" s="32"/>
    </row>
    <row r="17" spans="1:6" x14ac:dyDescent="0.35">
      <c r="A17" s="22" t="s">
        <v>4632</v>
      </c>
      <c r="B17" s="33"/>
      <c r="C17" s="23">
        <v>0.23</v>
      </c>
      <c r="D17" s="32"/>
      <c r="F17" s="34"/>
    </row>
    <row r="18" spans="1:6" ht="15" thickBot="1" x14ac:dyDescent="0.4">
      <c r="A18" s="25" t="s">
        <v>4650</v>
      </c>
      <c r="B18" s="26">
        <v>14</v>
      </c>
      <c r="C18" s="36">
        <v>0.02</v>
      </c>
      <c r="D18" s="28">
        <v>50706.66</v>
      </c>
    </row>
  </sheetData>
  <pageMargins left="0.7" right="0.7" top="0.75" bottom="0.75" header="0.3" footer="0.3"/>
  <ignoredErrors>
    <ignoredError sqref="B2 D2" formulaRange="1"/>
    <ignoredError sqref="C2" formula="1"/>
  </ignoredError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0"/>
  <dimension ref="A1:M18"/>
  <sheetViews>
    <sheetView workbookViewId="0">
      <selection activeCell="E13" sqref="E13"/>
    </sheetView>
  </sheetViews>
  <sheetFormatPr defaultColWidth="9.1796875" defaultRowHeight="14.5" x14ac:dyDescent="0.35"/>
  <cols>
    <col min="1" max="1" width="30.453125" customWidth="1"/>
    <col min="2" max="3" width="11.453125" customWidth="1"/>
    <col min="4" max="4" width="15.81640625" customWidth="1"/>
    <col min="5" max="5" width="18" bestFit="1" customWidth="1"/>
    <col min="6" max="6" width="6.54296875" customWidth="1"/>
    <col min="7" max="7" width="20.1796875" customWidth="1"/>
    <col min="8" max="8" width="6.1796875" customWidth="1"/>
    <col min="9" max="9" width="7.7265625" customWidth="1"/>
    <col min="10" max="10" width="1.26953125" customWidth="1"/>
    <col min="11" max="11" width="8.1796875" customWidth="1"/>
    <col min="13" max="13" width="45.1796875" bestFit="1" customWidth="1"/>
  </cols>
  <sheetData>
    <row r="1" spans="1:13" ht="15" thickBot="1" x14ac:dyDescent="0.4">
      <c r="A1" s="12" t="s">
        <v>4651</v>
      </c>
      <c r="B1" s="13" t="s">
        <v>4592</v>
      </c>
      <c r="C1" s="13" t="s">
        <v>4593</v>
      </c>
      <c r="D1" s="14" t="s">
        <v>4594</v>
      </c>
      <c r="E1" s="15" t="s">
        <v>4595</v>
      </c>
      <c r="H1" s="68" t="s">
        <v>4596</v>
      </c>
      <c r="I1" s="68" t="s">
        <v>4597</v>
      </c>
      <c r="J1" s="71"/>
      <c r="K1" s="68" t="s">
        <v>4597</v>
      </c>
      <c r="L1" s="68" t="s">
        <v>4596</v>
      </c>
      <c r="M1" s="16"/>
    </row>
    <row r="2" spans="1:13" x14ac:dyDescent="0.35">
      <c r="A2" s="17" t="s">
        <v>4598</v>
      </c>
      <c r="B2" s="18">
        <f>SUM(B3:B5)</f>
        <v>514</v>
      </c>
      <c r="C2" s="19">
        <f>B2/$B$7</f>
        <v>0.88773747841105355</v>
      </c>
      <c r="D2" s="20">
        <f>SUM(D3:D5)</f>
        <v>10189152</v>
      </c>
      <c r="E2" s="21">
        <f t="shared" ref="E2:E7" si="0">D2/B2</f>
        <v>19823.252918287937</v>
      </c>
      <c r="G2" s="82" t="s">
        <v>4599</v>
      </c>
      <c r="H2" s="83">
        <v>275</v>
      </c>
      <c r="I2" s="84">
        <f>H2/$H$12</f>
        <v>0.47495682210708118</v>
      </c>
      <c r="J2" s="85"/>
      <c r="K2" s="86">
        <f>L2/$L$12</f>
        <v>0.47636363636363638</v>
      </c>
      <c r="L2" s="83">
        <f t="shared" ref="L2:L10" si="1">H2-H3</f>
        <v>131</v>
      </c>
      <c r="M2" s="87" t="s">
        <v>4653</v>
      </c>
    </row>
    <row r="3" spans="1:13" x14ac:dyDescent="0.35">
      <c r="A3" s="22" t="s">
        <v>13</v>
      </c>
      <c r="B3" s="6">
        <v>415</v>
      </c>
      <c r="C3" s="19">
        <f>B3/$B$7</f>
        <v>0.71675302245250427</v>
      </c>
      <c r="D3" s="24">
        <v>7712652</v>
      </c>
      <c r="E3" s="21">
        <f t="shared" si="0"/>
        <v>18584.703614457831</v>
      </c>
      <c r="F3" s="37"/>
      <c r="G3" s="66" t="s">
        <v>4601</v>
      </c>
      <c r="H3" s="65">
        <v>144</v>
      </c>
      <c r="I3" s="75">
        <f t="shared" ref="I3:I11" si="2">H3/$H$12</f>
        <v>0.24870466321243523</v>
      </c>
      <c r="J3" s="77"/>
      <c r="K3" s="72">
        <f t="shared" ref="K3:K11" si="3">L3/$L$12</f>
        <v>0.24</v>
      </c>
      <c r="L3" s="65">
        <f t="shared" si="1"/>
        <v>66</v>
      </c>
      <c r="M3" s="69" t="s">
        <v>4654</v>
      </c>
    </row>
    <row r="4" spans="1:13" x14ac:dyDescent="0.35">
      <c r="A4" s="22" t="s">
        <v>55</v>
      </c>
      <c r="B4" s="6">
        <v>22</v>
      </c>
      <c r="C4" s="19">
        <f>B4/$B$7</f>
        <v>3.7996545768566495E-2</v>
      </c>
      <c r="D4" s="24">
        <v>312000</v>
      </c>
      <c r="E4" s="21">
        <f t="shared" si="0"/>
        <v>14181.818181818182</v>
      </c>
      <c r="G4" s="88" t="s">
        <v>4603</v>
      </c>
      <c r="H4" s="89">
        <v>78</v>
      </c>
      <c r="I4" s="90">
        <f t="shared" si="2"/>
        <v>0.13471502590673576</v>
      </c>
      <c r="J4" s="85"/>
      <c r="K4" s="91">
        <f t="shared" si="3"/>
        <v>0.13090909090909092</v>
      </c>
      <c r="L4" s="89">
        <f t="shared" si="1"/>
        <v>36</v>
      </c>
      <c r="M4" s="92" t="s">
        <v>4655</v>
      </c>
    </row>
    <row r="5" spans="1:13" x14ac:dyDescent="0.35">
      <c r="A5" s="22" t="s">
        <v>70</v>
      </c>
      <c r="B5" s="6">
        <v>77</v>
      </c>
      <c r="C5" s="19">
        <f>B5/$B$7</f>
        <v>0.13298791018998274</v>
      </c>
      <c r="D5" s="24">
        <v>2164500</v>
      </c>
      <c r="E5" s="21">
        <f t="shared" si="0"/>
        <v>28110.389610389611</v>
      </c>
      <c r="F5" s="37"/>
      <c r="G5" s="66" t="s">
        <v>4605</v>
      </c>
      <c r="H5" s="65">
        <v>42</v>
      </c>
      <c r="I5" s="75">
        <f t="shared" si="2"/>
        <v>7.2538860103626937E-2</v>
      </c>
      <c r="J5" s="77"/>
      <c r="K5" s="72">
        <f t="shared" si="3"/>
        <v>7.2727272727272724E-2</v>
      </c>
      <c r="L5" s="65">
        <f t="shared" si="1"/>
        <v>20</v>
      </c>
      <c r="M5" s="69" t="s">
        <v>4656</v>
      </c>
    </row>
    <row r="6" spans="1:13" x14ac:dyDescent="0.35">
      <c r="A6" s="22" t="s">
        <v>4648</v>
      </c>
      <c r="B6" s="6">
        <v>65</v>
      </c>
      <c r="C6" s="19">
        <f>B6/$B$7</f>
        <v>0.11226252158894647</v>
      </c>
      <c r="D6" s="24">
        <v>550700</v>
      </c>
      <c r="E6" s="21">
        <f t="shared" si="0"/>
        <v>8472.3076923076915</v>
      </c>
      <c r="G6" s="88" t="s">
        <v>4607</v>
      </c>
      <c r="H6" s="89">
        <v>22</v>
      </c>
      <c r="I6" s="90">
        <f t="shared" si="2"/>
        <v>3.7996545768566495E-2</v>
      </c>
      <c r="J6" s="85"/>
      <c r="K6" s="91">
        <f t="shared" si="3"/>
        <v>0.04</v>
      </c>
      <c r="L6" s="89">
        <f t="shared" si="1"/>
        <v>11</v>
      </c>
      <c r="M6" s="92" t="s">
        <v>4657</v>
      </c>
    </row>
    <row r="7" spans="1:13" ht="15" thickBot="1" x14ac:dyDescent="0.4">
      <c r="A7" s="55" t="s">
        <v>633</v>
      </c>
      <c r="B7" s="56">
        <f>B2+B6</f>
        <v>579</v>
      </c>
      <c r="C7" s="56"/>
      <c r="D7" s="53">
        <f>D2+D6</f>
        <v>10739852</v>
      </c>
      <c r="E7" s="54">
        <f t="shared" si="0"/>
        <v>18548.967184801382</v>
      </c>
      <c r="G7" s="66" t="s">
        <v>4609</v>
      </c>
      <c r="H7" s="65">
        <v>11</v>
      </c>
      <c r="I7" s="75">
        <f t="shared" si="2"/>
        <v>1.8998272884283247E-2</v>
      </c>
      <c r="J7" s="77"/>
      <c r="K7" s="72">
        <f t="shared" si="3"/>
        <v>2.181818181818182E-2</v>
      </c>
      <c r="L7" s="65">
        <f t="shared" si="1"/>
        <v>6</v>
      </c>
      <c r="M7" s="69" t="s">
        <v>4658</v>
      </c>
    </row>
    <row r="8" spans="1:13" x14ac:dyDescent="0.35">
      <c r="G8" s="88" t="s">
        <v>4611</v>
      </c>
      <c r="H8" s="89">
        <v>5</v>
      </c>
      <c r="I8" s="90">
        <f t="shared" si="2"/>
        <v>8.6355785837651123E-3</v>
      </c>
      <c r="J8" s="85"/>
      <c r="K8" s="91">
        <f t="shared" si="3"/>
        <v>1.4545454545454545E-2</v>
      </c>
      <c r="L8" s="89">
        <f t="shared" si="1"/>
        <v>4</v>
      </c>
      <c r="M8" s="92" t="s">
        <v>4659</v>
      </c>
    </row>
    <row r="9" spans="1:13" ht="15" thickBot="1" x14ac:dyDescent="0.4">
      <c r="G9" s="66" t="s">
        <v>4613</v>
      </c>
      <c r="H9" s="65">
        <v>1</v>
      </c>
      <c r="I9" s="75">
        <f t="shared" si="2"/>
        <v>1.7271157167530224E-3</v>
      </c>
      <c r="J9" s="77"/>
      <c r="K9" s="72">
        <f t="shared" si="3"/>
        <v>0</v>
      </c>
      <c r="L9" s="65">
        <f t="shared" si="1"/>
        <v>0</v>
      </c>
      <c r="M9" s="69" t="s">
        <v>4660</v>
      </c>
    </row>
    <row r="10" spans="1:13" x14ac:dyDescent="0.35">
      <c r="A10" s="29" t="s">
        <v>4626</v>
      </c>
      <c r="B10" s="13" t="s">
        <v>4592</v>
      </c>
      <c r="C10" s="13" t="s">
        <v>4593</v>
      </c>
      <c r="D10" s="15" t="s">
        <v>4594</v>
      </c>
      <c r="G10" s="88" t="s">
        <v>4616</v>
      </c>
      <c r="H10" s="89">
        <v>1</v>
      </c>
      <c r="I10" s="90">
        <f t="shared" si="2"/>
        <v>1.7271157167530224E-3</v>
      </c>
      <c r="J10" s="85"/>
      <c r="K10" s="91">
        <f t="shared" si="3"/>
        <v>3.6363636363636364E-3</v>
      </c>
      <c r="L10" s="89">
        <f t="shared" si="1"/>
        <v>1</v>
      </c>
      <c r="M10" s="92" t="s">
        <v>4661</v>
      </c>
    </row>
    <row r="11" spans="1:13" ht="15" thickBot="1" x14ac:dyDescent="0.4">
      <c r="A11" s="22" t="s">
        <v>4627</v>
      </c>
      <c r="B11" s="6">
        <v>189</v>
      </c>
      <c r="C11" s="30"/>
      <c r="D11" s="31"/>
      <c r="G11" s="67" t="s">
        <v>4619</v>
      </c>
      <c r="H11" s="74">
        <v>0</v>
      </c>
      <c r="I11" s="76">
        <f t="shared" si="2"/>
        <v>0</v>
      </c>
      <c r="J11" s="77"/>
      <c r="K11" s="73">
        <f t="shared" si="3"/>
        <v>0</v>
      </c>
      <c r="L11" s="74">
        <v>0</v>
      </c>
      <c r="M11" s="70" t="s">
        <v>4662</v>
      </c>
    </row>
    <row r="12" spans="1:13" ht="15" thickBot="1" x14ac:dyDescent="0.4">
      <c r="A12" s="22" t="s">
        <v>4626</v>
      </c>
      <c r="B12" s="30"/>
      <c r="C12" s="52">
        <v>0.94263343632125784</v>
      </c>
      <c r="D12" s="21">
        <v>4070638.0300000003</v>
      </c>
      <c r="E12" s="40"/>
      <c r="G12" s="93" t="s">
        <v>4622</v>
      </c>
      <c r="H12" s="78">
        <f>SUM(H2:H11)</f>
        <v>579</v>
      </c>
      <c r="I12" s="79">
        <f>SUM(I2:I11)</f>
        <v>1</v>
      </c>
      <c r="J12" s="71"/>
      <c r="K12" s="80">
        <f>SUM(K2:K11)</f>
        <v>1</v>
      </c>
      <c r="L12" s="81">
        <f>SUM(L2:L11)</f>
        <v>275</v>
      </c>
      <c r="M12" s="94" t="s">
        <v>4623</v>
      </c>
    </row>
    <row r="13" spans="1:13" x14ac:dyDescent="0.35">
      <c r="A13" s="22" t="s">
        <v>4628</v>
      </c>
      <c r="B13" s="30"/>
      <c r="C13" s="34">
        <v>5.7366563678742204E-2</v>
      </c>
      <c r="D13" s="21">
        <v>247729.93059999999</v>
      </c>
    </row>
    <row r="14" spans="1:13" x14ac:dyDescent="0.35">
      <c r="A14" s="22" t="s">
        <v>4629</v>
      </c>
      <c r="B14" s="30"/>
      <c r="C14" s="23">
        <v>8.6727496697359172E-2</v>
      </c>
      <c r="D14" s="21">
        <v>298984.39899999998</v>
      </c>
    </row>
    <row r="15" spans="1:13" x14ac:dyDescent="0.35">
      <c r="A15" s="22" t="s">
        <v>4630</v>
      </c>
      <c r="B15" s="30"/>
      <c r="C15" s="30"/>
      <c r="D15" s="21">
        <v>3447400.31</v>
      </c>
    </row>
    <row r="16" spans="1:13" x14ac:dyDescent="0.35">
      <c r="A16" s="22" t="s">
        <v>4631</v>
      </c>
      <c r="B16" s="6">
        <v>18</v>
      </c>
      <c r="C16" s="23">
        <v>9.5238095238095233E-2</v>
      </c>
      <c r="D16" s="32"/>
    </row>
    <row r="17" spans="1:6" x14ac:dyDescent="0.35">
      <c r="A17" s="22" t="s">
        <v>4632</v>
      </c>
      <c r="B17" s="33"/>
      <c r="C17" s="23">
        <v>0.23</v>
      </c>
      <c r="D17" s="32"/>
      <c r="F17" s="34"/>
    </row>
    <row r="18" spans="1:6" ht="15" thickBot="1" x14ac:dyDescent="0.4">
      <c r="A18" s="35" t="s">
        <v>4633</v>
      </c>
      <c r="B18" s="26">
        <v>14</v>
      </c>
      <c r="C18" s="36">
        <v>0.02</v>
      </c>
      <c r="D18" s="28">
        <v>50706.66</v>
      </c>
    </row>
  </sheetData>
  <pageMargins left="0.7" right="0.7" top="0.75" bottom="0.75" header="0.3" footer="0.3"/>
  <ignoredErrors>
    <ignoredError sqref="B2 D2" formulaRange="1"/>
    <ignoredError sqref="C2" formula="1"/>
  </ignoredError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1"/>
  <dimension ref="A1:J18"/>
  <sheetViews>
    <sheetView workbookViewId="0">
      <selection activeCell="F13" sqref="F13"/>
    </sheetView>
  </sheetViews>
  <sheetFormatPr defaultColWidth="9.1796875" defaultRowHeight="14.5" x14ac:dyDescent="0.35"/>
  <cols>
    <col min="1" max="1" width="30.453125" customWidth="1"/>
    <col min="2" max="3" width="11.453125" customWidth="1"/>
    <col min="4" max="4" width="15.81640625" customWidth="1"/>
    <col min="5" max="5" width="18" bestFit="1" customWidth="1"/>
    <col min="6" max="6" width="10" bestFit="1" customWidth="1"/>
    <col min="7" max="8"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515</v>
      </c>
      <c r="C2" s="19">
        <f>B2/$B$7</f>
        <v>0.88793103448275867</v>
      </c>
      <c r="D2" s="20">
        <f>SUM(D3:D5)</f>
        <v>10316152</v>
      </c>
      <c r="E2" s="21">
        <f t="shared" ref="E2:E7" si="0">D2/B2</f>
        <v>20031.363106796118</v>
      </c>
      <c r="G2" s="37"/>
    </row>
    <row r="3" spans="1:10" x14ac:dyDescent="0.35">
      <c r="A3" s="22" t="s">
        <v>13</v>
      </c>
      <c r="B3" s="6">
        <v>416</v>
      </c>
      <c r="C3" s="19">
        <f>B3/$B$7</f>
        <v>0.71724137931034482</v>
      </c>
      <c r="D3" s="24">
        <v>7839652</v>
      </c>
      <c r="E3" s="21">
        <f t="shared" si="0"/>
        <v>18845.317307692309</v>
      </c>
      <c r="F3" s="37"/>
      <c r="G3" s="37"/>
    </row>
    <row r="4" spans="1:10" x14ac:dyDescent="0.35">
      <c r="A4" s="22" t="s">
        <v>55</v>
      </c>
      <c r="B4" s="6">
        <v>22</v>
      </c>
      <c r="C4" s="19">
        <f>B4/$B$7</f>
        <v>3.793103448275862E-2</v>
      </c>
      <c r="D4" s="24">
        <v>312000</v>
      </c>
      <c r="E4" s="21">
        <f t="shared" si="0"/>
        <v>14181.818181818182</v>
      </c>
      <c r="G4" s="37"/>
    </row>
    <row r="5" spans="1:10" x14ac:dyDescent="0.35">
      <c r="A5" s="22" t="s">
        <v>70</v>
      </c>
      <c r="B5" s="6">
        <v>77</v>
      </c>
      <c r="C5" s="19">
        <f>B5/$B$7</f>
        <v>0.13275862068965516</v>
      </c>
      <c r="D5" s="24">
        <v>2164500</v>
      </c>
      <c r="E5" s="21">
        <f t="shared" si="0"/>
        <v>28110.389610389611</v>
      </c>
      <c r="F5" s="37"/>
      <c r="G5" s="37"/>
      <c r="H5" s="37"/>
    </row>
    <row r="6" spans="1:10" x14ac:dyDescent="0.35">
      <c r="A6" s="22" t="s">
        <v>4648</v>
      </c>
      <c r="B6" s="6">
        <v>65</v>
      </c>
      <c r="C6" s="19">
        <f>B6/$B$7</f>
        <v>0.11206896551724138</v>
      </c>
      <c r="D6" s="24">
        <v>550700</v>
      </c>
      <c r="E6" s="21">
        <f t="shared" si="0"/>
        <v>8472.3076923076915</v>
      </c>
      <c r="G6" s="37"/>
    </row>
    <row r="7" spans="1:10" ht="15" thickBot="1" x14ac:dyDescent="0.4">
      <c r="A7" s="55" t="s">
        <v>633</v>
      </c>
      <c r="B7" s="56">
        <f>B2+B6</f>
        <v>580</v>
      </c>
      <c r="C7" s="56"/>
      <c r="D7" s="53">
        <f>D2+D6</f>
        <v>10866852</v>
      </c>
      <c r="E7" s="54">
        <f t="shared" si="0"/>
        <v>18735.951724137933</v>
      </c>
      <c r="G7" s="37"/>
    </row>
    <row r="9" spans="1:10" ht="15" thickBot="1" x14ac:dyDescent="0.4">
      <c r="G9" s="37"/>
    </row>
    <row r="10" spans="1:10" x14ac:dyDescent="0.35">
      <c r="A10" s="29" t="s">
        <v>4626</v>
      </c>
      <c r="B10" s="13" t="s">
        <v>4592</v>
      </c>
      <c r="C10" s="13" t="s">
        <v>4593</v>
      </c>
      <c r="D10" s="15" t="s">
        <v>4594</v>
      </c>
      <c r="G10" s="37"/>
    </row>
    <row r="11" spans="1:10" x14ac:dyDescent="0.35">
      <c r="A11" s="22" t="s">
        <v>4627</v>
      </c>
      <c r="B11" s="6">
        <v>191</v>
      </c>
      <c r="C11" s="30"/>
      <c r="D11" s="31"/>
    </row>
    <row r="12" spans="1:10" x14ac:dyDescent="0.35">
      <c r="A12" s="22" t="s">
        <v>4626</v>
      </c>
      <c r="B12" s="30"/>
      <c r="C12" s="52">
        <v>0.93796690593698739</v>
      </c>
      <c r="D12" s="42">
        <v>3990215.97</v>
      </c>
    </row>
    <row r="13" spans="1:10" x14ac:dyDescent="0.35">
      <c r="A13" s="22" t="s">
        <v>4628</v>
      </c>
      <c r="B13" s="30"/>
      <c r="C13" s="34">
        <v>6.2033094063012467E-2</v>
      </c>
      <c r="D13" s="42">
        <v>263895.71000000002</v>
      </c>
    </row>
    <row r="14" spans="1:10" x14ac:dyDescent="0.35">
      <c r="A14" s="22" t="s">
        <v>4629</v>
      </c>
      <c r="B14" s="30"/>
      <c r="C14" s="23">
        <v>8.9949690741909116E-2</v>
      </c>
      <c r="D14" s="42">
        <v>307878.32</v>
      </c>
    </row>
    <row r="15" spans="1:10" x14ac:dyDescent="0.35">
      <c r="A15" s="22" t="s">
        <v>4630</v>
      </c>
      <c r="B15" s="30"/>
      <c r="C15" s="30"/>
      <c r="D15" s="42">
        <v>3422783.53</v>
      </c>
    </row>
    <row r="16" spans="1:10" x14ac:dyDescent="0.35">
      <c r="A16" s="22" t="s">
        <v>4631</v>
      </c>
      <c r="B16" s="6">
        <v>19</v>
      </c>
      <c r="C16" s="23">
        <v>9.8445595854922283E-2</v>
      </c>
      <c r="D16" s="32"/>
    </row>
    <row r="17" spans="1:6" x14ac:dyDescent="0.35">
      <c r="A17" s="22" t="s">
        <v>4632</v>
      </c>
      <c r="B17" s="33"/>
      <c r="C17" s="23">
        <v>0.23</v>
      </c>
      <c r="D17" s="32"/>
      <c r="F17" s="34"/>
    </row>
    <row r="18" spans="1:6" ht="15" thickBot="1" x14ac:dyDescent="0.4">
      <c r="A18" s="35" t="s">
        <v>4633</v>
      </c>
      <c r="B18" s="26">
        <v>14</v>
      </c>
      <c r="C18" s="36">
        <v>0.02</v>
      </c>
      <c r="D18" s="28">
        <v>50706.66</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2"/>
  <dimension ref="A1:J18"/>
  <sheetViews>
    <sheetView workbookViewId="0">
      <selection activeCell="I11" sqref="I11"/>
    </sheetView>
  </sheetViews>
  <sheetFormatPr defaultColWidth="9.1796875" defaultRowHeight="14.5" x14ac:dyDescent="0.35"/>
  <cols>
    <col min="1" max="1" width="30.453125" customWidth="1"/>
    <col min="2" max="3" width="11.453125" customWidth="1"/>
    <col min="4" max="4" width="15.81640625" customWidth="1"/>
    <col min="5" max="5" width="18" bestFit="1" customWidth="1"/>
    <col min="7" max="8"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510</v>
      </c>
      <c r="C2" s="19">
        <f>B2/$B$7</f>
        <v>0.88695652173913042</v>
      </c>
      <c r="D2" s="20">
        <f>SUM(D3:D5)</f>
        <v>10158152</v>
      </c>
      <c r="E2" s="21">
        <f t="shared" ref="E2:E7" si="0">D2/B2</f>
        <v>19917.945098039214</v>
      </c>
      <c r="G2" s="37"/>
    </row>
    <row r="3" spans="1:10" x14ac:dyDescent="0.35">
      <c r="A3" s="22" t="s">
        <v>13</v>
      </c>
      <c r="B3" s="6">
        <v>412</v>
      </c>
      <c r="C3" s="19">
        <f>B3/$B$7</f>
        <v>0.71652173913043482</v>
      </c>
      <c r="D3" s="24">
        <v>7689652</v>
      </c>
      <c r="E3" s="21">
        <f t="shared" si="0"/>
        <v>18664.203883495145</v>
      </c>
      <c r="G3" s="37"/>
    </row>
    <row r="4" spans="1:10" x14ac:dyDescent="0.35">
      <c r="A4" s="22" t="s">
        <v>55</v>
      </c>
      <c r="B4" s="6">
        <v>22</v>
      </c>
      <c r="C4" s="19">
        <f>B4/$B$7</f>
        <v>3.826086956521739E-2</v>
      </c>
      <c r="D4" s="24">
        <v>312000</v>
      </c>
      <c r="E4" s="21">
        <f t="shared" si="0"/>
        <v>14181.818181818182</v>
      </c>
      <c r="G4" s="37"/>
    </row>
    <row r="5" spans="1:10" x14ac:dyDescent="0.35">
      <c r="A5" s="22" t="s">
        <v>70</v>
      </c>
      <c r="B5" s="6">
        <v>76</v>
      </c>
      <c r="C5" s="19">
        <f>B5/$B$7</f>
        <v>0.13217391304347825</v>
      </c>
      <c r="D5" s="24">
        <v>2156500</v>
      </c>
      <c r="E5" s="21">
        <f t="shared" si="0"/>
        <v>28375</v>
      </c>
      <c r="G5" s="37"/>
      <c r="H5" s="37"/>
    </row>
    <row r="6" spans="1:10" x14ac:dyDescent="0.35">
      <c r="A6" s="22" t="s">
        <v>4648</v>
      </c>
      <c r="B6" s="6">
        <v>65</v>
      </c>
      <c r="C6" s="19">
        <f>B6/$B$7</f>
        <v>0.11304347826086956</v>
      </c>
      <c r="D6" s="24">
        <v>550700</v>
      </c>
      <c r="E6" s="21">
        <f t="shared" si="0"/>
        <v>8472.3076923076915</v>
      </c>
      <c r="G6" s="37"/>
    </row>
    <row r="7" spans="1:10" ht="15" thickBot="1" x14ac:dyDescent="0.4">
      <c r="A7" s="55" t="s">
        <v>633</v>
      </c>
      <c r="B7" s="56">
        <f>B2+B6</f>
        <v>575</v>
      </c>
      <c r="C7" s="56"/>
      <c r="D7" s="53">
        <f>D2+D6</f>
        <v>10708852</v>
      </c>
      <c r="E7" s="54">
        <f t="shared" si="0"/>
        <v>18624.090434782607</v>
      </c>
      <c r="G7" s="37"/>
    </row>
    <row r="9" spans="1:10" ht="15" thickBot="1" x14ac:dyDescent="0.4">
      <c r="G9" s="37"/>
    </row>
    <row r="10" spans="1:10" x14ac:dyDescent="0.35">
      <c r="A10" s="29" t="s">
        <v>4626</v>
      </c>
      <c r="B10" s="13" t="s">
        <v>4592</v>
      </c>
      <c r="C10" s="13" t="s">
        <v>4593</v>
      </c>
      <c r="D10" s="15" t="s">
        <v>4594</v>
      </c>
    </row>
    <row r="11" spans="1:10" x14ac:dyDescent="0.35">
      <c r="A11" s="22" t="s">
        <v>4627</v>
      </c>
      <c r="B11" s="6">
        <v>193</v>
      </c>
      <c r="C11" s="30"/>
      <c r="D11" s="31"/>
    </row>
    <row r="12" spans="1:10" x14ac:dyDescent="0.35">
      <c r="A12" s="22" t="s">
        <v>4626</v>
      </c>
      <c r="B12" s="30"/>
      <c r="C12" s="52">
        <v>0.93764366973554925</v>
      </c>
      <c r="D12" s="42">
        <v>4009250.68</v>
      </c>
    </row>
    <row r="13" spans="1:10" x14ac:dyDescent="0.35">
      <c r="A13" s="22" t="s">
        <v>4628</v>
      </c>
      <c r="B13" s="30"/>
      <c r="C13" s="34">
        <v>6.2356330264450734E-2</v>
      </c>
      <c r="D13" s="42">
        <v>266628.11</v>
      </c>
    </row>
    <row r="14" spans="1:10" x14ac:dyDescent="0.35">
      <c r="A14" s="22" t="s">
        <v>4629</v>
      </c>
      <c r="B14" s="30"/>
      <c r="C14" s="23">
        <v>7.7587099143423974E-2</v>
      </c>
      <c r="D14" s="42">
        <v>311066.13</v>
      </c>
    </row>
    <row r="15" spans="1:10" x14ac:dyDescent="0.35">
      <c r="A15" s="22" t="s">
        <v>4630</v>
      </c>
      <c r="B15" s="30"/>
      <c r="C15" s="30"/>
      <c r="D15" s="42">
        <v>3516202.649999998</v>
      </c>
    </row>
    <row r="16" spans="1:10" x14ac:dyDescent="0.35">
      <c r="A16" s="22" t="s">
        <v>4631</v>
      </c>
      <c r="B16" s="6">
        <v>19</v>
      </c>
      <c r="C16" s="23">
        <v>9.8445595854922283E-2</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3"/>
  <dimension ref="A1:J18"/>
  <sheetViews>
    <sheetView workbookViewId="0">
      <selection activeCell="G12" sqref="G12"/>
    </sheetView>
  </sheetViews>
  <sheetFormatPr defaultColWidth="9.1796875" defaultRowHeight="14.5" x14ac:dyDescent="0.35"/>
  <cols>
    <col min="1" max="1" width="30.453125" customWidth="1"/>
    <col min="2" max="3" width="11.453125" customWidth="1"/>
    <col min="4" max="4" width="15.81640625" customWidth="1"/>
    <col min="5" max="5" width="18" bestFit="1" customWidth="1"/>
    <col min="7" max="8"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506</v>
      </c>
      <c r="C2" s="19">
        <f>B2/$B$7</f>
        <v>0.88616462346760072</v>
      </c>
      <c r="D2" s="20">
        <f>SUM(D3:D5)</f>
        <v>9993152</v>
      </c>
      <c r="E2" s="21">
        <f t="shared" ref="E2:E7" si="0">D2/B2</f>
        <v>19749.312252964428</v>
      </c>
      <c r="G2" s="37"/>
    </row>
    <row r="3" spans="1:10" x14ac:dyDescent="0.35">
      <c r="A3" s="22" t="s">
        <v>13</v>
      </c>
      <c r="B3" s="6">
        <v>409</v>
      </c>
      <c r="C3" s="19">
        <f>B3/$B$7</f>
        <v>0.71628721541155871</v>
      </c>
      <c r="D3" s="24">
        <v>7564652</v>
      </c>
      <c r="E3" s="21">
        <f t="shared" si="0"/>
        <v>18495.481662591686</v>
      </c>
      <c r="G3" s="37"/>
    </row>
    <row r="4" spans="1:10" x14ac:dyDescent="0.35">
      <c r="A4" s="22" t="s">
        <v>55</v>
      </c>
      <c r="B4" s="6">
        <v>21</v>
      </c>
      <c r="C4" s="19">
        <f>B4/$B$7</f>
        <v>3.6777583187390543E-2</v>
      </c>
      <c r="D4" s="24">
        <v>272000</v>
      </c>
      <c r="E4" s="21">
        <f t="shared" si="0"/>
        <v>12952.380952380952</v>
      </c>
      <c r="G4" s="37"/>
    </row>
    <row r="5" spans="1:10" x14ac:dyDescent="0.35">
      <c r="A5" s="22" t="s">
        <v>70</v>
      </c>
      <c r="B5" s="6">
        <v>76</v>
      </c>
      <c r="C5" s="19">
        <f>B5/$B$7</f>
        <v>0.13309982486865149</v>
      </c>
      <c r="D5" s="24">
        <v>2156500</v>
      </c>
      <c r="E5" s="21">
        <f t="shared" si="0"/>
        <v>28375</v>
      </c>
      <c r="G5" s="37"/>
      <c r="H5" s="37"/>
    </row>
    <row r="6" spans="1:10" x14ac:dyDescent="0.35">
      <c r="A6" s="22" t="s">
        <v>4648</v>
      </c>
      <c r="B6" s="6">
        <v>65</v>
      </c>
      <c r="C6" s="19">
        <f>B6/$B$7</f>
        <v>0.11383537653239929</v>
      </c>
      <c r="D6" s="24">
        <v>550700</v>
      </c>
      <c r="E6" s="21">
        <f t="shared" si="0"/>
        <v>8472.3076923076915</v>
      </c>
      <c r="G6" s="37"/>
    </row>
    <row r="7" spans="1:10" ht="15" thickBot="1" x14ac:dyDescent="0.4">
      <c r="A7" s="55" t="s">
        <v>633</v>
      </c>
      <c r="B7" s="56">
        <f>B2+B6</f>
        <v>571</v>
      </c>
      <c r="C7" s="56"/>
      <c r="D7" s="53">
        <f>D2+D6</f>
        <v>10543852</v>
      </c>
      <c r="E7" s="54">
        <f t="shared" si="0"/>
        <v>18465.590192644482</v>
      </c>
      <c r="G7" s="37"/>
    </row>
    <row r="9" spans="1:10" ht="15" thickBot="1" x14ac:dyDescent="0.4">
      <c r="G9" s="37"/>
    </row>
    <row r="10" spans="1:10" x14ac:dyDescent="0.35">
      <c r="A10" s="29" t="s">
        <v>4626</v>
      </c>
      <c r="B10" s="13" t="s">
        <v>4592</v>
      </c>
      <c r="C10" s="13" t="s">
        <v>4593</v>
      </c>
      <c r="D10" s="15" t="s">
        <v>4594</v>
      </c>
    </row>
    <row r="11" spans="1:10" x14ac:dyDescent="0.35">
      <c r="A11" s="22" t="s">
        <v>4627</v>
      </c>
      <c r="B11" s="6">
        <v>192</v>
      </c>
      <c r="C11" s="30"/>
      <c r="D11" s="31"/>
    </row>
    <row r="12" spans="1:10" x14ac:dyDescent="0.35">
      <c r="A12" s="22" t="s">
        <v>4626</v>
      </c>
      <c r="B12" s="30"/>
      <c r="C12" s="52">
        <v>0.94128874731661105</v>
      </c>
      <c r="D12" s="42">
        <v>4071180</v>
      </c>
    </row>
    <row r="13" spans="1:10" x14ac:dyDescent="0.35">
      <c r="A13" s="22" t="s">
        <v>4628</v>
      </c>
      <c r="B13" s="30"/>
      <c r="C13" s="52">
        <v>5.8711252683388893E-2</v>
      </c>
      <c r="D13" s="21">
        <v>253933</v>
      </c>
    </row>
    <row r="14" spans="1:10" x14ac:dyDescent="0.35">
      <c r="A14" s="22" t="s">
        <v>4629</v>
      </c>
      <c r="B14" s="30"/>
      <c r="C14" s="23">
        <v>8.5362166207862383E-2</v>
      </c>
      <c r="D14" s="21">
        <v>296255</v>
      </c>
    </row>
    <row r="15" spans="1:10" x14ac:dyDescent="0.35">
      <c r="A15" s="22" t="s">
        <v>4630</v>
      </c>
      <c r="B15" s="30"/>
      <c r="C15" s="30"/>
      <c r="D15" s="21">
        <v>3470565</v>
      </c>
    </row>
    <row r="16" spans="1:10" x14ac:dyDescent="0.35">
      <c r="A16" s="22" t="s">
        <v>4631</v>
      </c>
      <c r="B16" s="6">
        <v>18</v>
      </c>
      <c r="C16" s="23">
        <v>9.375E-2</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4"/>
  <dimension ref="A1:J18"/>
  <sheetViews>
    <sheetView workbookViewId="0">
      <selection activeCell="G15" sqref="G15"/>
    </sheetView>
  </sheetViews>
  <sheetFormatPr defaultColWidth="9.1796875" defaultRowHeight="14.5" x14ac:dyDescent="0.35"/>
  <cols>
    <col min="1" max="1" width="30.453125" customWidth="1"/>
    <col min="2" max="3" width="11.453125" customWidth="1"/>
    <col min="4" max="4" width="15.81640625" customWidth="1"/>
    <col min="5" max="5" width="18" bestFit="1" customWidth="1"/>
    <col min="7" max="8"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503</v>
      </c>
      <c r="C2" s="19">
        <f>B2/$B$7</f>
        <v>0.8871252204585538</v>
      </c>
      <c r="D2" s="20">
        <f>SUM(D3:D5)</f>
        <v>9888152</v>
      </c>
      <c r="E2" s="21">
        <f t="shared" ref="E2:E7" si="0">D2/B2</f>
        <v>19658.353876739562</v>
      </c>
      <c r="G2" s="37"/>
    </row>
    <row r="3" spans="1:10" x14ac:dyDescent="0.35">
      <c r="A3" s="22" t="s">
        <v>13</v>
      </c>
      <c r="B3" s="6">
        <v>406</v>
      </c>
      <c r="C3" s="19">
        <f>B3/$B$7</f>
        <v>0.71604938271604934</v>
      </c>
      <c r="D3" s="24">
        <v>7459652</v>
      </c>
      <c r="E3" s="21">
        <f t="shared" si="0"/>
        <v>18373.527093596058</v>
      </c>
      <c r="G3" s="37"/>
    </row>
    <row r="4" spans="1:10" x14ac:dyDescent="0.35">
      <c r="A4" s="22" t="s">
        <v>55</v>
      </c>
      <c r="B4" s="6">
        <v>21</v>
      </c>
      <c r="C4" s="19">
        <f>B4/$B$7</f>
        <v>3.7037037037037035E-2</v>
      </c>
      <c r="D4" s="24">
        <v>272000</v>
      </c>
      <c r="E4" s="21">
        <f t="shared" si="0"/>
        <v>12952.380952380952</v>
      </c>
      <c r="G4" s="37"/>
    </row>
    <row r="5" spans="1:10" x14ac:dyDescent="0.35">
      <c r="A5" s="22" t="s">
        <v>70</v>
      </c>
      <c r="B5" s="6">
        <v>76</v>
      </c>
      <c r="C5" s="19">
        <f>B5/$B$7</f>
        <v>0.13403880070546736</v>
      </c>
      <c r="D5" s="24">
        <v>2156500</v>
      </c>
      <c r="E5" s="21">
        <f t="shared" si="0"/>
        <v>28375</v>
      </c>
      <c r="G5" s="37"/>
      <c r="H5" s="37"/>
    </row>
    <row r="6" spans="1:10" x14ac:dyDescent="0.35">
      <c r="A6" s="22" t="s">
        <v>4648</v>
      </c>
      <c r="B6" s="6">
        <v>64</v>
      </c>
      <c r="C6" s="19">
        <f>B6/$B$7</f>
        <v>0.1128747795414462</v>
      </c>
      <c r="D6" s="24">
        <v>546700</v>
      </c>
      <c r="E6" s="21">
        <f t="shared" si="0"/>
        <v>8542.1875</v>
      </c>
      <c r="G6" s="37"/>
    </row>
    <row r="7" spans="1:10" ht="15" thickBot="1" x14ac:dyDescent="0.4">
      <c r="A7" s="25" t="s">
        <v>633</v>
      </c>
      <c r="B7" s="26">
        <f>B2+B6</f>
        <v>567</v>
      </c>
      <c r="C7" s="26"/>
      <c r="D7" s="27">
        <f>D2+D6</f>
        <v>10434852</v>
      </c>
      <c r="E7" s="28">
        <f t="shared" si="0"/>
        <v>18403.619047619046</v>
      </c>
      <c r="G7" s="37"/>
    </row>
    <row r="9" spans="1:10" ht="15" thickBot="1" x14ac:dyDescent="0.4">
      <c r="G9" s="37"/>
    </row>
    <row r="10" spans="1:10" x14ac:dyDescent="0.35">
      <c r="A10" s="29" t="s">
        <v>4626</v>
      </c>
      <c r="B10" s="13" t="s">
        <v>4592</v>
      </c>
      <c r="C10" s="13" t="s">
        <v>4593</v>
      </c>
      <c r="D10" s="15" t="s">
        <v>4594</v>
      </c>
    </row>
    <row r="11" spans="1:10" x14ac:dyDescent="0.35">
      <c r="A11" s="22" t="s">
        <v>4627</v>
      </c>
      <c r="B11" s="6">
        <v>196</v>
      </c>
      <c r="C11" s="30"/>
      <c r="D11" s="31"/>
    </row>
    <row r="12" spans="1:10" x14ac:dyDescent="0.35">
      <c r="A12" s="22" t="s">
        <v>4626</v>
      </c>
      <c r="B12" s="30"/>
      <c r="C12" s="23">
        <v>0.95060587330838109</v>
      </c>
      <c r="D12" s="42">
        <v>3986476</v>
      </c>
    </row>
    <row r="13" spans="1:10" x14ac:dyDescent="0.35">
      <c r="A13" s="22" t="s">
        <v>4628</v>
      </c>
      <c r="B13" s="30"/>
      <c r="C13" s="23">
        <v>4.9394126691618877E-2</v>
      </c>
      <c r="D13" s="21">
        <v>207140</v>
      </c>
    </row>
    <row r="14" spans="1:10" x14ac:dyDescent="0.35">
      <c r="A14" s="22" t="s">
        <v>4629</v>
      </c>
      <c r="B14" s="30"/>
      <c r="C14" s="23">
        <v>6.9836450185658511E-2</v>
      </c>
      <c r="D14" s="21">
        <v>248568</v>
      </c>
    </row>
    <row r="15" spans="1:10" x14ac:dyDescent="0.35">
      <c r="A15" s="22" t="s">
        <v>4630</v>
      </c>
      <c r="B15" s="30"/>
      <c r="C15" s="30"/>
      <c r="D15" s="21">
        <v>3559287.44</v>
      </c>
    </row>
    <row r="16" spans="1:10" x14ac:dyDescent="0.35">
      <c r="A16" s="22" t="s">
        <v>4631</v>
      </c>
      <c r="B16" s="6">
        <v>16</v>
      </c>
      <c r="C16" s="23">
        <v>0.09</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5"/>
  <dimension ref="A1:J18"/>
  <sheetViews>
    <sheetView workbookViewId="0">
      <selection activeCell="G12" sqref="G12"/>
    </sheetView>
  </sheetViews>
  <sheetFormatPr defaultColWidth="9.1796875" defaultRowHeight="14.5" x14ac:dyDescent="0.35"/>
  <cols>
    <col min="1" max="1" width="30.453125" customWidth="1"/>
    <col min="2" max="3" width="11.453125" customWidth="1"/>
    <col min="4" max="4" width="15.81640625" customWidth="1"/>
    <col min="5" max="5" width="18" bestFit="1" customWidth="1"/>
    <col min="7" max="8"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498</v>
      </c>
      <c r="C2" s="19">
        <f>B2/$B$7</f>
        <v>0.88612099644128117</v>
      </c>
      <c r="D2" s="20">
        <f>SUM(D3:D5)</f>
        <v>9663152</v>
      </c>
      <c r="E2" s="21">
        <f t="shared" ref="E2:E7" si="0">D2/B2</f>
        <v>19403.919678714861</v>
      </c>
      <c r="G2" s="37"/>
    </row>
    <row r="3" spans="1:10" x14ac:dyDescent="0.35">
      <c r="A3" s="22" t="s">
        <v>13</v>
      </c>
      <c r="B3" s="6">
        <v>403</v>
      </c>
      <c r="C3" s="19">
        <f>B3/$B$7</f>
        <v>0.7170818505338078</v>
      </c>
      <c r="D3" s="24">
        <v>7274652</v>
      </c>
      <c r="E3" s="21">
        <f t="shared" si="0"/>
        <v>18051.245657568237</v>
      </c>
      <c r="G3" s="37"/>
    </row>
    <row r="4" spans="1:10" x14ac:dyDescent="0.35">
      <c r="A4" s="22" t="s">
        <v>55</v>
      </c>
      <c r="B4" s="6">
        <v>20</v>
      </c>
      <c r="C4" s="19">
        <f>B4/$B$7</f>
        <v>3.5587188612099648E-2</v>
      </c>
      <c r="D4" s="24">
        <v>257000</v>
      </c>
      <c r="E4" s="21">
        <f t="shared" si="0"/>
        <v>12850</v>
      </c>
    </row>
    <row r="5" spans="1:10" x14ac:dyDescent="0.35">
      <c r="A5" s="22" t="s">
        <v>70</v>
      </c>
      <c r="B5" s="6">
        <v>75</v>
      </c>
      <c r="C5" s="19">
        <f>B5/$B$7</f>
        <v>0.13345195729537365</v>
      </c>
      <c r="D5" s="24">
        <v>2131500</v>
      </c>
      <c r="E5" s="21">
        <f t="shared" si="0"/>
        <v>28420</v>
      </c>
      <c r="G5" s="37"/>
      <c r="H5" s="37"/>
    </row>
    <row r="6" spans="1:10" x14ac:dyDescent="0.35">
      <c r="A6" s="22" t="s">
        <v>4648</v>
      </c>
      <c r="B6" s="6">
        <v>64</v>
      </c>
      <c r="C6" s="19">
        <f>B6/$B$7</f>
        <v>0.11387900355871886</v>
      </c>
      <c r="D6" s="24">
        <v>546700</v>
      </c>
      <c r="E6" s="21">
        <f t="shared" si="0"/>
        <v>8542.1875</v>
      </c>
      <c r="G6" s="37"/>
    </row>
    <row r="7" spans="1:10" ht="15" thickBot="1" x14ac:dyDescent="0.4">
      <c r="A7" s="25" t="s">
        <v>633</v>
      </c>
      <c r="B7" s="26">
        <f>B2+B6</f>
        <v>562</v>
      </c>
      <c r="C7" s="26"/>
      <c r="D7" s="27">
        <f>D2+D6</f>
        <v>10209852</v>
      </c>
      <c r="E7" s="28">
        <f t="shared" si="0"/>
        <v>18166.996441281139</v>
      </c>
      <c r="G7" s="37"/>
    </row>
    <row r="9" spans="1:10" ht="15" thickBot="1" x14ac:dyDescent="0.4"/>
    <row r="10" spans="1:10" x14ac:dyDescent="0.35">
      <c r="A10" s="29" t="s">
        <v>4626</v>
      </c>
      <c r="B10" s="13" t="s">
        <v>4592</v>
      </c>
      <c r="C10" s="13" t="s">
        <v>4593</v>
      </c>
      <c r="D10" s="15" t="s">
        <v>4594</v>
      </c>
    </row>
    <row r="11" spans="1:10" x14ac:dyDescent="0.35">
      <c r="A11" s="22" t="s">
        <v>4627</v>
      </c>
      <c r="B11" s="6">
        <v>190</v>
      </c>
      <c r="C11" s="30"/>
      <c r="D11" s="31"/>
    </row>
    <row r="12" spans="1:10" x14ac:dyDescent="0.35">
      <c r="A12" s="22" t="s">
        <v>4626</v>
      </c>
      <c r="B12" s="30"/>
      <c r="C12" s="23">
        <v>0.94854871205509061</v>
      </c>
      <c r="D12" s="21">
        <v>3991101.04</v>
      </c>
    </row>
    <row r="13" spans="1:10" x14ac:dyDescent="0.35">
      <c r="A13" s="22" t="s">
        <v>4628</v>
      </c>
      <c r="B13" s="30"/>
      <c r="C13" s="23">
        <v>5.1451287944909427E-2</v>
      </c>
      <c r="D13" s="21">
        <v>216485.76000000001</v>
      </c>
    </row>
    <row r="14" spans="1:10" x14ac:dyDescent="0.35">
      <c r="A14" s="22" t="s">
        <v>4629</v>
      </c>
      <c r="B14" s="30"/>
      <c r="C14" s="23">
        <v>7.5562834859836933E-2</v>
      </c>
      <c r="D14" s="21">
        <v>259782.91200000001</v>
      </c>
    </row>
    <row r="15" spans="1:10" x14ac:dyDescent="0.35">
      <c r="A15" s="22" t="s">
        <v>4630</v>
      </c>
      <c r="B15" s="30"/>
      <c r="C15" s="30"/>
      <c r="D15" s="21">
        <v>3437972.02</v>
      </c>
    </row>
    <row r="16" spans="1:10" x14ac:dyDescent="0.35">
      <c r="A16" s="22" t="s">
        <v>4631</v>
      </c>
      <c r="B16" s="6">
        <v>16</v>
      </c>
      <c r="C16" s="23">
        <v>0.09</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6"/>
  <dimension ref="A1:J18"/>
  <sheetViews>
    <sheetView workbookViewId="0">
      <selection activeCell="G12" sqref="G12"/>
    </sheetView>
  </sheetViews>
  <sheetFormatPr defaultColWidth="9.1796875" defaultRowHeight="14.5" x14ac:dyDescent="0.35"/>
  <cols>
    <col min="1" max="1" width="30.453125" customWidth="1"/>
    <col min="2" max="3" width="11.453125" customWidth="1"/>
    <col min="4" max="4" width="15.81640625" customWidth="1"/>
    <col min="5" max="5" width="18" bestFit="1" customWidth="1"/>
    <col min="7" max="8"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490</v>
      </c>
      <c r="C2" s="19">
        <f>B2/$B$7</f>
        <v>0.88607594936708856</v>
      </c>
      <c r="D2" s="20">
        <f>SUM(D3:D5)</f>
        <v>9444152</v>
      </c>
      <c r="E2" s="21">
        <f t="shared" ref="E2:E7" si="0">D2/B2</f>
        <v>19273.779591836734</v>
      </c>
      <c r="G2" s="37"/>
    </row>
    <row r="3" spans="1:10" x14ac:dyDescent="0.35">
      <c r="A3" s="22" t="s">
        <v>13</v>
      </c>
      <c r="B3" s="6">
        <v>399</v>
      </c>
      <c r="C3" s="19">
        <f>B3/$B$7</f>
        <v>0.72151898734177211</v>
      </c>
      <c r="D3" s="24">
        <v>7158652</v>
      </c>
      <c r="E3" s="21">
        <f t="shared" si="0"/>
        <v>17941.483709273183</v>
      </c>
      <c r="G3" s="37"/>
    </row>
    <row r="4" spans="1:10" x14ac:dyDescent="0.35">
      <c r="A4" s="22" t="s">
        <v>55</v>
      </c>
      <c r="B4" s="6">
        <v>20</v>
      </c>
      <c r="C4" s="19">
        <f>B4/$B$7</f>
        <v>3.6166365280289332E-2</v>
      </c>
      <c r="D4" s="24">
        <v>257000</v>
      </c>
      <c r="E4" s="21">
        <f t="shared" si="0"/>
        <v>12850</v>
      </c>
    </row>
    <row r="5" spans="1:10" x14ac:dyDescent="0.35">
      <c r="A5" s="22" t="s">
        <v>70</v>
      </c>
      <c r="B5" s="6">
        <v>71</v>
      </c>
      <c r="C5" s="19">
        <f>B5/$B$7</f>
        <v>0.12839059674502712</v>
      </c>
      <c r="D5" s="24">
        <v>2028500</v>
      </c>
      <c r="E5" s="21">
        <f t="shared" si="0"/>
        <v>28570.422535211266</v>
      </c>
      <c r="H5" s="37"/>
    </row>
    <row r="6" spans="1:10" x14ac:dyDescent="0.35">
      <c r="A6" s="22" t="s">
        <v>4648</v>
      </c>
      <c r="B6" s="6">
        <v>63</v>
      </c>
      <c r="C6" s="19">
        <f>B6/$B$7</f>
        <v>0.11392405063291139</v>
      </c>
      <c r="D6" s="24">
        <v>540700</v>
      </c>
      <c r="E6" s="21">
        <f t="shared" si="0"/>
        <v>8582.539682539682</v>
      </c>
      <c r="G6" s="37"/>
    </row>
    <row r="7" spans="1:10" ht="15" thickBot="1" x14ac:dyDescent="0.4">
      <c r="A7" s="25" t="s">
        <v>633</v>
      </c>
      <c r="B7" s="26">
        <f>B2+B6</f>
        <v>553</v>
      </c>
      <c r="C7" s="26"/>
      <c r="D7" s="27">
        <f>D2+D6</f>
        <v>9984852</v>
      </c>
      <c r="E7" s="28">
        <f t="shared" si="0"/>
        <v>18055.790235081375</v>
      </c>
    </row>
    <row r="9" spans="1:10" ht="15" thickBot="1" x14ac:dyDescent="0.4"/>
    <row r="10" spans="1:10" x14ac:dyDescent="0.35">
      <c r="A10" s="29" t="s">
        <v>4626</v>
      </c>
      <c r="B10" s="13" t="s">
        <v>4592</v>
      </c>
      <c r="C10" s="13" t="s">
        <v>4593</v>
      </c>
      <c r="D10" s="15" t="s">
        <v>4594</v>
      </c>
    </row>
    <row r="11" spans="1:10" x14ac:dyDescent="0.35">
      <c r="A11" s="22" t="s">
        <v>4627</v>
      </c>
      <c r="B11" s="6">
        <v>183</v>
      </c>
      <c r="C11" s="30"/>
      <c r="D11" s="31"/>
    </row>
    <row r="12" spans="1:10" x14ac:dyDescent="0.35">
      <c r="A12" s="22" t="s">
        <v>4626</v>
      </c>
      <c r="B12" s="30"/>
      <c r="C12" s="51">
        <v>0.95</v>
      </c>
      <c r="D12" s="21">
        <v>3922646</v>
      </c>
    </row>
    <row r="13" spans="1:10" x14ac:dyDescent="0.35">
      <c r="A13" s="22" t="s">
        <v>4628</v>
      </c>
      <c r="B13" s="30"/>
      <c r="C13" s="51">
        <v>0.05</v>
      </c>
      <c r="D13" s="21">
        <v>222646</v>
      </c>
    </row>
    <row r="14" spans="1:10" x14ac:dyDescent="0.35">
      <c r="A14" s="22" t="s">
        <v>4629</v>
      </c>
      <c r="B14" s="30"/>
      <c r="C14" s="51">
        <v>0.08</v>
      </c>
      <c r="D14" s="21">
        <v>277614</v>
      </c>
    </row>
    <row r="15" spans="1:10" x14ac:dyDescent="0.35">
      <c r="A15" s="22" t="s">
        <v>4630</v>
      </c>
      <c r="B15" s="30"/>
      <c r="C15" s="30"/>
      <c r="D15" s="21">
        <v>3542474</v>
      </c>
    </row>
    <row r="16" spans="1:10" x14ac:dyDescent="0.35">
      <c r="A16" s="22" t="s">
        <v>4631</v>
      </c>
      <c r="B16" s="6">
        <v>16</v>
      </c>
      <c r="C16" s="23">
        <v>0.09</v>
      </c>
      <c r="D16" s="32"/>
    </row>
    <row r="17" spans="1:6" x14ac:dyDescent="0.35">
      <c r="A17" s="22" t="s">
        <v>4632</v>
      </c>
      <c r="B17" s="33"/>
      <c r="C17" s="23">
        <v>0.24</v>
      </c>
      <c r="D17" s="32"/>
      <c r="F17" s="34"/>
    </row>
    <row r="18" spans="1:6" ht="15" thickBot="1" x14ac:dyDescent="0.4">
      <c r="A18" s="35" t="s">
        <v>4633</v>
      </c>
      <c r="B18" s="26">
        <v>14</v>
      </c>
      <c r="C18" s="36">
        <v>0.02</v>
      </c>
      <c r="D18" s="28">
        <v>50707</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7"/>
  <dimension ref="A1:J18"/>
  <sheetViews>
    <sheetView workbookViewId="0">
      <selection activeCell="G12" sqref="G12"/>
    </sheetView>
  </sheetViews>
  <sheetFormatPr defaultColWidth="9.1796875" defaultRowHeight="14.5" x14ac:dyDescent="0.35"/>
  <cols>
    <col min="1" max="1" width="30.453125" customWidth="1"/>
    <col min="2" max="3" width="11.453125" customWidth="1"/>
    <col min="4" max="4" width="15.81640625" customWidth="1"/>
    <col min="5" max="5" width="18" bestFit="1" customWidth="1"/>
    <col min="7" max="8"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487</v>
      </c>
      <c r="C2" s="19">
        <f>B2/$B$7</f>
        <v>0.8870673952641166</v>
      </c>
      <c r="D2" s="20">
        <f>SUM(D3:D5)</f>
        <v>9344152</v>
      </c>
      <c r="E2" s="21">
        <f t="shared" ref="E2:E7" si="0">D2/B2</f>
        <v>19187.1704312115</v>
      </c>
      <c r="G2" s="37"/>
    </row>
    <row r="3" spans="1:10" x14ac:dyDescent="0.35">
      <c r="A3" s="22" t="s">
        <v>13</v>
      </c>
      <c r="B3" s="6">
        <v>396</v>
      </c>
      <c r="C3" s="19">
        <f>B3/$B$7</f>
        <v>0.72131147540983609</v>
      </c>
      <c r="D3" s="24">
        <v>7058652</v>
      </c>
      <c r="E3" s="21">
        <f t="shared" si="0"/>
        <v>17824.878787878788</v>
      </c>
      <c r="G3" s="37"/>
    </row>
    <row r="4" spans="1:10" x14ac:dyDescent="0.35">
      <c r="A4" s="22" t="s">
        <v>55</v>
      </c>
      <c r="B4" s="6">
        <v>20</v>
      </c>
      <c r="C4" s="19">
        <f>B4/$B$7</f>
        <v>3.6429872495446269E-2</v>
      </c>
      <c r="D4" s="24">
        <v>257000</v>
      </c>
      <c r="E4" s="21">
        <f t="shared" si="0"/>
        <v>12850</v>
      </c>
    </row>
    <row r="5" spans="1:10" x14ac:dyDescent="0.35">
      <c r="A5" s="22" t="s">
        <v>70</v>
      </c>
      <c r="B5" s="6">
        <v>71</v>
      </c>
      <c r="C5" s="19">
        <f>B5/$B$7</f>
        <v>0.12932604735883424</v>
      </c>
      <c r="D5" s="24">
        <v>2028500</v>
      </c>
      <c r="E5" s="21">
        <f t="shared" si="0"/>
        <v>28570.422535211266</v>
      </c>
      <c r="H5" s="37"/>
    </row>
    <row r="6" spans="1:10" x14ac:dyDescent="0.35">
      <c r="A6" s="22" t="s">
        <v>4648</v>
      </c>
      <c r="B6" s="6">
        <v>62</v>
      </c>
      <c r="C6" s="19">
        <f>B6/$B$7</f>
        <v>0.11293260473588343</v>
      </c>
      <c r="D6" s="24">
        <v>534700</v>
      </c>
      <c r="E6" s="21">
        <f t="shared" si="0"/>
        <v>8624.1935483870966</v>
      </c>
    </row>
    <row r="7" spans="1:10" ht="15" thickBot="1" x14ac:dyDescent="0.4">
      <c r="A7" s="25" t="s">
        <v>633</v>
      </c>
      <c r="B7" s="26">
        <f>B2+B6</f>
        <v>549</v>
      </c>
      <c r="C7" s="26"/>
      <c r="D7" s="27">
        <f>D2+D6</f>
        <v>9878852</v>
      </c>
      <c r="E7" s="28">
        <f t="shared" si="0"/>
        <v>17994.265938069217</v>
      </c>
    </row>
    <row r="9" spans="1:10" ht="15" thickBot="1" x14ac:dyDescent="0.4"/>
    <row r="10" spans="1:10" x14ac:dyDescent="0.35">
      <c r="A10" s="29" t="s">
        <v>4626</v>
      </c>
      <c r="B10" s="13" t="s">
        <v>4592</v>
      </c>
      <c r="C10" s="13" t="s">
        <v>4593</v>
      </c>
      <c r="D10" s="15" t="s">
        <v>4594</v>
      </c>
    </row>
    <row r="11" spans="1:10" x14ac:dyDescent="0.35">
      <c r="A11" s="22" t="s">
        <v>4627</v>
      </c>
      <c r="B11" s="6">
        <v>186</v>
      </c>
      <c r="C11" s="30"/>
      <c r="D11" s="31"/>
    </row>
    <row r="12" spans="1:10" x14ac:dyDescent="0.35">
      <c r="A12" s="22" t="s">
        <v>4626</v>
      </c>
      <c r="B12" s="30"/>
      <c r="C12" s="23">
        <v>0.94</v>
      </c>
      <c r="D12" s="21">
        <v>3896766</v>
      </c>
    </row>
    <row r="13" spans="1:10" x14ac:dyDescent="0.35">
      <c r="A13" s="22" t="s">
        <v>4628</v>
      </c>
      <c r="B13" s="30"/>
      <c r="C13" s="23">
        <v>0.06</v>
      </c>
      <c r="D13" s="21">
        <v>237955</v>
      </c>
    </row>
    <row r="14" spans="1:10" x14ac:dyDescent="0.35">
      <c r="A14" s="22" t="s">
        <v>4629</v>
      </c>
      <c r="B14" s="30"/>
      <c r="C14" s="23">
        <v>0.08</v>
      </c>
      <c r="D14" s="21">
        <v>277614</v>
      </c>
    </row>
    <row r="15" spans="1:10" x14ac:dyDescent="0.35">
      <c r="A15" s="22" t="s">
        <v>4630</v>
      </c>
      <c r="B15" s="30"/>
      <c r="C15" s="30"/>
      <c r="D15" s="21">
        <v>3576746</v>
      </c>
    </row>
    <row r="16" spans="1:10" x14ac:dyDescent="0.35">
      <c r="A16" s="22" t="s">
        <v>4631</v>
      </c>
      <c r="B16" s="6">
        <v>16</v>
      </c>
      <c r="C16" s="23">
        <v>0.09</v>
      </c>
      <c r="D16" s="32"/>
    </row>
    <row r="17" spans="1:6" x14ac:dyDescent="0.35">
      <c r="A17" s="22" t="s">
        <v>4632</v>
      </c>
      <c r="B17" s="33"/>
      <c r="C17" s="23">
        <v>0.24</v>
      </c>
      <c r="D17" s="32"/>
      <c r="F17" s="34"/>
    </row>
    <row r="18" spans="1:6" ht="15" thickBot="1" x14ac:dyDescent="0.4">
      <c r="A18" s="35" t="s">
        <v>4633</v>
      </c>
      <c r="B18" s="26">
        <v>14</v>
      </c>
      <c r="C18" s="36">
        <v>0.02</v>
      </c>
      <c r="D18" s="28">
        <v>50707</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8"/>
  <dimension ref="A1:J18"/>
  <sheetViews>
    <sheetView workbookViewId="0">
      <selection activeCell="G12" sqref="G12"/>
    </sheetView>
  </sheetViews>
  <sheetFormatPr defaultColWidth="9.1796875" defaultRowHeight="14.5" x14ac:dyDescent="0.35"/>
  <cols>
    <col min="1" max="1" width="30.453125" customWidth="1"/>
    <col min="2" max="3" width="11.453125" customWidth="1"/>
    <col min="4" max="4" width="15.81640625" customWidth="1"/>
    <col min="5" max="5" width="18" bestFit="1" customWidth="1"/>
    <col min="7" max="8"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483</v>
      </c>
      <c r="C2" s="19">
        <f>B2/$B$7</f>
        <v>0.88623853211009174</v>
      </c>
      <c r="D2" s="20">
        <f>SUM(D3:D5)</f>
        <v>9281152</v>
      </c>
      <c r="E2" s="21">
        <f t="shared" ref="E2:E7" si="0">D2/B2</f>
        <v>19215.635610766047</v>
      </c>
      <c r="G2" s="37"/>
    </row>
    <row r="3" spans="1:10" x14ac:dyDescent="0.35">
      <c r="A3" s="22" t="s">
        <v>13</v>
      </c>
      <c r="B3" s="6">
        <v>392</v>
      </c>
      <c r="C3" s="19">
        <f>B3/$B$7</f>
        <v>0.7192660550458716</v>
      </c>
      <c r="D3" s="24">
        <v>6995652</v>
      </c>
      <c r="E3" s="21">
        <f t="shared" si="0"/>
        <v>17846.051020408162</v>
      </c>
      <c r="G3" s="37"/>
    </row>
    <row r="4" spans="1:10" x14ac:dyDescent="0.35">
      <c r="A4" s="22" t="s">
        <v>55</v>
      </c>
      <c r="B4" s="6">
        <v>20</v>
      </c>
      <c r="C4" s="19">
        <f>B4/$B$7</f>
        <v>3.669724770642202E-2</v>
      </c>
      <c r="D4" s="24">
        <v>257000</v>
      </c>
      <c r="E4" s="21">
        <f t="shared" si="0"/>
        <v>12850</v>
      </c>
    </row>
    <row r="5" spans="1:10" x14ac:dyDescent="0.35">
      <c r="A5" s="22" t="s">
        <v>70</v>
      </c>
      <c r="B5" s="6">
        <v>71</v>
      </c>
      <c r="C5" s="19">
        <f>B5/$B$7</f>
        <v>0.13027522935779817</v>
      </c>
      <c r="D5" s="24">
        <v>2028500</v>
      </c>
      <c r="E5" s="21">
        <f t="shared" si="0"/>
        <v>28570.422535211266</v>
      </c>
    </row>
    <row r="6" spans="1:10" x14ac:dyDescent="0.35">
      <c r="A6" s="22" t="s">
        <v>4648</v>
      </c>
      <c r="B6" s="6">
        <v>62</v>
      </c>
      <c r="C6" s="19">
        <f>B6/$B$7</f>
        <v>0.11376146788990826</v>
      </c>
      <c r="D6" s="24">
        <v>534700</v>
      </c>
      <c r="E6" s="21">
        <f t="shared" si="0"/>
        <v>8624.1935483870966</v>
      </c>
    </row>
    <row r="7" spans="1:10" ht="15" thickBot="1" x14ac:dyDescent="0.4">
      <c r="A7" s="25" t="s">
        <v>633</v>
      </c>
      <c r="B7" s="26">
        <f>B2+B6</f>
        <v>545</v>
      </c>
      <c r="C7" s="26"/>
      <c r="D7" s="27">
        <f>D2+D6</f>
        <v>9815852</v>
      </c>
      <c r="E7" s="28">
        <f t="shared" si="0"/>
        <v>18010.737614678899</v>
      </c>
    </row>
    <row r="9" spans="1:10" ht="15" thickBot="1" x14ac:dyDescent="0.4"/>
    <row r="10" spans="1:10" x14ac:dyDescent="0.35">
      <c r="A10" s="29" t="s">
        <v>4626</v>
      </c>
      <c r="B10" s="13" t="s">
        <v>4592</v>
      </c>
      <c r="C10" s="13" t="s">
        <v>4593</v>
      </c>
      <c r="D10" s="15" t="s">
        <v>4594</v>
      </c>
    </row>
    <row r="11" spans="1:10" x14ac:dyDescent="0.35">
      <c r="A11" s="22" t="s">
        <v>4627</v>
      </c>
      <c r="B11" s="6">
        <v>183</v>
      </c>
      <c r="C11" s="30"/>
      <c r="D11" s="31"/>
    </row>
    <row r="12" spans="1:10" x14ac:dyDescent="0.35">
      <c r="A12" s="22" t="s">
        <v>4626</v>
      </c>
      <c r="B12" s="30"/>
      <c r="C12" s="23">
        <v>0.94</v>
      </c>
      <c r="D12" s="21">
        <v>3821074.63</v>
      </c>
    </row>
    <row r="13" spans="1:10" x14ac:dyDescent="0.35">
      <c r="A13" s="22" t="s">
        <v>4628</v>
      </c>
      <c r="B13" s="30"/>
      <c r="C13" s="23">
        <v>0.06</v>
      </c>
      <c r="D13" s="21">
        <v>234862.93</v>
      </c>
    </row>
    <row r="14" spans="1:10" x14ac:dyDescent="0.35">
      <c r="A14" s="22" t="s">
        <v>4629</v>
      </c>
      <c r="B14" s="30"/>
      <c r="C14" s="23">
        <v>7.0000000000000007E-2</v>
      </c>
      <c r="D14" s="21">
        <v>274006.75</v>
      </c>
    </row>
    <row r="15" spans="1:10" x14ac:dyDescent="0.35">
      <c r="A15" s="22" t="s">
        <v>4630</v>
      </c>
      <c r="B15" s="30"/>
      <c r="C15" s="30"/>
      <c r="D15" s="21">
        <v>3573296.85</v>
      </c>
    </row>
    <row r="16" spans="1:10" x14ac:dyDescent="0.35">
      <c r="A16" s="22" t="s">
        <v>4631</v>
      </c>
      <c r="B16" s="6">
        <v>16</v>
      </c>
      <c r="C16" s="23">
        <v>0.09</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9"/>
  <dimension ref="A1:J18"/>
  <sheetViews>
    <sheetView workbookViewId="0">
      <selection activeCell="G12" sqref="G12"/>
    </sheetView>
  </sheetViews>
  <sheetFormatPr defaultColWidth="9.1796875" defaultRowHeight="14.5" x14ac:dyDescent="0.35"/>
  <cols>
    <col min="1" max="1" width="30.453125" customWidth="1"/>
    <col min="2" max="3" width="11.453125" customWidth="1"/>
    <col min="4" max="4" width="15.81640625" customWidth="1"/>
    <col min="5" max="5" width="18" bestFit="1" customWidth="1"/>
    <col min="7" max="8"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482</v>
      </c>
      <c r="C2" s="19">
        <f>B2/$B$7</f>
        <v>0.88602941176470584</v>
      </c>
      <c r="D2" s="20">
        <f>SUM(D3:D5)</f>
        <v>9201152</v>
      </c>
      <c r="E2" s="21">
        <f t="shared" ref="E2:E7" si="0">D2/B2</f>
        <v>19089.526970954357</v>
      </c>
    </row>
    <row r="3" spans="1:10" x14ac:dyDescent="0.35">
      <c r="A3" s="22" t="s">
        <v>13</v>
      </c>
      <c r="B3" s="6">
        <v>391</v>
      </c>
      <c r="C3" s="19">
        <f>B3/$B$7</f>
        <v>0.71875</v>
      </c>
      <c r="D3" s="24">
        <v>6915652</v>
      </c>
      <c r="E3" s="21">
        <f t="shared" si="0"/>
        <v>17687.089514066498</v>
      </c>
      <c r="G3" s="37"/>
    </row>
    <row r="4" spans="1:10" x14ac:dyDescent="0.35">
      <c r="A4" s="22" t="s">
        <v>55</v>
      </c>
      <c r="B4" s="6">
        <v>20</v>
      </c>
      <c r="C4" s="19">
        <f>B4/$B$7</f>
        <v>3.6764705882352942E-2</v>
      </c>
      <c r="D4" s="24">
        <v>257000</v>
      </c>
      <c r="E4" s="21">
        <f t="shared" si="0"/>
        <v>12850</v>
      </c>
    </row>
    <row r="5" spans="1:10" x14ac:dyDescent="0.35">
      <c r="A5" s="22" t="s">
        <v>70</v>
      </c>
      <c r="B5" s="6">
        <v>71</v>
      </c>
      <c r="C5" s="19">
        <f>B5/$B$7</f>
        <v>0.13051470588235295</v>
      </c>
      <c r="D5" s="24">
        <v>2028500</v>
      </c>
      <c r="E5" s="21">
        <f t="shared" si="0"/>
        <v>28570.422535211266</v>
      </c>
    </row>
    <row r="6" spans="1:10" x14ac:dyDescent="0.35">
      <c r="A6" s="22" t="s">
        <v>4648</v>
      </c>
      <c r="B6" s="6">
        <v>62</v>
      </c>
      <c r="C6" s="19">
        <f>B6/$B$7</f>
        <v>0.11397058823529412</v>
      </c>
      <c r="D6" s="24">
        <v>534700</v>
      </c>
      <c r="E6" s="21">
        <f t="shared" si="0"/>
        <v>8624.1935483870966</v>
      </c>
    </row>
    <row r="7" spans="1:10" ht="15" thickBot="1" x14ac:dyDescent="0.4">
      <c r="A7" s="25" t="s">
        <v>633</v>
      </c>
      <c r="B7" s="26">
        <f>B2+B6</f>
        <v>544</v>
      </c>
      <c r="C7" s="26"/>
      <c r="D7" s="27">
        <f>D2+D6</f>
        <v>9735852</v>
      </c>
      <c r="E7" s="28">
        <f t="shared" si="0"/>
        <v>17896.786764705881</v>
      </c>
    </row>
    <row r="9" spans="1:10" ht="15" thickBot="1" x14ac:dyDescent="0.4"/>
    <row r="10" spans="1:10" x14ac:dyDescent="0.35">
      <c r="A10" s="29" t="s">
        <v>4626</v>
      </c>
      <c r="B10" s="13" t="s">
        <v>4592</v>
      </c>
      <c r="C10" s="13" t="s">
        <v>4593</v>
      </c>
      <c r="D10" s="15" t="s">
        <v>4594</v>
      </c>
    </row>
    <row r="11" spans="1:10" x14ac:dyDescent="0.35">
      <c r="A11" s="22" t="s">
        <v>4627</v>
      </c>
      <c r="B11" s="6">
        <v>183</v>
      </c>
      <c r="C11" s="30"/>
      <c r="D11" s="31"/>
    </row>
    <row r="12" spans="1:10" x14ac:dyDescent="0.35">
      <c r="A12" s="22" t="s">
        <v>4626</v>
      </c>
      <c r="B12" s="30"/>
      <c r="C12" s="23">
        <v>0.93</v>
      </c>
      <c r="D12" s="21">
        <v>3552264.38</v>
      </c>
    </row>
    <row r="13" spans="1:10" x14ac:dyDescent="0.35">
      <c r="A13" s="22" t="s">
        <v>4628</v>
      </c>
      <c r="B13" s="30"/>
      <c r="C13" s="23">
        <v>0.05</v>
      </c>
      <c r="D13" s="21">
        <v>206294</v>
      </c>
    </row>
    <row r="14" spans="1:10" x14ac:dyDescent="0.35">
      <c r="A14" s="22" t="s">
        <v>4629</v>
      </c>
      <c r="B14" s="30"/>
      <c r="C14" s="23">
        <v>7.0000000000000007E-2</v>
      </c>
      <c r="D14" s="21">
        <v>281059</v>
      </c>
    </row>
    <row r="15" spans="1:10" x14ac:dyDescent="0.35">
      <c r="A15" s="22" t="s">
        <v>4630</v>
      </c>
      <c r="B15" s="30"/>
      <c r="C15" s="30"/>
      <c r="D15" s="21">
        <v>3805134.9100000015</v>
      </c>
    </row>
    <row r="16" spans="1:10" x14ac:dyDescent="0.35">
      <c r="A16" s="22" t="s">
        <v>4631</v>
      </c>
      <c r="B16" s="6">
        <v>16</v>
      </c>
      <c r="C16" s="23">
        <v>0.09</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0"/>
  <dimension ref="A1:J18"/>
  <sheetViews>
    <sheetView workbookViewId="0">
      <selection activeCell="G12" sqref="G12"/>
    </sheetView>
  </sheetViews>
  <sheetFormatPr defaultColWidth="9.1796875" defaultRowHeight="14.5" x14ac:dyDescent="0.35"/>
  <cols>
    <col min="1" max="1" width="30.453125" customWidth="1"/>
    <col min="2" max="3" width="11.453125" customWidth="1"/>
    <col min="4" max="4" width="15.81640625" customWidth="1"/>
    <col min="5" max="5" width="18" bestFit="1" customWidth="1"/>
    <col min="7" max="7"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476</v>
      </c>
      <c r="C2" s="19">
        <f>B2/$B$7</f>
        <v>0.88475836431226762</v>
      </c>
      <c r="D2" s="20">
        <f>SUM(D3:D5)</f>
        <v>9066152</v>
      </c>
      <c r="E2" s="21">
        <f t="shared" ref="E2:E7" si="0">D2/B2</f>
        <v>19046.537815126052</v>
      </c>
    </row>
    <row r="3" spans="1:10" x14ac:dyDescent="0.35">
      <c r="A3" s="22" t="s">
        <v>13</v>
      </c>
      <c r="B3" s="6">
        <v>386</v>
      </c>
      <c r="C3" s="19">
        <f>B3/$B$7</f>
        <v>0.71747211895910779</v>
      </c>
      <c r="D3" s="24">
        <v>6830652</v>
      </c>
      <c r="E3" s="21">
        <f t="shared" si="0"/>
        <v>17695.989637305698</v>
      </c>
      <c r="G3" s="37"/>
    </row>
    <row r="4" spans="1:10" x14ac:dyDescent="0.35">
      <c r="A4" s="22" t="s">
        <v>55</v>
      </c>
      <c r="B4" s="6">
        <v>20</v>
      </c>
      <c r="C4" s="19">
        <f>B4/$B$7</f>
        <v>3.717472118959108E-2</v>
      </c>
      <c r="D4" s="24">
        <v>257000</v>
      </c>
      <c r="E4" s="21">
        <f t="shared" si="0"/>
        <v>12850</v>
      </c>
    </row>
    <row r="5" spans="1:10" x14ac:dyDescent="0.35">
      <c r="A5" s="22" t="s">
        <v>70</v>
      </c>
      <c r="B5" s="6">
        <v>70</v>
      </c>
      <c r="C5" s="19">
        <f>B5/$B$7</f>
        <v>0.13011152416356878</v>
      </c>
      <c r="D5" s="24">
        <v>1978500</v>
      </c>
      <c r="E5" s="21">
        <f t="shared" si="0"/>
        <v>28264.285714285714</v>
      </c>
    </row>
    <row r="6" spans="1:10" x14ac:dyDescent="0.35">
      <c r="A6" s="22" t="s">
        <v>4648</v>
      </c>
      <c r="B6" s="6">
        <v>62</v>
      </c>
      <c r="C6" s="19">
        <f>B6/$B$7</f>
        <v>0.11524163568773234</v>
      </c>
      <c r="D6" s="24">
        <v>534700</v>
      </c>
      <c r="E6" s="21">
        <f t="shared" si="0"/>
        <v>8624.1935483870966</v>
      </c>
    </row>
    <row r="7" spans="1:10" ht="15" thickBot="1" x14ac:dyDescent="0.4">
      <c r="A7" s="25" t="s">
        <v>633</v>
      </c>
      <c r="B7" s="26">
        <f>B2+B6</f>
        <v>538</v>
      </c>
      <c r="C7" s="26"/>
      <c r="D7" s="27">
        <f>D2+D6</f>
        <v>9600852</v>
      </c>
      <c r="E7" s="28">
        <f t="shared" si="0"/>
        <v>17845.449814126394</v>
      </c>
    </row>
    <row r="9" spans="1:10" ht="15" thickBot="1" x14ac:dyDescent="0.4"/>
    <row r="10" spans="1:10" x14ac:dyDescent="0.35">
      <c r="A10" s="29" t="s">
        <v>4626</v>
      </c>
      <c r="B10" s="13" t="s">
        <v>4592</v>
      </c>
      <c r="C10" s="13" t="s">
        <v>4593</v>
      </c>
      <c r="D10" s="15" t="s">
        <v>4594</v>
      </c>
    </row>
    <row r="11" spans="1:10" x14ac:dyDescent="0.35">
      <c r="A11" s="22" t="s">
        <v>4627</v>
      </c>
      <c r="B11" s="6">
        <v>175</v>
      </c>
      <c r="C11" s="30"/>
      <c r="D11" s="31"/>
    </row>
    <row r="12" spans="1:10" x14ac:dyDescent="0.35">
      <c r="A12" s="22" t="s">
        <v>4626</v>
      </c>
      <c r="B12" s="30"/>
      <c r="C12" s="23">
        <v>0.93</v>
      </c>
      <c r="D12" s="42">
        <v>3375657.68</v>
      </c>
    </row>
    <row r="13" spans="1:10" x14ac:dyDescent="0.35">
      <c r="A13" s="22" t="s">
        <v>4628</v>
      </c>
      <c r="B13" s="30"/>
      <c r="C13" s="23">
        <v>0.05</v>
      </c>
      <c r="D13" s="21">
        <v>199479</v>
      </c>
    </row>
    <row r="14" spans="1:10" x14ac:dyDescent="0.35">
      <c r="A14" s="22" t="s">
        <v>4629</v>
      </c>
      <c r="B14" s="30"/>
      <c r="C14" s="23">
        <v>7.0000000000000007E-2</v>
      </c>
      <c r="D14" s="21">
        <v>275958</v>
      </c>
    </row>
    <row r="15" spans="1:10" x14ac:dyDescent="0.35">
      <c r="A15" s="22" t="s">
        <v>4630</v>
      </c>
      <c r="B15" s="30"/>
      <c r="C15" s="30"/>
      <c r="D15" s="21">
        <v>3757296.1</v>
      </c>
    </row>
    <row r="16" spans="1:10" x14ac:dyDescent="0.35">
      <c r="A16" s="22" t="s">
        <v>4631</v>
      </c>
      <c r="B16" s="6">
        <v>15</v>
      </c>
      <c r="C16" s="23">
        <v>0.09</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1"/>
  <dimension ref="A1:J18"/>
  <sheetViews>
    <sheetView workbookViewId="0">
      <selection activeCell="G12" sqref="G12"/>
    </sheetView>
  </sheetViews>
  <sheetFormatPr defaultColWidth="9.1796875" defaultRowHeight="14.5" x14ac:dyDescent="0.35"/>
  <cols>
    <col min="1" max="1" width="30.453125" customWidth="1"/>
    <col min="2" max="3" width="11.453125" customWidth="1"/>
    <col min="4" max="4" width="15.81640625" customWidth="1"/>
    <col min="5" max="5" width="18" bestFit="1" customWidth="1"/>
    <col min="7" max="7"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475</v>
      </c>
      <c r="C2" s="19">
        <f>B2/$B$7</f>
        <v>0.88454376163873372</v>
      </c>
      <c r="D2" s="20">
        <f>SUM(D3:D5)</f>
        <v>9036152</v>
      </c>
      <c r="E2" s="21">
        <f t="shared" ref="E2:E7" si="0">D2/B2</f>
        <v>19023.477894736843</v>
      </c>
    </row>
    <row r="3" spans="1:10" x14ac:dyDescent="0.35">
      <c r="A3" s="22" t="s">
        <v>13</v>
      </c>
      <c r="B3" s="6">
        <v>385</v>
      </c>
      <c r="C3" s="19">
        <f>B3/$B$7</f>
        <v>0.71694599627560518</v>
      </c>
      <c r="D3" s="24">
        <v>6800652</v>
      </c>
      <c r="E3" s="21">
        <f t="shared" si="0"/>
        <v>17664.03116883117</v>
      </c>
    </row>
    <row r="4" spans="1:10" x14ac:dyDescent="0.35">
      <c r="A4" s="22" t="s">
        <v>55</v>
      </c>
      <c r="B4" s="6">
        <v>20</v>
      </c>
      <c r="C4" s="19">
        <f>B4/$B$7</f>
        <v>3.7243947858473E-2</v>
      </c>
      <c r="D4" s="24">
        <v>257000</v>
      </c>
      <c r="E4" s="21">
        <f t="shared" si="0"/>
        <v>12850</v>
      </c>
    </row>
    <row r="5" spans="1:10" x14ac:dyDescent="0.35">
      <c r="A5" s="22" t="s">
        <v>70</v>
      </c>
      <c r="B5" s="6">
        <v>70</v>
      </c>
      <c r="C5" s="19">
        <f>B5/$B$7</f>
        <v>0.13035381750465549</v>
      </c>
      <c r="D5" s="24">
        <v>1978500</v>
      </c>
      <c r="E5" s="21">
        <f t="shared" si="0"/>
        <v>28264.285714285714</v>
      </c>
    </row>
    <row r="6" spans="1:10" x14ac:dyDescent="0.35">
      <c r="A6" s="22" t="s">
        <v>4648</v>
      </c>
      <c r="B6" s="6">
        <v>62</v>
      </c>
      <c r="C6" s="19">
        <f>B6/$B$7</f>
        <v>0.1154562383612663</v>
      </c>
      <c r="D6" s="24">
        <v>534700</v>
      </c>
      <c r="E6" s="21">
        <f t="shared" si="0"/>
        <v>8624.1935483870966</v>
      </c>
    </row>
    <row r="7" spans="1:10" ht="15" thickBot="1" x14ac:dyDescent="0.4">
      <c r="A7" s="25" t="s">
        <v>633</v>
      </c>
      <c r="B7" s="26">
        <f>B2+B6</f>
        <v>537</v>
      </c>
      <c r="C7" s="26"/>
      <c r="D7" s="27">
        <f>D2+D6</f>
        <v>9570852</v>
      </c>
      <c r="E7" s="21">
        <f t="shared" si="0"/>
        <v>17822.815642458099</v>
      </c>
    </row>
    <row r="9" spans="1:10" ht="15" thickBot="1" x14ac:dyDescent="0.4"/>
    <row r="10" spans="1:10" x14ac:dyDescent="0.35">
      <c r="A10" s="29" t="s">
        <v>4626</v>
      </c>
      <c r="B10" s="13" t="s">
        <v>4592</v>
      </c>
      <c r="C10" s="13" t="s">
        <v>4593</v>
      </c>
      <c r="D10" s="15" t="s">
        <v>4594</v>
      </c>
    </row>
    <row r="11" spans="1:10" x14ac:dyDescent="0.35">
      <c r="A11" s="22" t="s">
        <v>4627</v>
      </c>
      <c r="B11" s="6">
        <v>186</v>
      </c>
      <c r="C11" s="30"/>
      <c r="D11" s="31"/>
    </row>
    <row r="12" spans="1:10" x14ac:dyDescent="0.35">
      <c r="A12" s="22" t="s">
        <v>4626</v>
      </c>
      <c r="B12" s="30"/>
      <c r="C12" s="23">
        <v>0.93</v>
      </c>
      <c r="D12" s="21">
        <v>3264912</v>
      </c>
    </row>
    <row r="13" spans="1:10" x14ac:dyDescent="0.35">
      <c r="A13" s="22" t="s">
        <v>4628</v>
      </c>
      <c r="B13" s="30"/>
      <c r="C13" s="23">
        <v>0.05</v>
      </c>
      <c r="D13" s="21">
        <v>208697</v>
      </c>
    </row>
    <row r="14" spans="1:10" x14ac:dyDescent="0.35">
      <c r="A14" s="22" t="s">
        <v>4629</v>
      </c>
      <c r="B14" s="30"/>
      <c r="C14" s="23">
        <v>7.0000000000000007E-2</v>
      </c>
      <c r="D14" s="21">
        <v>275778</v>
      </c>
    </row>
    <row r="15" spans="1:10" x14ac:dyDescent="0.35">
      <c r="A15" s="22" t="s">
        <v>4630</v>
      </c>
      <c r="B15" s="30"/>
      <c r="C15" s="30"/>
      <c r="D15" s="21">
        <v>3936984</v>
      </c>
    </row>
    <row r="16" spans="1:10" x14ac:dyDescent="0.35">
      <c r="A16" s="22" t="s">
        <v>4631</v>
      </c>
      <c r="B16" s="6">
        <v>17</v>
      </c>
      <c r="C16" s="23">
        <v>0.09</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82"/>
  <dimension ref="A1:J18"/>
  <sheetViews>
    <sheetView workbookViewId="0">
      <selection activeCell="G12" sqref="G12"/>
    </sheetView>
  </sheetViews>
  <sheetFormatPr defaultRowHeight="14.5" x14ac:dyDescent="0.35"/>
  <cols>
    <col min="1" max="1" width="30.453125" customWidth="1"/>
    <col min="2" max="3" width="11.453125" customWidth="1"/>
    <col min="4" max="4" width="15.81640625" customWidth="1"/>
    <col min="5" max="5" width="18" bestFit="1" customWidth="1"/>
    <col min="7" max="7"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471</v>
      </c>
      <c r="C2" s="19">
        <v>0.88</v>
      </c>
      <c r="D2" s="20">
        <f>SUM(D3:D5)</f>
        <v>8816152</v>
      </c>
      <c r="E2" s="21">
        <v>18630</v>
      </c>
    </row>
    <row r="3" spans="1:10" x14ac:dyDescent="0.35">
      <c r="A3" s="22" t="s">
        <v>13</v>
      </c>
      <c r="B3" s="6">
        <v>382</v>
      </c>
      <c r="C3" s="23">
        <v>0.71</v>
      </c>
      <c r="D3" s="24">
        <v>6650652</v>
      </c>
      <c r="E3" s="21">
        <v>17298</v>
      </c>
    </row>
    <row r="4" spans="1:10" x14ac:dyDescent="0.35">
      <c r="A4" s="22" t="s">
        <v>55</v>
      </c>
      <c r="B4" s="6">
        <v>19</v>
      </c>
      <c r="C4" s="23">
        <v>0.04</v>
      </c>
      <c r="D4" s="24">
        <v>187000</v>
      </c>
      <c r="E4" s="21">
        <v>9842</v>
      </c>
    </row>
    <row r="5" spans="1:10" x14ac:dyDescent="0.35">
      <c r="A5" s="22" t="s">
        <v>70</v>
      </c>
      <c r="B5" s="6">
        <v>70</v>
      </c>
      <c r="C5" s="23">
        <v>0.13</v>
      </c>
      <c r="D5" s="24">
        <v>1978500</v>
      </c>
      <c r="E5" s="21">
        <v>28264</v>
      </c>
    </row>
    <row r="6" spans="1:10" x14ac:dyDescent="0.35">
      <c r="A6" s="22" t="s">
        <v>4648</v>
      </c>
      <c r="B6" s="6">
        <v>61</v>
      </c>
      <c r="C6" s="23">
        <v>0.12</v>
      </c>
      <c r="D6" s="24">
        <v>531700</v>
      </c>
      <c r="E6" s="21">
        <v>9544</v>
      </c>
    </row>
    <row r="7" spans="1:10" ht="15" thickBot="1" x14ac:dyDescent="0.4">
      <c r="A7" s="25" t="s">
        <v>633</v>
      </c>
      <c r="B7" s="26">
        <f>B2+B6</f>
        <v>532</v>
      </c>
      <c r="C7" s="26"/>
      <c r="D7" s="27">
        <f>D2+D6</f>
        <v>9347852</v>
      </c>
      <c r="E7" s="28">
        <v>17571</v>
      </c>
    </row>
    <row r="9" spans="1:10" ht="15" thickBot="1" x14ac:dyDescent="0.4">
      <c r="G9" s="40"/>
    </row>
    <row r="10" spans="1:10" x14ac:dyDescent="0.35">
      <c r="A10" s="29" t="s">
        <v>4626</v>
      </c>
      <c r="B10" s="13" t="s">
        <v>4592</v>
      </c>
      <c r="C10" s="13" t="s">
        <v>4593</v>
      </c>
      <c r="D10" s="15" t="s">
        <v>4594</v>
      </c>
      <c r="G10">
        <f>D2/D7</f>
        <v>0.94312062279120379</v>
      </c>
    </row>
    <row r="11" spans="1:10" x14ac:dyDescent="0.35">
      <c r="A11" s="22" t="s">
        <v>4627</v>
      </c>
      <c r="B11" s="6">
        <v>191</v>
      </c>
      <c r="C11" s="30"/>
      <c r="D11" s="31"/>
    </row>
    <row r="12" spans="1:10" x14ac:dyDescent="0.35">
      <c r="A12" s="22" t="s">
        <v>4626</v>
      </c>
      <c r="B12" s="30"/>
      <c r="C12" s="23">
        <v>0.93</v>
      </c>
      <c r="D12" s="21">
        <v>3158159</v>
      </c>
    </row>
    <row r="13" spans="1:10" x14ac:dyDescent="0.35">
      <c r="A13" s="22" t="s">
        <v>4628</v>
      </c>
      <c r="B13" s="30"/>
      <c r="C13" s="23">
        <v>0.05</v>
      </c>
      <c r="D13" s="21">
        <v>216896</v>
      </c>
    </row>
    <row r="14" spans="1:10" x14ac:dyDescent="0.35">
      <c r="A14" s="22" t="s">
        <v>4629</v>
      </c>
      <c r="B14" s="30"/>
      <c r="C14" s="23">
        <v>7.0000000000000007E-2</v>
      </c>
      <c r="D14" s="21">
        <v>289195</v>
      </c>
    </row>
    <row r="15" spans="1:10" x14ac:dyDescent="0.35">
      <c r="A15" s="22" t="s">
        <v>4630</v>
      </c>
      <c r="B15" s="30"/>
      <c r="C15" s="30"/>
      <c r="D15" s="21">
        <v>3986360.3</v>
      </c>
    </row>
    <row r="16" spans="1:10" x14ac:dyDescent="0.35">
      <c r="A16" s="22" t="s">
        <v>4631</v>
      </c>
      <c r="B16" s="6">
        <v>19</v>
      </c>
      <c r="C16" s="23">
        <v>0.09</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3"/>
  <dimension ref="A1:J18"/>
  <sheetViews>
    <sheetView workbookViewId="0">
      <selection activeCell="G12" sqref="G12"/>
    </sheetView>
  </sheetViews>
  <sheetFormatPr defaultRowHeight="14.5" x14ac:dyDescent="0.35"/>
  <cols>
    <col min="1" max="1" width="30.453125" customWidth="1"/>
    <col min="2" max="3" width="11.453125" customWidth="1"/>
    <col min="4" max="4" width="15.81640625" customWidth="1"/>
    <col min="5" max="5" width="18" bestFit="1" customWidth="1"/>
    <col min="7" max="7"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f>SUM(B3:B5)</f>
        <v>470</v>
      </c>
      <c r="C2" s="19">
        <f>B2/$B$7</f>
        <v>0.8867924528301887</v>
      </c>
      <c r="D2" s="20">
        <f>SUM(D3:D5)</f>
        <v>8756152</v>
      </c>
      <c r="E2" s="21">
        <f t="shared" ref="E2:E7" si="0">D2/B2</f>
        <v>18630.110638297872</v>
      </c>
    </row>
    <row r="3" spans="1:10" x14ac:dyDescent="0.35">
      <c r="A3" s="22" t="s">
        <v>13</v>
      </c>
      <c r="B3" s="6">
        <v>381</v>
      </c>
      <c r="C3" s="19">
        <f>B3/$B$7</f>
        <v>0.71886792452830184</v>
      </c>
      <c r="D3" s="24">
        <v>6590652</v>
      </c>
      <c r="E3" s="21">
        <f t="shared" si="0"/>
        <v>17298.299212598424</v>
      </c>
    </row>
    <row r="4" spans="1:10" x14ac:dyDescent="0.35">
      <c r="A4" s="22" t="s">
        <v>55</v>
      </c>
      <c r="B4" s="6">
        <v>19</v>
      </c>
      <c r="C4" s="19">
        <f>B4/$B$7</f>
        <v>3.5849056603773584E-2</v>
      </c>
      <c r="D4" s="24">
        <v>187000</v>
      </c>
      <c r="E4" s="21">
        <f t="shared" si="0"/>
        <v>9842.105263157895</v>
      </c>
    </row>
    <row r="5" spans="1:10" x14ac:dyDescent="0.35">
      <c r="A5" s="22" t="s">
        <v>70</v>
      </c>
      <c r="B5" s="6">
        <v>70</v>
      </c>
      <c r="C5" s="19">
        <f>B5/$B$7</f>
        <v>0.13207547169811321</v>
      </c>
      <c r="D5" s="24">
        <v>1978500</v>
      </c>
      <c r="E5" s="21">
        <f t="shared" si="0"/>
        <v>28264.285714285714</v>
      </c>
    </row>
    <row r="6" spans="1:10" x14ac:dyDescent="0.35">
      <c r="A6" s="22" t="s">
        <v>4648</v>
      </c>
      <c r="B6" s="6">
        <v>60</v>
      </c>
      <c r="C6" s="19">
        <f>B6/$B$7</f>
        <v>0.11320754716981132</v>
      </c>
      <c r="D6" s="24">
        <v>526700</v>
      </c>
      <c r="E6" s="21">
        <f t="shared" si="0"/>
        <v>8778.3333333333339</v>
      </c>
    </row>
    <row r="7" spans="1:10" ht="15" thickBot="1" x14ac:dyDescent="0.4">
      <c r="A7" s="25" t="s">
        <v>633</v>
      </c>
      <c r="B7" s="26">
        <f>B2+B6</f>
        <v>530</v>
      </c>
      <c r="C7" s="26"/>
      <c r="D7" s="27">
        <f>D2+D6</f>
        <v>9282852</v>
      </c>
      <c r="E7" s="21">
        <f t="shared" si="0"/>
        <v>17514.815094339621</v>
      </c>
    </row>
    <row r="9" spans="1:10" ht="15" thickBot="1" x14ac:dyDescent="0.4"/>
    <row r="10" spans="1:10" x14ac:dyDescent="0.35">
      <c r="A10" s="29" t="s">
        <v>4626</v>
      </c>
      <c r="B10" s="13" t="s">
        <v>4592</v>
      </c>
      <c r="C10" s="13" t="s">
        <v>4593</v>
      </c>
      <c r="D10" s="15" t="s">
        <v>4594</v>
      </c>
    </row>
    <row r="11" spans="1:10" x14ac:dyDescent="0.35">
      <c r="A11" s="22" t="s">
        <v>4627</v>
      </c>
      <c r="B11" s="6">
        <v>193</v>
      </c>
      <c r="C11" s="30"/>
      <c r="D11" s="31"/>
    </row>
    <row r="12" spans="1:10" x14ac:dyDescent="0.35">
      <c r="A12" s="22" t="s">
        <v>4626</v>
      </c>
      <c r="B12" s="30"/>
      <c r="C12" s="23">
        <v>0.92</v>
      </c>
      <c r="D12" s="21">
        <v>3021456</v>
      </c>
    </row>
    <row r="13" spans="1:10" x14ac:dyDescent="0.35">
      <c r="A13" s="22" t="s">
        <v>4628</v>
      </c>
      <c r="B13" s="30"/>
      <c r="C13" s="23">
        <v>0.06</v>
      </c>
      <c r="D13" s="21">
        <v>243789.88199999993</v>
      </c>
    </row>
    <row r="14" spans="1:10" x14ac:dyDescent="0.35">
      <c r="A14" s="22" t="s">
        <v>4629</v>
      </c>
      <c r="B14" s="30"/>
      <c r="C14" s="23">
        <v>0.08</v>
      </c>
      <c r="D14" s="21">
        <v>325053.17599999998</v>
      </c>
    </row>
    <row r="15" spans="1:10" x14ac:dyDescent="0.35">
      <c r="A15" s="22" t="s">
        <v>4630</v>
      </c>
      <c r="B15" s="30"/>
      <c r="C15" s="30"/>
      <c r="D15" s="21">
        <v>4005253.66</v>
      </c>
    </row>
    <row r="16" spans="1:10" x14ac:dyDescent="0.35">
      <c r="A16" s="22" t="s">
        <v>4631</v>
      </c>
      <c r="B16" s="6">
        <v>21</v>
      </c>
      <c r="C16" s="23">
        <v>0.11</v>
      </c>
      <c r="D16" s="32"/>
    </row>
    <row r="17" spans="1:7" x14ac:dyDescent="0.35">
      <c r="A17" s="22" t="s">
        <v>4632</v>
      </c>
      <c r="B17" s="33"/>
      <c r="C17" s="23">
        <v>0.24</v>
      </c>
      <c r="D17" s="32"/>
      <c r="F17" s="34"/>
      <c r="G17" s="40"/>
    </row>
    <row r="18" spans="1:7" ht="15" thickBot="1" x14ac:dyDescent="0.4">
      <c r="A18" s="35" t="s">
        <v>4633</v>
      </c>
      <c r="B18" s="26">
        <v>14</v>
      </c>
      <c r="C18" s="36">
        <v>0.02</v>
      </c>
      <c r="D18" s="28">
        <v>50706.66</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4"/>
  <dimension ref="A1:J18"/>
  <sheetViews>
    <sheetView workbookViewId="0">
      <selection activeCell="G12" sqref="G12"/>
    </sheetView>
  </sheetViews>
  <sheetFormatPr defaultRowHeight="14.5" x14ac:dyDescent="0.35"/>
  <cols>
    <col min="1" max="1" width="30.453125" customWidth="1"/>
    <col min="2" max="3" width="11.453125" customWidth="1"/>
    <col min="4" max="4" width="15.81640625" customWidth="1"/>
    <col min="5" max="5" width="18" bestFit="1" customWidth="1"/>
  </cols>
  <sheetData>
    <row r="1" spans="1:10" x14ac:dyDescent="0.35">
      <c r="A1" s="12" t="s">
        <v>4651</v>
      </c>
      <c r="B1" s="13" t="s">
        <v>4592</v>
      </c>
      <c r="C1" s="13" t="s">
        <v>4593</v>
      </c>
      <c r="D1" s="14" t="s">
        <v>4594</v>
      </c>
      <c r="E1" s="15" t="s">
        <v>4595</v>
      </c>
      <c r="I1" s="16"/>
      <c r="J1" s="16"/>
    </row>
    <row r="2" spans="1:10" x14ac:dyDescent="0.35">
      <c r="A2" s="17" t="s">
        <v>4598</v>
      </c>
      <c r="B2" s="18">
        <v>470</v>
      </c>
      <c r="C2" s="19">
        <f>B2/$B$7</f>
        <v>0.88846880907372405</v>
      </c>
      <c r="D2" s="24">
        <v>8756152</v>
      </c>
      <c r="E2" s="21">
        <f t="shared" ref="E2:E7" si="0">D2/B2</f>
        <v>18630.110638297872</v>
      </c>
    </row>
    <row r="3" spans="1:10" x14ac:dyDescent="0.35">
      <c r="A3" s="22" t="s">
        <v>13</v>
      </c>
      <c r="B3" s="6">
        <v>381</v>
      </c>
      <c r="C3" s="19">
        <f>B3/$B$7</f>
        <v>0.72022684310018903</v>
      </c>
      <c r="D3" s="24">
        <v>6590652</v>
      </c>
      <c r="E3" s="21">
        <f t="shared" si="0"/>
        <v>17298.299212598424</v>
      </c>
    </row>
    <row r="4" spans="1:10" x14ac:dyDescent="0.35">
      <c r="A4" s="22" t="s">
        <v>55</v>
      </c>
      <c r="B4" s="6">
        <v>19</v>
      </c>
      <c r="C4" s="19">
        <f>B4/$B$7</f>
        <v>3.5916824196597356E-2</v>
      </c>
      <c r="D4" s="24">
        <v>187000</v>
      </c>
      <c r="E4" s="21">
        <f t="shared" si="0"/>
        <v>9842.105263157895</v>
      </c>
    </row>
    <row r="5" spans="1:10" x14ac:dyDescent="0.35">
      <c r="A5" s="22" t="s">
        <v>70</v>
      </c>
      <c r="B5" s="6">
        <v>70</v>
      </c>
      <c r="C5" s="19">
        <f>B5/$B$7</f>
        <v>0.1323251417769376</v>
      </c>
      <c r="D5" s="24">
        <v>1978500</v>
      </c>
      <c r="E5" s="21">
        <f t="shared" si="0"/>
        <v>28264.285714285714</v>
      </c>
    </row>
    <row r="6" spans="1:10" x14ac:dyDescent="0.35">
      <c r="A6" s="22" t="s">
        <v>4648</v>
      </c>
      <c r="B6" s="6">
        <v>59</v>
      </c>
      <c r="C6" s="19">
        <f>B6/$B$7</f>
        <v>0.11153119092627599</v>
      </c>
      <c r="D6" s="24">
        <v>517700</v>
      </c>
      <c r="E6" s="21">
        <f t="shared" si="0"/>
        <v>8774.5762711864409</v>
      </c>
    </row>
    <row r="7" spans="1:10" ht="15" thickBot="1" x14ac:dyDescent="0.4">
      <c r="A7" s="25" t="s">
        <v>633</v>
      </c>
      <c r="B7" s="27">
        <f>SUM(B2,B6)</f>
        <v>529</v>
      </c>
      <c r="C7" s="26"/>
      <c r="D7" s="27">
        <f>SUM(D2,D6)</f>
        <v>9273852</v>
      </c>
      <c r="E7" s="21">
        <f t="shared" si="0"/>
        <v>17530.911153119094</v>
      </c>
    </row>
    <row r="9" spans="1:10" ht="15" thickBot="1" x14ac:dyDescent="0.4"/>
    <row r="10" spans="1:10" x14ac:dyDescent="0.35">
      <c r="A10" s="29" t="s">
        <v>4626</v>
      </c>
      <c r="B10" s="13" t="s">
        <v>4592</v>
      </c>
      <c r="C10" s="13" t="s">
        <v>4593</v>
      </c>
      <c r="D10" s="15" t="s">
        <v>4594</v>
      </c>
    </row>
    <row r="11" spans="1:10" x14ac:dyDescent="0.35">
      <c r="A11" s="22" t="s">
        <v>4627</v>
      </c>
      <c r="B11" s="6">
        <v>199</v>
      </c>
      <c r="C11" s="30"/>
      <c r="D11" s="31"/>
    </row>
    <row r="12" spans="1:10" x14ac:dyDescent="0.35">
      <c r="A12" s="22" t="s">
        <v>4626</v>
      </c>
      <c r="B12" s="30"/>
      <c r="C12" s="23">
        <v>0.92</v>
      </c>
      <c r="D12" s="21">
        <v>2941323</v>
      </c>
    </row>
    <row r="13" spans="1:10" x14ac:dyDescent="0.35">
      <c r="A13" s="22" t="s">
        <v>4628</v>
      </c>
      <c r="B13" s="30"/>
      <c r="C13" s="23">
        <v>0.06</v>
      </c>
      <c r="D13" s="21">
        <v>256719.15899999996</v>
      </c>
    </row>
    <row r="14" spans="1:10" x14ac:dyDescent="0.35">
      <c r="A14" s="22" t="s">
        <v>4629</v>
      </c>
      <c r="B14" s="30"/>
      <c r="C14" s="23">
        <v>0.08</v>
      </c>
      <c r="D14" s="21">
        <v>342292.212</v>
      </c>
    </row>
    <row r="15" spans="1:10" x14ac:dyDescent="0.35">
      <c r="A15" s="22" t="s">
        <v>4630</v>
      </c>
      <c r="B15" s="30"/>
      <c r="C15" s="30"/>
      <c r="D15" s="21">
        <v>4034992.34</v>
      </c>
    </row>
    <row r="16" spans="1:10" x14ac:dyDescent="0.35">
      <c r="A16" s="22" t="s">
        <v>4631</v>
      </c>
      <c r="B16" s="6">
        <v>22</v>
      </c>
      <c r="C16" s="23">
        <v>0.11</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85"/>
  <dimension ref="A1:J18"/>
  <sheetViews>
    <sheetView workbookViewId="0">
      <selection activeCell="G12" sqref="G12"/>
    </sheetView>
  </sheetViews>
  <sheetFormatPr defaultRowHeight="14.5" x14ac:dyDescent="0.35"/>
  <cols>
    <col min="1" max="1" width="30.453125" customWidth="1"/>
    <col min="2" max="3" width="11.453125" customWidth="1"/>
    <col min="4" max="4" width="15.81640625" customWidth="1"/>
    <col min="5" max="5" width="18" bestFit="1" customWidth="1"/>
    <col min="9" max="9"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v>466</v>
      </c>
      <c r="C2" s="19">
        <f>B2/$B$7</f>
        <v>0.89272030651340994</v>
      </c>
      <c r="D2" s="24">
        <v>8571512</v>
      </c>
      <c r="E2" s="21">
        <f t="shared" ref="E2:E7" si="0">D2/B2</f>
        <v>18393.802575107296</v>
      </c>
    </row>
    <row r="3" spans="1:10" x14ac:dyDescent="0.35">
      <c r="A3" s="22" t="s">
        <v>13</v>
      </c>
      <c r="B3" s="6">
        <v>377</v>
      </c>
      <c r="C3" s="19">
        <f>B3/$B$7</f>
        <v>0.72222222222222221</v>
      </c>
      <c r="D3" s="24">
        <v>6405652</v>
      </c>
      <c r="E3" s="21">
        <f t="shared" si="0"/>
        <v>16991.119363395224</v>
      </c>
    </row>
    <row r="4" spans="1:10" x14ac:dyDescent="0.35">
      <c r="A4" s="22" t="s">
        <v>55</v>
      </c>
      <c r="B4" s="6">
        <v>19</v>
      </c>
      <c r="C4" s="19">
        <f>B4/$B$7</f>
        <v>3.6398467432950193E-2</v>
      </c>
      <c r="D4" s="24">
        <v>187000</v>
      </c>
      <c r="E4" s="21">
        <f t="shared" si="0"/>
        <v>9842.105263157895</v>
      </c>
    </row>
    <row r="5" spans="1:10" x14ac:dyDescent="0.35">
      <c r="A5" s="22" t="s">
        <v>70</v>
      </c>
      <c r="B5" s="6">
        <v>70</v>
      </c>
      <c r="C5" s="19">
        <f>B5/$B$7</f>
        <v>0.13409961685823754</v>
      </c>
      <c r="D5" s="24">
        <v>1978500</v>
      </c>
      <c r="E5" s="21">
        <f t="shared" si="0"/>
        <v>28264.285714285714</v>
      </c>
    </row>
    <row r="6" spans="1:10" x14ac:dyDescent="0.35">
      <c r="A6" s="22" t="s">
        <v>4648</v>
      </c>
      <c r="B6" s="6">
        <v>56</v>
      </c>
      <c r="C6" s="19">
        <f>B6/$B$7</f>
        <v>0.10727969348659004</v>
      </c>
      <c r="D6" s="24">
        <v>496200</v>
      </c>
      <c r="E6" s="21">
        <f t="shared" si="0"/>
        <v>8860.7142857142862</v>
      </c>
      <c r="I6" s="37"/>
    </row>
    <row r="7" spans="1:10" ht="15" thickBot="1" x14ac:dyDescent="0.4">
      <c r="A7" s="25" t="s">
        <v>633</v>
      </c>
      <c r="B7" s="27">
        <f>SUM(B2,B6)</f>
        <v>522</v>
      </c>
      <c r="C7" s="26"/>
      <c r="D7" s="27">
        <f>SUM(D2,D6)</f>
        <v>9067712</v>
      </c>
      <c r="E7" s="21">
        <f t="shared" si="0"/>
        <v>17371.095785440612</v>
      </c>
    </row>
    <row r="9" spans="1:10" ht="15" thickBot="1" x14ac:dyDescent="0.4">
      <c r="I9" s="37"/>
    </row>
    <row r="10" spans="1:10" x14ac:dyDescent="0.35">
      <c r="A10" s="29" t="s">
        <v>4626</v>
      </c>
      <c r="B10" s="13" t="s">
        <v>4592</v>
      </c>
      <c r="C10" s="13" t="s">
        <v>4593</v>
      </c>
      <c r="D10" s="15" t="s">
        <v>4594</v>
      </c>
    </row>
    <row r="11" spans="1:10" x14ac:dyDescent="0.35">
      <c r="A11" s="22" t="s">
        <v>4627</v>
      </c>
      <c r="B11" s="6">
        <v>194</v>
      </c>
      <c r="C11" s="30"/>
      <c r="D11" s="31"/>
    </row>
    <row r="12" spans="1:10" x14ac:dyDescent="0.35">
      <c r="A12" s="22" t="s">
        <v>4626</v>
      </c>
      <c r="B12" s="30"/>
      <c r="C12" s="23">
        <v>0.93</v>
      </c>
      <c r="D12" s="21">
        <v>2647561</v>
      </c>
    </row>
    <row r="13" spans="1:10" x14ac:dyDescent="0.35">
      <c r="A13" s="22" t="s">
        <v>4628</v>
      </c>
      <c r="B13" s="30"/>
      <c r="C13" s="23">
        <v>0.05</v>
      </c>
      <c r="D13" s="21">
        <v>205144</v>
      </c>
    </row>
    <row r="14" spans="1:10" x14ac:dyDescent="0.35">
      <c r="A14" s="22" t="s">
        <v>4629</v>
      </c>
      <c r="B14" s="30"/>
      <c r="C14" s="23">
        <v>0.08</v>
      </c>
      <c r="D14" s="21">
        <v>299125</v>
      </c>
    </row>
    <row r="15" spans="1:10" x14ac:dyDescent="0.35">
      <c r="A15" s="22" t="s">
        <v>4630</v>
      </c>
      <c r="B15" s="30"/>
      <c r="C15" s="30"/>
      <c r="D15" s="21">
        <v>3986360.3</v>
      </c>
    </row>
    <row r="16" spans="1:10" x14ac:dyDescent="0.35">
      <c r="A16" s="22" t="s">
        <v>4631</v>
      </c>
      <c r="B16" s="6">
        <v>21</v>
      </c>
      <c r="C16" s="23">
        <v>0.1</v>
      </c>
      <c r="D16" s="32"/>
    </row>
    <row r="17" spans="1:6" x14ac:dyDescent="0.35">
      <c r="A17" s="22" t="s">
        <v>4632</v>
      </c>
      <c r="B17" s="33"/>
      <c r="C17" s="23">
        <v>0.24</v>
      </c>
      <c r="D17" s="32"/>
      <c r="F17" s="34"/>
    </row>
    <row r="18" spans="1:6" ht="15" thickBot="1" x14ac:dyDescent="0.4">
      <c r="A18" s="35" t="s">
        <v>4633</v>
      </c>
      <c r="B18" s="26">
        <v>14</v>
      </c>
      <c r="C18" s="36">
        <v>0.02</v>
      </c>
      <c r="D18" s="28">
        <v>50706.66</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86"/>
  <dimension ref="A1:J18"/>
  <sheetViews>
    <sheetView workbookViewId="0">
      <selection activeCell="G12" sqref="G12"/>
    </sheetView>
  </sheetViews>
  <sheetFormatPr defaultRowHeight="14.5" x14ac:dyDescent="0.35"/>
  <cols>
    <col min="1" max="1" width="30.453125" customWidth="1"/>
    <col min="2" max="3" width="11.453125" customWidth="1"/>
    <col min="4" max="4" width="15.81640625" customWidth="1"/>
    <col min="5" max="5" width="18" bestFit="1" customWidth="1"/>
    <col min="9" max="9" width="10.54296875" bestFit="1" customWidth="1"/>
  </cols>
  <sheetData>
    <row r="1" spans="1:10" x14ac:dyDescent="0.35">
      <c r="A1" s="12" t="s">
        <v>4651</v>
      </c>
      <c r="B1" s="13" t="s">
        <v>4592</v>
      </c>
      <c r="C1" s="13" t="s">
        <v>4593</v>
      </c>
      <c r="D1" s="14" t="s">
        <v>4594</v>
      </c>
      <c r="E1" s="15" t="s">
        <v>4595</v>
      </c>
      <c r="I1" s="16"/>
      <c r="J1" s="16"/>
    </row>
    <row r="2" spans="1:10" x14ac:dyDescent="0.35">
      <c r="A2" s="17" t="s">
        <v>4598</v>
      </c>
      <c r="B2" s="18">
        <v>464</v>
      </c>
      <c r="C2" s="19">
        <f>B2/$B$7</f>
        <v>0.89575289575289574</v>
      </c>
      <c r="D2" s="24">
        <f>SUM(D3:D5)</f>
        <v>8451152</v>
      </c>
      <c r="E2" s="21">
        <f t="shared" ref="E2:E7" si="0">D2/B2</f>
        <v>18213.689655172413</v>
      </c>
    </row>
    <row r="3" spans="1:10" x14ac:dyDescent="0.35">
      <c r="A3" s="22" t="s">
        <v>13</v>
      </c>
      <c r="B3" s="6">
        <v>375</v>
      </c>
      <c r="C3" s="19">
        <f>B3/$B$7</f>
        <v>0.72393822393822393</v>
      </c>
      <c r="D3" s="24">
        <v>6285652</v>
      </c>
      <c r="E3" s="21">
        <f t="shared" si="0"/>
        <v>16761.738666666668</v>
      </c>
    </row>
    <row r="4" spans="1:10" x14ac:dyDescent="0.35">
      <c r="A4" s="22" t="s">
        <v>55</v>
      </c>
      <c r="B4" s="6">
        <v>19</v>
      </c>
      <c r="C4" s="19">
        <f>B4/$B$7</f>
        <v>3.6679536679536683E-2</v>
      </c>
      <c r="D4" s="24">
        <v>187000</v>
      </c>
      <c r="E4" s="21">
        <f t="shared" si="0"/>
        <v>9842.105263157895</v>
      </c>
    </row>
    <row r="5" spans="1:10" x14ac:dyDescent="0.35">
      <c r="A5" s="22" t="s">
        <v>70</v>
      </c>
      <c r="B5" s="6">
        <v>70</v>
      </c>
      <c r="C5" s="19">
        <f>B5/$B$7</f>
        <v>0.13513513513513514</v>
      </c>
      <c r="D5" s="24">
        <v>1978500</v>
      </c>
      <c r="E5" s="21">
        <f t="shared" si="0"/>
        <v>28264.285714285714</v>
      </c>
    </row>
    <row r="6" spans="1:10" x14ac:dyDescent="0.35">
      <c r="A6" s="22" t="s">
        <v>4648</v>
      </c>
      <c r="B6" s="6">
        <v>54</v>
      </c>
      <c r="C6" s="19">
        <f>B6/$B$7</f>
        <v>0.10424710424710425</v>
      </c>
      <c r="D6" s="24">
        <v>481200</v>
      </c>
      <c r="E6" s="21">
        <f t="shared" si="0"/>
        <v>8911.1111111111113</v>
      </c>
      <c r="I6" s="37"/>
    </row>
    <row r="7" spans="1:10" ht="15" thickBot="1" x14ac:dyDescent="0.4">
      <c r="A7" s="25" t="s">
        <v>633</v>
      </c>
      <c r="B7" s="27">
        <f>SUM(B2,B6)</f>
        <v>518</v>
      </c>
      <c r="C7" s="26"/>
      <c r="D7" s="27">
        <f>SUM(D2,D6)</f>
        <v>8932352</v>
      </c>
      <c r="E7" s="21">
        <f t="shared" si="0"/>
        <v>17243.922779922781</v>
      </c>
    </row>
    <row r="9" spans="1:10" ht="15" thickBot="1" x14ac:dyDescent="0.4">
      <c r="I9" s="37"/>
    </row>
    <row r="10" spans="1:10" x14ac:dyDescent="0.35">
      <c r="A10" s="29" t="s">
        <v>4626</v>
      </c>
      <c r="B10" s="13" t="s">
        <v>4592</v>
      </c>
      <c r="C10" s="13" t="s">
        <v>4593</v>
      </c>
      <c r="D10" s="15" t="s">
        <v>4594</v>
      </c>
    </row>
    <row r="11" spans="1:10" x14ac:dyDescent="0.35">
      <c r="A11" s="22" t="s">
        <v>4627</v>
      </c>
      <c r="B11" s="6">
        <v>195</v>
      </c>
      <c r="C11" s="30"/>
      <c r="D11" s="31"/>
    </row>
    <row r="12" spans="1:10" x14ac:dyDescent="0.35">
      <c r="A12" s="22" t="s">
        <v>4626</v>
      </c>
      <c r="B12" s="30"/>
      <c r="C12" s="23">
        <v>0.92</v>
      </c>
      <c r="D12" s="21">
        <v>2288294.35</v>
      </c>
    </row>
    <row r="13" spans="1:10" x14ac:dyDescent="0.35">
      <c r="A13" s="22" t="s">
        <v>4628</v>
      </c>
      <c r="B13" s="30"/>
      <c r="C13" s="23">
        <v>0.05</v>
      </c>
      <c r="D13" s="21">
        <v>203078.49549999999</v>
      </c>
    </row>
    <row r="14" spans="1:10" x14ac:dyDescent="0.35">
      <c r="A14" s="22" t="s">
        <v>4629</v>
      </c>
      <c r="B14" s="30"/>
      <c r="C14" s="23">
        <v>0.06</v>
      </c>
      <c r="D14" s="21">
        <v>254946.85200000001</v>
      </c>
    </row>
    <row r="15" spans="1:10" x14ac:dyDescent="0.35">
      <c r="A15" s="22" t="s">
        <v>4630</v>
      </c>
      <c r="B15" s="30"/>
      <c r="C15" s="30"/>
      <c r="D15" s="21">
        <v>3899147.52</v>
      </c>
    </row>
    <row r="16" spans="1:10" x14ac:dyDescent="0.35">
      <c r="A16" s="22" t="s">
        <v>4631</v>
      </c>
      <c r="B16" s="6">
        <v>19</v>
      </c>
      <c r="C16" s="23">
        <v>0.09</v>
      </c>
      <c r="D16" s="32"/>
    </row>
    <row r="17" spans="1:6" x14ac:dyDescent="0.35">
      <c r="A17" s="22" t="s">
        <v>4632</v>
      </c>
      <c r="B17" s="33"/>
      <c r="C17" s="23">
        <v>0.24</v>
      </c>
      <c r="D17" s="32"/>
      <c r="F17" s="34"/>
    </row>
    <row r="18" spans="1:6" ht="15" thickBot="1" x14ac:dyDescent="0.4">
      <c r="A18" s="35" t="s">
        <v>4633</v>
      </c>
      <c r="B18" s="26">
        <v>14</v>
      </c>
      <c r="C18" s="36">
        <v>0.03</v>
      </c>
      <c r="D18" s="28">
        <v>50706.66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82C8A2AA99BD2478576491E90E9FDF6" ma:contentTypeVersion="22" ma:contentTypeDescription="Create a new document." ma:contentTypeScope="" ma:versionID="890be1c629bd91f20a2276ce0456fba1">
  <xsd:schema xmlns:xsd="http://www.w3.org/2001/XMLSchema" xmlns:xs="http://www.w3.org/2001/XMLSchema" xmlns:p="http://schemas.microsoft.com/office/2006/metadata/properties" xmlns:ns2="6c6bc0b3-fe71-4be8-94f3-ebbabf209c7c" xmlns:ns3="5013470d-c092-4c23-90c8-2a89cee4d79a" targetNamespace="http://schemas.microsoft.com/office/2006/metadata/properties" ma:root="true" ma:fieldsID="5cf09dca15ab2bc1b3db2026942108b1" ns2:_="" ns3:_="">
    <xsd:import namespace="6c6bc0b3-fe71-4be8-94f3-ebbabf209c7c"/>
    <xsd:import namespace="5013470d-c092-4c23-90c8-2a89cee4d79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AutoKeyPoints" minOccurs="0"/>
                <xsd:element ref="ns2:MediaServiceKeyPoints"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6bc0b3-fe71-4be8-94f3-ebbabf209c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hidden="true" ma:internalName="MediaServiceOCR"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hidden="true" ma:internalName="MediaServiceKeyPoints" ma:readOnly="true">
      <xsd:simpleType>
        <xsd:restriction base="dms:Note"/>
      </xsd:simpleType>
    </xsd:element>
    <xsd:element name="MediaServiceLocation" ma:index="14" nillable="true" ma:displayName="Location" ma:hidden="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01ec734-1f52-4864-a8ff-7270243b0f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13470d-c092-4c23-90c8-2a89cee4d79a" elementFormDefault="qualified">
    <xsd:import namespace="http://schemas.microsoft.com/office/2006/documentManagement/types"/>
    <xsd:import namespace="http://schemas.microsoft.com/office/infopath/2007/PartnerControls"/>
    <xsd:element name="SharedWithUsers" ma:index="15"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hidden="true" ma:internalName="SharedWithDetails" ma:readOnly="true">
      <xsd:simpleType>
        <xsd:restriction base="dms:Note"/>
      </xsd:simpleType>
    </xsd:element>
    <xsd:element name="TaxCatchAll" ma:index="22" nillable="true" ma:displayName="Taxonomy Catch All Column" ma:hidden="true" ma:list="{310995e0-cfad-40ff-a60d-a878aa318d7e}" ma:internalName="TaxCatchAll" ma:readOnly="false" ma:showField="CatchAllData" ma:web="5013470d-c092-4c23-90c8-2a89cee4d7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c6bc0b3-fe71-4be8-94f3-ebbabf209c7c">
      <Terms xmlns="http://schemas.microsoft.com/office/infopath/2007/PartnerControls"/>
    </lcf76f155ced4ddcb4097134ff3c332f>
    <TaxCatchAll xmlns="5013470d-c092-4c23-90c8-2a89cee4d79a" xsi:nil="true"/>
  </documentManagement>
</p:properties>
</file>

<file path=customXml/itemProps1.xml><?xml version="1.0" encoding="utf-8"?>
<ds:datastoreItem xmlns:ds="http://schemas.openxmlformats.org/officeDocument/2006/customXml" ds:itemID="{48511701-6B4B-401D-8A7E-2B63A0BD07FB}">
  <ds:schemaRefs>
    <ds:schemaRef ds:uri="http://schemas.microsoft.com/sharepoint/v3/contenttype/forms"/>
  </ds:schemaRefs>
</ds:datastoreItem>
</file>

<file path=customXml/itemProps2.xml><?xml version="1.0" encoding="utf-8"?>
<ds:datastoreItem xmlns:ds="http://schemas.openxmlformats.org/officeDocument/2006/customXml" ds:itemID="{C7788618-D356-44FA-BC94-7CE9277C0E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6bc0b3-fe71-4be8-94f3-ebbabf209c7c"/>
    <ds:schemaRef ds:uri="5013470d-c092-4c23-90c8-2a89cee4d7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B4AF05-7FA4-4710-B622-26332E07802C}">
  <ds:schemaRefs>
    <ds:schemaRef ds:uri="http://schemas.microsoft.com/office/2006/metadata/properties"/>
    <ds:schemaRef ds:uri="http://schemas.microsoft.com/office/infopath/2007/PartnerControls"/>
    <ds:schemaRef ds:uri="6c6bc0b3-fe71-4be8-94f3-ebbabf209c7c"/>
    <ds:schemaRef ds:uri="5013470d-c092-4c23-90c8-2a89cee4d7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94</vt:i4>
      </vt:variant>
    </vt:vector>
  </HeadingPairs>
  <TitlesOfParts>
    <vt:vector size="94" baseType="lpstr">
      <vt:lpstr>Disb. Update 2018 &amp; 2019</vt:lpstr>
      <vt:lpstr>Disb. Update 2020</vt:lpstr>
      <vt:lpstr>Disb. Update 2021</vt:lpstr>
      <vt:lpstr>Disb. Update 2022</vt:lpstr>
      <vt:lpstr>Disb. Update 2023</vt:lpstr>
      <vt:lpstr>Disb. Update 2024</vt:lpstr>
      <vt:lpstr>Baseline Form</vt:lpstr>
      <vt:lpstr>All Loans - Upto Sept 2025</vt:lpstr>
      <vt:lpstr>Loan Disb. 2025</vt:lpstr>
      <vt:lpstr>Summary - All Loans</vt:lpstr>
      <vt:lpstr>Sept, 2025</vt:lpstr>
      <vt:lpstr>Aug, 2025</vt:lpstr>
      <vt:lpstr>July, 2025</vt:lpstr>
      <vt:lpstr>June, 2025</vt:lpstr>
      <vt:lpstr>May, 2025</vt:lpstr>
      <vt:lpstr>Apr, 2025</vt:lpstr>
      <vt:lpstr>Mar, 2025</vt:lpstr>
      <vt:lpstr>Feb 28, 2025</vt:lpstr>
      <vt:lpstr>Jan 31, 2025</vt:lpstr>
      <vt:lpstr>Dec 31, 2024</vt:lpstr>
      <vt:lpstr>Nov 30, 2024</vt:lpstr>
      <vt:lpstr>Oct 31, 2024</vt:lpstr>
      <vt:lpstr>Sept 30, 2024</vt:lpstr>
      <vt:lpstr>Aug 31, 2024</vt:lpstr>
      <vt:lpstr>July 31, 2024</vt:lpstr>
      <vt:lpstr>June 30, 2024</vt:lpstr>
      <vt:lpstr>May 31, 2024</vt:lpstr>
      <vt:lpstr>Apr 30, 2024</vt:lpstr>
      <vt:lpstr>Mar 31, 2024</vt:lpstr>
      <vt:lpstr>Feb 29, 2024</vt:lpstr>
      <vt:lpstr>Jan 31, 2024</vt:lpstr>
      <vt:lpstr>Dec 31, 2023</vt:lpstr>
      <vt:lpstr>Nov 30, 2023</vt:lpstr>
      <vt:lpstr>Oct 31, 2023</vt:lpstr>
      <vt:lpstr>Sept 30, 2023</vt:lpstr>
      <vt:lpstr>Aug 31, 2023</vt:lpstr>
      <vt:lpstr>July 31, 2023</vt:lpstr>
      <vt:lpstr>June 30, 2023</vt:lpstr>
      <vt:lpstr>May 31, 2023</vt:lpstr>
      <vt:lpstr>Apr 30, 2023</vt:lpstr>
      <vt:lpstr>Mar 31, 2023</vt:lpstr>
      <vt:lpstr>Feb 28, 2023</vt:lpstr>
      <vt:lpstr>Jan 31, 2023</vt:lpstr>
      <vt:lpstr>Dec 31, 2022</vt:lpstr>
      <vt:lpstr>Nov 30, 2022</vt:lpstr>
      <vt:lpstr>Oct 31, 2022</vt:lpstr>
      <vt:lpstr>Sept 30, 2022</vt:lpstr>
      <vt:lpstr>Aug 31, 2022</vt:lpstr>
      <vt:lpstr>July 31, 2022</vt:lpstr>
      <vt:lpstr>June 30, 2022</vt:lpstr>
      <vt:lpstr>May 31, 2022</vt:lpstr>
      <vt:lpstr>Apr 30, 2022</vt:lpstr>
      <vt:lpstr>Mar 31, 2022</vt:lpstr>
      <vt:lpstr>Feb 28, 2022</vt:lpstr>
      <vt:lpstr>Jan 31, 2022</vt:lpstr>
      <vt:lpstr>Dec 31, 2021</vt:lpstr>
      <vt:lpstr>Nov 30, 2021</vt:lpstr>
      <vt:lpstr>Oct 31, 2021</vt:lpstr>
      <vt:lpstr>Sept 30, 2021</vt:lpstr>
      <vt:lpstr>Aug 31, 2021</vt:lpstr>
      <vt:lpstr>July 31, 2021</vt:lpstr>
      <vt:lpstr>June 30, 2021</vt:lpstr>
      <vt:lpstr>May 31, 2021</vt:lpstr>
      <vt:lpstr>Apr 30, 2021</vt:lpstr>
      <vt:lpstr>Mar 31, 2021</vt:lpstr>
      <vt:lpstr>Feb 28, 2021</vt:lpstr>
      <vt:lpstr>Jan 31, 2021</vt:lpstr>
      <vt:lpstr>Dec 31, 2020</vt:lpstr>
      <vt:lpstr>Nov 30, 2020</vt:lpstr>
      <vt:lpstr>Oct 31, 2020</vt:lpstr>
      <vt:lpstr>Sept 30, 2020</vt:lpstr>
      <vt:lpstr>Aug 31, 2020</vt:lpstr>
      <vt:lpstr>July 31, 2020</vt:lpstr>
      <vt:lpstr>June 30, 2020</vt:lpstr>
      <vt:lpstr>May 31, 2020</vt:lpstr>
      <vt:lpstr>Apr 30, 2020</vt:lpstr>
      <vt:lpstr>Mar 29, 2020</vt:lpstr>
      <vt:lpstr>Feb 29, 2020</vt:lpstr>
      <vt:lpstr>Jan 31, 2020</vt:lpstr>
      <vt:lpstr>Dec 31, 2019</vt:lpstr>
      <vt:lpstr>Nov 30, 2019</vt:lpstr>
      <vt:lpstr>Oct 31, 2019</vt:lpstr>
      <vt:lpstr>Sept 30, 2019</vt:lpstr>
      <vt:lpstr>Aug 31, 2019</vt:lpstr>
      <vt:lpstr>July 31, 2019</vt:lpstr>
      <vt:lpstr>June 30, 2019</vt:lpstr>
      <vt:lpstr>May 31, 2019</vt:lpstr>
      <vt:lpstr>APR 30, 2019</vt:lpstr>
      <vt:lpstr>IDPRS REPORT MAR 28,2019-FINAL</vt:lpstr>
      <vt:lpstr>IDPRS REPORT FEB 28,2019-FINAL</vt:lpstr>
      <vt:lpstr>IDPRS REPORT JAN 31,2019</vt:lpstr>
      <vt:lpstr>DEC 31, 2018</vt:lpstr>
      <vt:lpstr>NOV 30, 2018</vt:lpstr>
      <vt:lpstr>OCT 31, 2018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dc:creator>
  <cp:keywords/>
  <dc:description/>
  <cp:lastModifiedBy>Raphael Akomeah</cp:lastModifiedBy>
  <cp:revision/>
  <dcterms:created xsi:type="dcterms:W3CDTF">2019-01-14T15:17:46Z</dcterms:created>
  <dcterms:modified xsi:type="dcterms:W3CDTF">2025-11-12T15:35:25Z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0x010100182C8A2AA99BD2478576491E90E9FDF6</vt:lpwstr>
  </property>
  <property fmtid="{D5CDD505-2E9C-101B-9397-08002B2CF9AE}" pid="3" name="MediaServiceImageTags">
    <vt:lpwstr/>
  </property>
</Properties>
</file>